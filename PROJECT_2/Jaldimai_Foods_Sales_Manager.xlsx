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305fccf53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61ce1c4e9ef34352"/>
    <x:sheet xmlns:r="http://schemas.openxmlformats.org/officeDocument/2006/relationships" name="Dashboard" sheetId="2" r:id="R1a576fffcab449cb"/>
    <x:sheet xmlns:r="http://schemas.openxmlformats.org/officeDocument/2006/relationships" name="Sales Entry" sheetId="3" r:id="Rd41148c07925443d"/>
    <x:sheet xmlns:r="http://schemas.openxmlformats.org/officeDocument/2006/relationships" name="Sales_Data" sheetId="4" r:id="R3c64815255fa4a59"/>
    <x:sheet xmlns:r="http://schemas.openxmlformats.org/officeDocument/2006/relationships" name="Order_Summary" sheetId="5" r:id="Rfe22d9dee92c4ff2"/>
    <x:sheet xmlns:r="http://schemas.openxmlformats.org/officeDocument/2006/relationships" name="Branch_Master" sheetId="6" r:id="R0f4785b4adfb4cc6"/>
    <x:sheet xmlns:r="http://schemas.openxmlformats.org/officeDocument/2006/relationships" name="Restaurant_Master" sheetId="7" r:id="Ra9c85af4041a4021"/>
    <x:sheet xmlns:r="http://schemas.openxmlformats.org/officeDocument/2006/relationships" name="Menu_Master" sheetId="8" r:id="R3bb81920393b4f75"/>
    <x:sheet xmlns:r="http://schemas.openxmlformats.org/officeDocument/2006/relationships" name="Historical_Price_Master" sheetId="9" r:id="R024df827e83f40bf"/>
    <x:sheet xmlns:r="http://schemas.openxmlformats.org/officeDocument/2006/relationships" name="Reports" sheetId="10" r:id="R3de43df0531c4e1d"/>
    <x:sheet xmlns:r="http://schemas.openxmlformats.org/officeDocument/2006/relationships" name="Sources" sheetId="11" r:id="R8af310c432a144b4"/>
    <x:sheet xmlns:r="http://schemas.openxmlformats.org/officeDocument/2006/relationships" name="Lists" sheetId="12" r:id="R6637859f96944ca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&quot;Rs &quot;#,##0"/>
    <x:numFmt numFmtId="202" formatCode="h:mm AM/PM"/>
    <x:numFmt numFmtId="203" formatCode="#,##0"/>
  </x:numFmts>
  <x:fonts count="18">
    <x:font>
      <x:sz val="11"/>
      <x:name val="Carlito"/>
    </x:font>
    <x:font>
      <x:sz val="10"/>
      <x:color rgb="FF252525"/>
      <x:name val="Aptos"/>
    </x:font>
    <x:font>
      <x:b/>
      <x:sz val="18"/>
      <x:color rgb="FFFFFFFF"/>
      <x:name val="Aptos"/>
    </x:font>
    <x:font>
      <x:b/>
      <x:sz val="10"/>
      <x:color rgb="FFFFFFFF"/>
      <x:name val="Aptos"/>
    </x:font>
    <x:font>
      <x:i/>
      <x:sz val="10"/>
      <x:color rgb="FF6B7280"/>
      <x:name val="Aptos"/>
    </x:font>
    <x:font>
      <x:b/>
      <x:sz val="10"/>
      <x:color rgb="FF252525"/>
      <x:name val="Aptos"/>
    </x:font>
    <x:font>
      <x:b/>
      <x:sz val="12"/>
      <x:color rgb="FFFFFFFF"/>
      <x:name val="Aptos"/>
    </x:font>
    <x:font>
      <x:sz val="9"/>
      <x:color rgb="FF252525"/>
      <x:name val="Aptos"/>
    </x:font>
    <x:font>
      <x:b/>
      <x:sz val="9"/>
      <x:color rgb="FFC95D12"/>
      <x:name val="Aptos"/>
    </x:font>
    <x:font>
      <x:b/>
      <x:sz val="10"/>
      <x:color rgb="FFC95D12"/>
      <x:name val="Aptos"/>
    </x:font>
    <x:font>
      <x:b/>
      <x:sz val="11"/>
      <x:color rgb="FFFFFFFF"/>
      <x:name val="Aptos"/>
    </x:font>
    <x:font>
      <x:b/>
      <x:sz val="11"/>
      <x:color rgb="FF252525"/>
      <x:name val="Aptos"/>
    </x:font>
    <x:font>
      <x:b/>
      <x:sz val="11"/>
      <x:color rgb="FFC95D12"/>
      <x:name val="Aptos"/>
    </x:font>
    <x:font>
      <x:sz val="12"/>
      <x:color rgb="FF6B7280"/>
      <x:name val="Aptos"/>
    </x:font>
    <x:font>
      <x:i/>
      <x:sz val="9"/>
      <x:color rgb="FF6B7280"/>
      <x:name val="Aptos"/>
    </x:font>
    <x:font>
      <x:b/>
      <x:sz val="17"/>
      <x:color rgb="FFC95D12"/>
      <x:name val="Aptos"/>
    </x:font>
    <x:font>
      <x:b/>
      <x:sz val="12"/>
      <x:color rgb="FF252525"/>
      <x:name val="Aptos"/>
    </x:font>
    <x:font>
      <x:sz val="10"/>
      <x:color rgb="FFC95D12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58220"/>
      </x:patternFill>
    </x:fill>
    <x:fill>
      <x:patternFill patternType="solid">
        <x:fgColor rgb="FF3B3B3B"/>
      </x:patternFill>
    </x:fill>
    <x:fill>
      <x:patternFill patternType="solid">
        <x:fgColor rgb="FFFFF4E9"/>
      </x:patternFill>
    </x:fill>
    <x:fill>
      <x:patternFill patternType="solid">
        <x:fgColor rgb="FFFCE1CC"/>
      </x:patternFill>
    </x:fill>
    <x:fill>
      <x:patternFill patternType="solid">
        <x:fgColor rgb="FFFFF9F4"/>
      </x:patternFill>
    </x:fill>
  </x:fills>
  <x:borders count="18">
    <x:border/>
    <x:border>
      <x:bottom style="thin">
        <x:color rgb="FFE3E3E3"/>
      </x:bottom>
    </x:border>
    <x:border>
      <x:top style="thin">
        <x:color rgb="FFE3E3E3"/>
      </x:top>
      <x:bottom style="thin">
        <x:color rgb="FFE3E3E3"/>
      </x:bottom>
    </x:border>
    <x:border>
      <x:left style="thin">
        <x:color rgb="FFE3E3E3"/>
      </x:left>
      <x:top style="thin">
        <x:color rgb="FFE3E3E3"/>
      </x:top>
    </x:border>
    <x:border>
      <x:right style="thin">
        <x:color rgb="FFE3E3E3"/>
      </x:right>
      <x:top style="thin">
        <x:color rgb="FFE3E3E3"/>
      </x:top>
    </x:border>
    <x:border>
      <x:left style="thin">
        <x:color rgb="FFE3E3E3"/>
      </x:left>
      <x:bottom style="thin">
        <x:color rgb="FFE3E3E3"/>
      </x:bottom>
    </x:border>
    <x:border>
      <x:right style="thin">
        <x:color rgb="FFE3E3E3"/>
      </x:right>
      <x:bottom style="thin">
        <x:color rgb="FFE3E3E3"/>
      </x:bottom>
    </x:border>
    <x:border>
      <x:left style="thin">
        <x:color rgb="FFFFFFFF"/>
      </x:left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E3E3E3"/>
      </x:left>
      <x:right style="thin">
        <x:color rgb="FFE3E3E3"/>
      </x:right>
      <x:bottom style="thin">
        <x:color rgb="FFE3E3E3"/>
      </x:bottom>
    </x:border>
    <x:border>
      <x:right style="thin">
        <x:color rgb="FFE3E3E3"/>
      </x:right>
      <x:top style="thin">
        <x:color rgb="FFE3E3E3"/>
      </x:top>
      <x:bottom style="thin">
        <x:color rgb="FFE3E3E3"/>
      </x:bottom>
    </x:border>
    <x:border>
      <x:left style="thin">
        <x:color rgb="FFE3E3E3"/>
      </x:left>
      <x:right style="thin">
        <x:color rgb="FFE3E3E3"/>
      </x:right>
      <x:top style="thin">
        <x:color rgb="FFE3E3E3"/>
      </x:top>
      <x:bottom style="thin">
        <x:color rgb="FFE3E3E3"/>
      </x:bottom>
    </x:border>
    <x:border>
      <x:left style="thin">
        <x:color rgb="FFE3E3E3"/>
      </x:left>
      <x:top style="thin">
        <x:color rgb="FFE3E3E3"/>
      </x:top>
      <x:bottom style="thin">
        <x:color rgb="FFE3E3E3"/>
      </x:bottom>
    </x:border>
    <x:border>
      <x:left style="thin">
        <x:color rgb="FFE3E3E3"/>
      </x:left>
      <x:right style="thin">
        <x:color rgb="FFE3E3E3"/>
      </x:right>
      <x:top style="thin">
        <x:color rgb="FFE3E3E3"/>
      </x:top>
    </x:border>
  </x:borders>
  <x:cellStyleXfs count="1">
    <x:xf numFmtId="0" fontId="0" fillId="0" borderId="0"/>
  </x:cellStyleXfs>
  <x:cellXfs count="17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2" fontId="5" fillId="6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6" fillId="2" borderId="0" xfId="0" applyNumberFormat="1" applyFont="1" applyFill="1" applyBorder="1"/>
    <x:xf numFmtId="201" fontId="5" fillId="4" borderId="0" xfId="0" applyNumberFormat="1" applyFont="1" applyFill="1" applyBorder="1"/>
    <x:xf numFmtId="201" fontId="6" fillId="2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1" fontId="1" fillId="0" borderId="1" xfId="0" applyNumberFormat="1" applyFont="1" applyFill="1" applyBorder="1"/>
    <x:xf numFmtId="201" fontId="1" fillId="0" borderId="2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3" xfId="0" applyNumberFormat="1" applyFont="1" applyFill="1" applyBorder="1"/>
    <x:xf numFmtId="0" fontId="10" fillId="2" borderId="4" xfId="0" applyNumberFormat="1" applyFont="1" applyFill="1" applyBorder="1"/>
    <x:xf numFmtId="0" fontId="10" fillId="2" borderId="5" xfId="0" applyNumberFormat="1" applyFont="1" applyFill="1" applyBorder="1"/>
    <x:xf numFmtId="0" fontId="10" fillId="2" borderId="6" xfId="0" applyNumberFormat="1" applyFont="1" applyFill="1" applyBorder="1"/>
    <x:xf numFmtId="0" fontId="10" fillId="2" borderId="3" xfId="0" applyNumberFormat="1" applyFont="1" applyFill="1" applyBorder="1" applyAlignment="1">
      <x:alignment horizontal="center"/>
    </x:xf>
    <x:xf numFmtId="0" fontId="10" fillId="2" borderId="4" xfId="0" applyNumberFormat="1" applyFont="1" applyFill="1" applyBorder="1" applyAlignment="1">
      <x:alignment horizontal="center"/>
    </x:xf>
    <x:xf numFmtId="0" fontId="10" fillId="2" borderId="5" xfId="0" applyNumberFormat="1" applyFont="1" applyFill="1" applyBorder="1" applyAlignment="1">
      <x:alignment horizontal="center"/>
    </x:xf>
    <x:xf numFmtId="0" fontId="10" fillId="2" borderId="6" xfId="0" applyNumberFormat="1" applyFont="1" applyFill="1" applyBorder="1" applyAlignment="1">
      <x:alignment horizontal="center"/>
    </x:xf>
    <x:xf numFmtId="0" fontId="10" fillId="2" borderId="3" xfId="0" applyNumberFormat="1" applyFont="1" applyFill="1" applyBorder="1" applyAlignment="1">
      <x:alignment horizontal="center" vertical="center"/>
    </x:xf>
    <x:xf numFmtId="0" fontId="10" fillId="2" borderId="4" xfId="0" applyNumberFormat="1" applyFont="1" applyFill="1" applyBorder="1" applyAlignment="1">
      <x:alignment horizontal="center" vertical="center"/>
    </x:xf>
    <x:xf numFmtId="0" fontId="10" fillId="2" borderId="5" xfId="0" applyNumberFormat="1" applyFont="1" applyFill="1" applyBorder="1" applyAlignment="1">
      <x:alignment horizontal="center" vertical="center"/>
    </x:xf>
    <x:xf numFmtId="0" fontId="10" fillId="2" borderId="6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/>
    <x:xf numFmtId="0" fontId="11" fillId="4" borderId="3" xfId="0" applyNumberFormat="1" applyFont="1" applyFill="1" applyBorder="1"/>
    <x:xf numFmtId="0" fontId="11" fillId="4" borderId="4" xfId="0" applyNumberFormat="1" applyFont="1" applyFill="1" applyBorder="1"/>
    <x:xf numFmtId="0" fontId="11" fillId="4" borderId="5" xfId="0" applyNumberFormat="1" applyFont="1" applyFill="1" applyBorder="1"/>
    <x:xf numFmtId="0" fontId="11" fillId="4" borderId="6" xfId="0" applyNumberFormat="1" applyFont="1" applyFill="1" applyBorder="1"/>
    <x:xf numFmtId="0" fontId="11" fillId="4" borderId="3" xfId="0" applyNumberFormat="1" applyFont="1" applyFill="1" applyBorder="1" applyAlignment="1">
      <x:alignment horizontal="center"/>
    </x:xf>
    <x:xf numFmtId="0" fontId="11" fillId="4" borderId="4" xfId="0" applyNumberFormat="1" applyFont="1" applyFill="1" applyBorder="1" applyAlignment="1">
      <x:alignment horizontal="center"/>
    </x:xf>
    <x:xf numFmtId="0" fontId="11" fillId="4" borderId="5" xfId="0" applyNumberFormat="1" applyFont="1" applyFill="1" applyBorder="1" applyAlignment="1">
      <x:alignment horizontal="center"/>
    </x:xf>
    <x:xf numFmtId="0" fontId="11" fillId="4" borderId="6" xfId="0" applyNumberFormat="1" applyFont="1" applyFill="1" applyBorder="1" applyAlignment="1">
      <x:alignment horizontal="center"/>
    </x:xf>
    <x:xf numFmtId="0" fontId="11" fillId="4" borderId="3" xfId="0" applyNumberFormat="1" applyFont="1" applyFill="1" applyBorder="1" applyAlignment="1">
      <x:alignment horizontal="center" vertical="center"/>
    </x:xf>
    <x:xf numFmtId="0" fontId="11" fillId="4" borderId="4" xfId="0" applyNumberFormat="1" applyFont="1" applyFill="1" applyBorder="1" applyAlignment="1">
      <x:alignment horizontal="center" vertical="center"/>
    </x:xf>
    <x:xf numFmtId="0" fontId="11" fillId="4" borderId="5" xfId="0" applyNumberFormat="1" applyFont="1" applyFill="1" applyBorder="1" applyAlignment="1">
      <x:alignment horizontal="center" vertical="center"/>
    </x:xf>
    <x:xf numFmtId="0" fontId="11" fillId="4" borderId="6" xfId="0" applyNumberFormat="1" applyFont="1" applyFill="1" applyBorder="1" applyAlignment="1">
      <x:alignment horizontal="center" vertical="center"/>
    </x:xf>
    <x:xf numFmtId="201" fontId="10" fillId="2" borderId="5" xfId="0" applyNumberFormat="1" applyFont="1" applyFill="1" applyBorder="1" applyAlignment="1">
      <x:alignment horizontal="center" vertical="center"/>
    </x:xf>
    <x:xf numFmtId="201" fontId="10" fillId="2" borderId="6" xfId="0" applyNumberFormat="1" applyFont="1" applyFill="1" applyBorder="1" applyAlignment="1">
      <x:alignment horizontal="center" vertical="center"/>
    </x:xf>
    <x:xf numFmtId="201" fontId="11" fillId="4" borderId="5" xfId="0" applyNumberFormat="1" applyFont="1" applyFill="1" applyBorder="1" applyAlignment="1">
      <x:alignment horizontal="center" vertical="center"/>
    </x:xf>
    <x:xf numFmtId="201" fontId="11" fillId="4" borderId="6" xfId="0" applyNumberFormat="1" applyFont="1" applyFill="1" applyBorder="1" applyAlignment="1">
      <x:alignment horizontal="center" vertical="center"/>
    </x:xf>
    <x:xf numFmtId="203" fontId="11" fillId="4" borderId="5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6" fillId="2" borderId="10" xfId="0" applyNumberFormat="1" applyFont="1" applyFill="1" applyBorder="1"/>
    <x:xf numFmtId="0" fontId="6" fillId="2" borderId="11" xfId="0" applyNumberFormat="1" applyFont="1" applyFill="1" applyBorder="1"/>
    <x:xf numFmtId="0" fontId="6" fillId="2" borderId="12" xfId="0" applyNumberFormat="1" applyFont="1" applyFill="1" applyBorder="1"/>
    <x:xf numFmtId="0" fontId="6" fillId="2" borderId="7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wrapText="1"/>
    </x:xf>
    <x:xf numFmtId="0" fontId="6" fillId="2" borderId="11" xfId="0" applyNumberFormat="1" applyFont="1" applyFill="1" applyBorder="1" applyAlignment="1">
      <x:alignment wrapText="1"/>
    </x:xf>
    <x:xf numFmtId="0" fontId="6" fillId="2" borderId="12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horizontal="center" wrapText="1"/>
    </x:xf>
    <x:xf numFmtId="0" fontId="6" fillId="2" borderId="8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wrapText="1"/>
    </x:xf>
    <x:xf numFmtId="0" fontId="6" fillId="2" borderId="10" xfId="0" applyNumberFormat="1" applyFont="1" applyFill="1" applyBorder="1" applyAlignment="1">
      <x:alignment horizontal="center" wrapText="1"/>
    </x:xf>
    <x:xf numFmtId="0" fontId="6" fillId="2" borderId="11" xfId="0" applyNumberFormat="1" applyFont="1" applyFill="1" applyBorder="1" applyAlignment="1">
      <x:alignment horizontal="center" wrapText="1"/>
    </x:xf>
    <x:xf numFmtId="0" fontId="6" fillId="2" borderId="12" xfId="0" applyNumberFormat="1" applyFont="1" applyFill="1" applyBorder="1" applyAlignment="1">
      <x:alignment horizont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6" fillId="2" borderId="10" xfId="0" applyNumberFormat="1" applyFont="1" applyFill="1" applyBorder="1" applyAlignment="1">
      <x:alignment horizontal="center" vertical="center"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0" fontId="6" fillId="2" borderId="12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7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horizontal="center" wrapText="1"/>
    </x:xf>
    <x:xf numFmtId="0" fontId="6" fillId="3" borderId="8" xfId="0" applyNumberFormat="1" applyFont="1" applyFill="1" applyBorder="1" applyAlignment="1">
      <x:alignment horizontal="center" wrapText="1"/>
    </x:xf>
    <x:xf numFmtId="0" fontId="6" fillId="3" borderId="9" xfId="0" applyNumberFormat="1" applyFont="1" applyFill="1" applyBorder="1" applyAlignment="1">
      <x:alignment horizontal="center" wrapText="1"/>
    </x:xf>
    <x:xf numFmtId="0" fontId="6" fillId="3" borderId="10" xfId="0" applyNumberFormat="1" applyFont="1" applyFill="1" applyBorder="1" applyAlignment="1">
      <x:alignment horizontal="center" wrapText="1"/>
    </x:xf>
    <x:xf numFmtId="0" fontId="6" fillId="3" borderId="11" xfId="0" applyNumberFormat="1" applyFont="1" applyFill="1" applyBorder="1" applyAlignment="1">
      <x:alignment horizontal="center" wrapText="1"/>
    </x:xf>
    <x:xf numFmtId="0" fontId="6" fillId="3" borderId="12" xfId="0" applyNumberFormat="1" applyFont="1" applyFill="1" applyBorder="1" applyAlignment="1">
      <x:alignment horizontal="center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0" fontId="6" fillId="3" borderId="10" xfId="0" applyNumberFormat="1" applyFont="1" applyFill="1" applyBorder="1" applyAlignment="1">
      <x:alignment horizontal="center" vertical="center" wrapText="1"/>
    </x:xf>
    <x:xf numFmtId="0" fontId="6" fillId="3" borderId="11" xfId="0" applyNumberFormat="1" applyFont="1" applyFill="1" applyBorder="1" applyAlignment="1">
      <x:alignment horizontal="center" vertical="center" wrapText="1"/>
    </x:xf>
    <x:xf numFmtId="0" fontId="6" fillId="3" borderId="12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/>
    </x:xf>
    <x:xf numFmtId="0" fontId="15" fillId="4" borderId="0" xfId="0" applyNumberFormat="1" applyFont="1" applyFill="1" applyBorder="1"/>
    <x:xf numFmtId="0" fontId="15" fillId="4" borderId="3" xfId="0" applyNumberFormat="1" applyFont="1" applyFill="1" applyBorder="1"/>
    <x:xf numFmtId="0" fontId="15" fillId="4" borderId="4" xfId="0" applyNumberFormat="1" applyFont="1" applyFill="1" applyBorder="1"/>
    <x:xf numFmtId="0" fontId="15" fillId="4" borderId="5" xfId="0" applyNumberFormat="1" applyFont="1" applyFill="1" applyBorder="1"/>
    <x:xf numFmtId="0" fontId="15" fillId="4" borderId="6" xfId="0" applyNumberFormat="1" applyFont="1" applyFill="1" applyBorder="1"/>
    <x:xf numFmtId="0" fontId="15" fillId="4" borderId="3" xfId="0" applyNumberFormat="1" applyFont="1" applyFill="1" applyBorder="1" applyAlignment="1">
      <x:alignment horizontal="center"/>
    </x:xf>
    <x:xf numFmtId="0" fontId="15" fillId="4" borderId="4" xfId="0" applyNumberFormat="1" applyFont="1" applyFill="1" applyBorder="1" applyAlignment="1">
      <x:alignment horizontal="center"/>
    </x:xf>
    <x:xf numFmtId="0" fontId="15" fillId="4" borderId="5" xfId="0" applyNumberFormat="1" applyFont="1" applyFill="1" applyBorder="1" applyAlignment="1">
      <x:alignment horizontal="center"/>
    </x:xf>
    <x:xf numFmtId="0" fontId="15" fillId="4" borderId="6" xfId="0" applyNumberFormat="1" applyFont="1" applyFill="1" applyBorder="1" applyAlignment="1">
      <x:alignment horizontal="center"/>
    </x:xf>
    <x:xf numFmtId="0" fontId="15" fillId="4" borderId="3" xfId="0" applyNumberFormat="1" applyFont="1" applyFill="1" applyBorder="1" applyAlignment="1">
      <x:alignment horizontal="center" vertical="center"/>
    </x:xf>
    <x:xf numFmtId="0" fontId="15" fillId="4" borderId="4" xfId="0" applyNumberFormat="1" applyFont="1" applyFill="1" applyBorder="1" applyAlignment="1">
      <x:alignment horizontal="center" vertical="center"/>
    </x:xf>
    <x:xf numFmtId="0" fontId="15" fillId="4" borderId="5" xfId="0" applyNumberFormat="1" applyFont="1" applyFill="1" applyBorder="1" applyAlignment="1">
      <x:alignment horizontal="center" vertical="center"/>
    </x:xf>
    <x:xf numFmtId="0" fontId="15" fillId="4" borderId="6" xfId="0" applyNumberFormat="1" applyFont="1" applyFill="1" applyBorder="1" applyAlignment="1">
      <x:alignment horizontal="center" vertical="center"/>
    </x:xf>
    <x:xf numFmtId="201" fontId="15" fillId="4" borderId="3" xfId="0" applyNumberFormat="1" applyFont="1" applyFill="1" applyBorder="1" applyAlignment="1">
      <x:alignment horizontal="center" vertical="center"/>
    </x:xf>
    <x:xf numFmtId="201" fontId="15" fillId="4" borderId="4" xfId="0" applyNumberFormat="1" applyFont="1" applyFill="1" applyBorder="1" applyAlignment="1">
      <x:alignment horizontal="center" vertical="center"/>
    </x:xf>
    <x:xf numFmtId="201" fontId="15" fillId="4" borderId="5" xfId="0" applyNumberFormat="1" applyFont="1" applyFill="1" applyBorder="1" applyAlignment="1">
      <x:alignment horizontal="center" vertical="center"/>
    </x:xf>
    <x:xf numFmtId="201" fontId="15" fillId="4" borderId="6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horizontal="center" wrapText="1"/>
    </x:xf>
    <x:xf numFmtId="0" fontId="16" fillId="4" borderId="0" xfId="0" applyNumberFormat="1" applyFont="1" applyFill="1" applyBorder="1" applyAlignment="1">
      <x:alignment horizontal="center" vertical="center" wrapText="1"/>
    </x:xf>
    <x:xf numFmtId="0" fontId="17" fillId="6" borderId="0" xfId="0" applyNumberFormat="1" applyFont="1" applyFill="1" applyBorder="1"/>
    <x:xf numFmtId="0" fontId="17" fillId="6" borderId="0" xfId="0" applyNumberFormat="1" applyFont="1" applyFill="1" applyBorder="1" applyAlignment="1">
      <x:alignment wrapText="1"/>
    </x:xf>
    <x:xf numFmtId="0" fontId="17" fillId="6" borderId="0" xfId="0" applyNumberFormat="1" applyFont="1" applyFill="1" applyBorder="1" applyAlignment="1">
      <x:alignment horizontal="center" wrapText="1"/>
    </x:xf>
    <x:xf numFmtId="0" fontId="17" fillId="6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/>
    <x:xf numFmtId="0" fontId="3" fillId="3" borderId="5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/>
    <x:xf numFmtId="201" fontId="1" fillId="0" borderId="15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2" fillId="5" borderId="14" xfId="0" applyNumberFormat="1" applyFont="1" applyFill="1" applyBorder="1" applyAlignment="1">
      <x:alignment horizontal="center"/>
    </x:xf>
    <x:xf numFmtId="0" fontId="12" fillId="5" borderId="15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/>
    <x:xf numFmtId="201" fontId="1" fillId="0" borderId="17" xfId="0" applyNumberFormat="1" applyFont="1" applyFill="1" applyBorder="1"/>
    <x:xf numFmtId="0" fontId="1" fillId="0" borderId="17" xfId="0" applyNumberFormat="1" applyFont="1" applyFill="1" applyBorder="1"/>
    <x:xf numFmtId="0" fontId="1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bd81327bb44a7" /><Relationship Type="http://schemas.openxmlformats.org/officeDocument/2006/relationships/theme" Target="/xl/theme/theme1.xml" Id="Rd09066bee67643c1" /><Relationship Type="http://schemas.openxmlformats.org/officeDocument/2006/relationships/sheetMetadata" Target="/xl/metadata1.xml" Id="Re41cf70347a84f5a" /><Relationship Type="http://schemas.openxmlformats.org/officeDocument/2006/relationships/sharedStrings" Target="/xl/sharedStrings.xml" Id="R15878ef02c68421b" /><Relationship Type="http://schemas.openxmlformats.org/officeDocument/2006/relationships/worksheet" Target="/xl/worksheets/sheet1.xml" Id="R61ce1c4e9ef34352" /><Relationship Type="http://schemas.openxmlformats.org/officeDocument/2006/relationships/worksheet" Target="/xl/worksheets/sheet2.xml" Id="R1a576fffcab449cb" /><Relationship Type="http://schemas.openxmlformats.org/officeDocument/2006/relationships/worksheet" Target="/xl/worksheets/sheet3.xml" Id="Rd41148c07925443d" /><Relationship Type="http://schemas.openxmlformats.org/officeDocument/2006/relationships/worksheet" Target="/xl/worksheets/sheet4.xml" Id="R3c64815255fa4a59" /><Relationship Type="http://schemas.openxmlformats.org/officeDocument/2006/relationships/worksheet" Target="/xl/worksheets/sheet5.xml" Id="Rfe22d9dee92c4ff2" /><Relationship Type="http://schemas.openxmlformats.org/officeDocument/2006/relationships/worksheet" Target="/xl/worksheets/sheet6.xml" Id="R0f4785b4adfb4cc6" /><Relationship Type="http://schemas.openxmlformats.org/officeDocument/2006/relationships/worksheet" Target="/xl/worksheets/sheet7.xml" Id="Ra9c85af4041a4021" /><Relationship Type="http://schemas.openxmlformats.org/officeDocument/2006/relationships/worksheet" Target="/xl/worksheets/sheet8.xml" Id="R3bb81920393b4f75" /><Relationship Type="http://schemas.openxmlformats.org/officeDocument/2006/relationships/worksheet" Target="/xl/worksheets/sheet9.xml" Id="R024df827e83f40bf" /><Relationship Type="http://schemas.openxmlformats.org/officeDocument/2006/relationships/worksheet" Target="/xl/worksheets/sheet10.xml" Id="R3de43df0531c4e1d" /><Relationship Type="http://schemas.openxmlformats.org/officeDocument/2006/relationships/worksheet" Target="/xl/worksheets/sheet11.xml" Id="R8af310c432a144b4" /><Relationship Type="http://schemas.openxmlformats.org/officeDocument/2006/relationships/worksheet" Target="/xl/worksheets/sheet12.xml" Id="R6637859f96944c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46c3ef39604e46" /><Relationship Type="http://schemas.openxmlformats.org/officeDocument/2006/relationships/chart" Target="/xl/drawings/charts/chart2.xml" Id="R9f3908e0b14c49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Sales (NPR)</c:v>
          </c:tx>
          <c:spPr>
            <a:solidFill xmlns:a="http://schemas.openxmlformats.org/drawingml/2006/main">
              <a:srgbClr val="F58220"/>
            </a:solidFill>
          </c:spPr>
          <c:marker>
            <c:symbol val="none"/>
          </c:marker>
          <c:cat>
            <c:strRef>
              <c:f>'Dashboard'!$F$11:$F$22</c:f>
              <c:strCache>
                <c:ptCount val="0"/>
              </c:strCache>
            </c:strRef>
          </c:cat>
          <c:val>
            <c:numRef>
              <c:f>'Dashboard'!$G$11:$G$22</c:f>
              <c:numCache>
                <c:formatCode>"Rs 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Restaurant Revenue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Sales (NPR)</c:v>
          </c:tx>
          <c:spPr>
            <a:solidFill xmlns:a="http://schemas.openxmlformats.org/drawingml/2006/main">
              <a:srgbClr val="F58220"/>
            </a:solidFill>
          </c:spPr>
          <c:cat>
            <c:strRef>
              <c:f>'Dashboard'!$I$11:$I$14</c:f>
              <c:strCache>
                <c:ptCount val="0"/>
              </c:strCache>
            </c:strRef>
          </c:cat>
          <c:val>
            <c:numRef>
              <c:f>'Dashboard'!$K$11:$K$14</c:f>
              <c:numCache>
                <c:formatCode>"Rs 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46c3ef39604e46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3908e0b14c49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SalesData" displayName="SalesData" ref="A2:K1755" headerRowCount="1" totalsRowCount="0" totalsRowShown="0">
  <x:autoFilter ref="A2:K1755"/>
  <x:tableColumns count="11">
    <x:tableColumn id="1" name="Sale ID"/>
    <x:tableColumn id="2" name="Sale Date"/>
    <x:tableColumn id="3" name="Sale Time"/>
    <x:tableColumn id="4" name="Branch"/>
    <x:tableColumn id="5" name="Restaurant"/>
    <x:tableColumn id="6" name="Item"/>
    <x:tableColumn id="7" name="Category"/>
    <x:tableColumn id="8" name="Quantity"/>
    <x:tableColumn id="9" name="Unit Price (NPR)"/>
    <x:tableColumn id="10" name="Line Total (NPR)"/>
    <x:tableColumn id="11" name="Dat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OrderSummary" displayName="OrderSummary" ref="A2:G1002" headerRowCount="1" totalsRowCount="0" totalsRowShown="0">
  <x:autoFilter ref="A2:G1002"/>
  <x:tableColumns count="7">
    <x:tableColumn id="1" name="Sale ID"/>
    <x:tableColumn id="2" name="Sale Date"/>
    <x:tableColumn id="3" name="Sale Time"/>
    <x:tableColumn id="4" name="Branch"/>
    <x:tableColumn id="5" name="Restaurant"/>
    <x:tableColumn id="6" name="Sale Total (NPR)"/>
    <x:tableColumn id="7" name="Data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BranchMaster" displayName="BranchMaster" ref="A2:D4" headerRowCount="1" totalsRowCount="0" totalsRowShown="0">
  <x:autoFilter ref="A2:D4"/>
  <x:tableColumns count="4">
    <x:tableColumn id="1" name="Branch ID"/>
    <x:tableColumn id="2" name="Branch Name"/>
    <x:tableColumn id="3" name="Location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staurantMaster" displayName="RestaurantMaster" ref="A2:E6" headerRowCount="1" totalsRowCount="0" totalsRowShown="0">
  <x:autoFilter ref="A2:E6"/>
  <x:tableColumns count="5">
    <x:tableColumn id="1" name="Restaurant ID"/>
    <x:tableColumn id="2" name="Restaurant Name"/>
    <x:tableColumn id="3" name="Branch"/>
    <x:tableColumn id="4" name="Location"/>
    <x:tableColumn id="5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MenuMaster" displayName="MenuMaster" ref="A2:I25" headerRowCount="1" totalsRowCount="0" totalsRowShown="0">
  <x:autoFilter ref="A2:I25"/>
  <x:tableColumns count="9">
    <x:tableColumn id="1" name="Menu ID"/>
    <x:tableColumn id="2" name="Restaurant ID"/>
    <x:tableColumn id="3" name="Restaurant Name"/>
    <x:tableColumn id="4" name="Item Name"/>
    <x:tableColumn id="5" name="Category"/>
    <x:tableColumn id="6" name="Current Price (NPR)"/>
    <x:tableColumn id="7" name="Lookup Key"/>
    <x:tableColumn id="8" name="Data Status"/>
    <x:tableColumn id="9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HistoricalPriceMaster" displayName="HistoricalPriceMaster" ref="A2:F94" headerRowCount="1" totalsRowCount="0" totalsRowShown="0">
  <x:autoFilter ref="A2:F94"/>
  <x:tableColumns count="6">
    <x:tableColumn id="1" name="Restaurant"/>
    <x:tableColumn id="2" name="Item"/>
    <x:tableColumn id="3" name="Effective Date"/>
    <x:tableColumn id="4" name="End Date"/>
    <x:tableColumn id="5" name="Price (NPR)"/>
    <x:tableColumn id="6" name="Data 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ranchCategoryReport" displayName="BranchCategoryReport" ref="A4:D8" headerRowCount="1" totalsRowCount="0" totalsRowShown="0">
  <x:autoFilter ref="A4:D8"/>
  <x:tableColumns count="4">
    <x:tableColumn id="1" name="Branch"/>
    <x:tableColumn id="2" name="Category"/>
    <x:tableColumn id="3" name="Quantity"/>
    <x:tableColumn id="4" name="Revenue (NPR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YearlyReport" displayName="YearlyReport" ref="F4:H8" headerRowCount="1" totalsRowCount="0" totalsRowShown="0">
  <x:autoFilter ref="F4:H8"/>
  <x:tableColumns count="3">
    <x:tableColumn id="1" name="Year"/>
    <x:tableColumn id="2" name="Sales (NPR)"/>
    <x:tableColumn id="3" name="Item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Notes" displayName="SourcesNotes" ref="A3:D13" headerRowCount="1" totalsRowCount="0" totalsRowShown="0">
  <x:autoFilter ref="A3:D13"/>
  <x:tableColumns count="4">
    <x:tableColumn id="1" name="Source / Note"/>
    <x:tableColumn id="2" name="Coverage"/>
    <x:tableColumn id="3" name="URL / Detail"/>
    <x:tableColumn id="4" name="Data 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df136655c564c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93e98a52a4f4b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3917c70571447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54b8f451d624d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f2d39d8351a43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5cb5c5b76db42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44952c18ab946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c8ed9c4f5a8f4a7b" /><Relationship Type="http://schemas.openxmlformats.org/officeDocument/2006/relationships/table" Target="/xl/tables/table8.xml" Id="R630e1be41d0d4e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7f62c8e0cb4cd5" /></Relationships>
</file>

<file path=xl/worksheets/sheet1.xml><?xml version="1.0" encoding="utf-8"?>
<x:worksheet xmlns:x="http://schemas.openxmlformats.org/spreadsheetml/2006/main">
  <x:sheetPr>
    <x:tabColor rgb="FFF58220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4" t="str">
        <x:v>JALDIMAI FOODS  |  SALES MANAGEMENT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77" t="str">
        <x:v>A simple sales workspace for Damak and Birtamode</x:v>
      </x:c>
      <x:c r="B2" s="77"/>
      <x:c r="C2" s="77"/>
      <x:c r="D2" s="77"/>
      <x:c r="E2" s="77"/>
      <x:c r="F2" s="77"/>
      <x:c r="G2" s="77"/>
      <x:c r="H2" s="77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9" t="str">
        <x:v>Choose a workspace from the tabs below. The orange action cards show the fastest workflows.</x:v>
      </x:c>
      <x:c r="B3" s="79"/>
      <x:c r="C3" s="79"/>
      <x:c r="D3" s="79"/>
      <x:c r="E3" s="79"/>
      <x:c r="F3" s="79"/>
      <x:c r="G3" s="79"/>
      <x:c r="H3" s="79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1" t="str">
        <x:v>QUICK ACTIONS</x:v>
      </x:c>
      <x:c r="B4" s="81"/>
      <x:c r="C4" s="81"/>
      <x:c r="D4" s="81"/>
      <x:c r="E4" s="81"/>
      <x:c r="F4" s="81"/>
      <x:c r="G4" s="81"/>
      <x:c r="H4" s="8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0" t="str">
        <x:v>NEW SALE
Sales Entry tab</x:v>
      </x:c>
      <x:c r="B6" s="101"/>
      <x:c r="C6" s="1"/>
      <x:c r="D6" s="125" t="str">
        <x:v>DASHBOARD
Dashboard tab</x:v>
      </x:c>
      <x:c r="E6" s="126"/>
      <x:c r="F6" s="1"/>
      <x:c r="G6" s="125" t="str">
        <x:v>REPORTS
Reports tab</x:v>
      </x:c>
      <x:c r="H6" s="126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2"/>
      <x:c r="B7" s="103"/>
      <x:c r="C7" s="1"/>
      <x:c r="D7" s="127"/>
      <x:c r="E7" s="128"/>
      <x:c r="F7" s="1"/>
      <x:c r="G7" s="127"/>
      <x:c r="H7" s="128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2"/>
      <x:c r="B8" s="103"/>
      <x:c r="C8" s="1"/>
      <x:c r="D8" s="127"/>
      <x:c r="E8" s="128"/>
      <x:c r="F8" s="1"/>
      <x:c r="G8" s="127"/>
      <x:c r="H8" s="128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4"/>
      <x:c r="B9" s="105"/>
      <x:c r="C9" s="1"/>
      <x:c r="D9" s="129"/>
      <x:c r="E9" s="130"/>
      <x:c r="F9" s="1"/>
      <x:c r="G9" s="129"/>
      <x:c r="H9" s="130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25" t="str">
        <x:v>MASTER DATA
Restaurant_Master tab</x:v>
      </x:c>
      <x:c r="B11" s="126"/>
      <x:c r="C11" s="1"/>
      <x:c r="D11" s="125" t="str">
        <x:v>SALES DATA
Sales_Data tab</x:v>
      </x:c>
      <x:c r="E11" s="126"/>
      <x:c r="F11" s="1"/>
      <x:c r="G11" s="125" t="str">
        <x:v>ORDER SUMMARY
Order_Summary tab</x:v>
      </x:c>
      <x:c r="H11" s="126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27"/>
      <x:c r="B12" s="128"/>
      <x:c r="C12" s="1"/>
      <x:c r="D12" s="127"/>
      <x:c r="E12" s="128"/>
      <x:c r="F12" s="1"/>
      <x:c r="G12" s="127"/>
      <x:c r="H12" s="128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27"/>
      <x:c r="B13" s="128"/>
      <x:c r="C13" s="1"/>
      <x:c r="D13" s="127"/>
      <x:c r="E13" s="128"/>
      <x:c r="F13" s="1"/>
      <x:c r="G13" s="127"/>
      <x:c r="H13" s="128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29"/>
      <x:c r="B14" s="130"/>
      <x:c r="C14" s="1"/>
      <x:c r="D14" s="129"/>
      <x:c r="E14" s="130"/>
      <x:c r="F14" s="1"/>
      <x:c r="G14" s="129"/>
      <x:c r="H14" s="130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31" t="str">
        <x:v>CURRENT DEMO SNAPSHOT  |  All branches, selected dashboard year</x:v>
      </x:c>
      <x:c r="B16" s="131"/>
      <x:c r="C16" s="131"/>
      <x:c r="D16" s="131"/>
      <x:c r="E16" s="131"/>
      <x:c r="F16" s="131"/>
      <x:c r="G16" s="131"/>
      <x:c r="H16" s="13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32" t="str">
        <x:v>SALES</x:v>
      </x:c>
      <x:c r="B18" s="132"/>
      <x:c r="C18" s="132" t="str">
        <x:v>ORDERS</x:v>
      </x:c>
      <x:c r="D18" s="132"/>
      <x:c r="E18" s="132" t="str">
        <x:v>ITEMS SOLD</x:v>
      </x:c>
      <x:c r="F18" s="132"/>
      <x:c r="G18" s="132" t="str">
        <x:v>AVERAGE ORDER</x:v>
      </x:c>
      <x:c r="H18" s="132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46" t="n">
        <x:f>Dashboard!B7</x:f>
        <x:v>173060</x:v>
      </x:c>
      <x:c r="B19" s="147"/>
      <x:c r="C19" s="142" t="n">
        <x:f>Dashboard!D7</x:f>
        <x:v>199</x:v>
      </x:c>
      <x:c r="D19" s="143"/>
      <x:c r="E19" s="142" t="n">
        <x:f>Dashboard!F7</x:f>
        <x:v>838</x:v>
      </x:c>
      <x:c r="F19" s="143"/>
      <x:c r="G19" s="146" t="n">
        <x:f>Dashboard!H7</x:f>
        <x:v>869.6482412060302</x:v>
      </x:c>
      <x:c r="H19" s="147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48"/>
      <x:c r="B20" s="149"/>
      <x:c r="C20" s="144"/>
      <x:c r="D20" s="145"/>
      <x:c r="E20" s="144"/>
      <x:c r="F20" s="145"/>
      <x:c r="G20" s="148"/>
      <x:c r="H20" s="149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81" t="str">
        <x:v>SALES FLOW</x:v>
      </x:c>
      <x:c r="B23" s="81"/>
      <x:c r="C23" s="81"/>
      <x:c r="D23" s="81"/>
      <x:c r="E23" s="81"/>
      <x:c r="F23" s="81"/>
      <x:c r="G23" s="81"/>
      <x:c r="H23" s="8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53" t="str">
        <x:v>1  Choose branch and restaurant   →   2  Add food and optional drinks   →   3  Click SAVE SALE   →   4  Check the updated dashboard</x:v>
      </x:c>
      <x:c r="B25" s="153"/>
      <x:c r="C25" s="153"/>
      <x:c r="D25" s="153"/>
      <x:c r="E25" s="153"/>
      <x:c r="F25" s="153"/>
      <x:c r="G25" s="153"/>
      <x:c r="H25" s="153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53"/>
      <x:c r="B26" s="153"/>
      <x:c r="C26" s="153"/>
      <x:c r="D26" s="153"/>
      <x:c r="E26" s="153"/>
      <x:c r="F26" s="153"/>
      <x:c r="G26" s="153"/>
      <x:c r="H26" s="153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53"/>
      <x:c r="B27" s="153"/>
      <x:c r="C27" s="153"/>
      <x:c r="D27" s="153"/>
      <x:c r="E27" s="153"/>
      <x:c r="F27" s="153"/>
      <x:c r="G27" s="153"/>
      <x:c r="H27" s="153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57" t="str">
        <x:v>DEMO / SIMULATED sales are included for 2023–2026. To activate the one-click SAVE SALE button, open this workbook in desktop Excel, save as .xlsm, import SaveSale.bas, and run InstallSaveButton once.</x:v>
      </x:c>
      <x:c r="B29" s="157"/>
      <x:c r="C29" s="157"/>
      <x:c r="D29" s="157"/>
      <x:c r="E29" s="157"/>
      <x:c r="F29" s="157"/>
      <x:c r="G29" s="157"/>
      <x:c r="H29" s="157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57"/>
      <x:c r="B30" s="157"/>
      <x:c r="C30" s="157"/>
      <x:c r="D30" s="157"/>
      <x:c r="E30" s="157"/>
      <x:c r="F30" s="157"/>
      <x:c r="G30" s="157"/>
      <x:c r="H30" s="157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H1"/>
    <x:mergeCell ref="A2:H2"/>
    <x:mergeCell ref="A3:H3"/>
    <x:mergeCell ref="A4:H4"/>
    <x:mergeCell ref="A6:B9"/>
    <x:mergeCell ref="D6:E9"/>
    <x:mergeCell ref="G6:H9"/>
    <x:mergeCell ref="A11:B14"/>
    <x:mergeCell ref="D11:E14"/>
    <x:mergeCell ref="G11:H14"/>
    <x:mergeCell ref="A16:H16"/>
    <x:mergeCell ref="A18:B18"/>
    <x:mergeCell ref="A19:B20"/>
    <x:mergeCell ref="C18:D18"/>
    <x:mergeCell ref="C19:D20"/>
    <x:mergeCell ref="E18:F18"/>
    <x:mergeCell ref="E19:F20"/>
    <x:mergeCell ref="G18:H18"/>
    <x:mergeCell ref="G19:H20"/>
    <x:mergeCell ref="A23:H23"/>
    <x:mergeCell ref="A25:H27"/>
    <x:mergeCell ref="A29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5822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4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 ht="36" customHeight="1">
      <x:c r="A1" s="4" t="str">
        <x:v>JALDIMAI FOODS  |  SALES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1" t="str">
        <x:v>DEMO DATA — SIMULATED FOR SYSTEM TESTING  •  Public starter prices may change; verify before live sales.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0" customHeight="1">
      <x:c r="A4" s="8" t="str">
        <x:v>Branch Filter</x:v>
      </x:c>
      <x:c r="B4" s="8" t="str">
        <x:v>All</x:v>
      </x:c>
      <x:c r="C4" s="8" t="str">
        <x:v>Year Filter</x:v>
      </x:c>
      <x:c r="D4" s="8" t="n">
        <x:v>2026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4" customHeight="1">
      <x:c r="A6" s="51" t="str">
        <x:v>TOTAL SALES</x:v>
      </x:c>
      <x:c r="B6" s="52"/>
      <x:c r="C6" s="64" t="str">
        <x:v>TOTAL ORDERS</x:v>
      </x:c>
      <x:c r="D6" s="65"/>
      <x:c r="E6" s="64" t="str">
        <x:v>ITEMS SOLD</x:v>
      </x:c>
      <x:c r="F6" s="65"/>
      <x:c r="G6" s="64" t="str">
        <x:v>AVERAGE SALE</x:v>
      </x:c>
      <x:c r="H6" s="65"/>
      <x:c r="I6" s="64" t="str">
        <x:v>FOOD SALES</x:v>
      </x:c>
      <x:c r="J6" s="65"/>
      <x:c r="K6" s="64" t="str">
        <x:v>DRINK SALES</x:v>
      </x:c>
      <x:c r="L6" s="65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8" customHeight="1">
      <x:c r="A7" s="68"/>
      <x:c r="B7" s="69" t="n">
        <x:f>SUMIFS(Sales_Data!$J$3:$J$5002,Sales_Data!$D$3:$D$5002,IF($B$4="All","&lt;&gt;",$B$4),Sales_Data!$B$3:$B$5002,"&gt;="&amp;DATE($D$4,1,1),Sales_Data!$B$3:$B$5002,"&lt;"&amp;DATE($D$4+1,1,1))</x:f>
        <x:v>173060</x:v>
      </x:c>
      <x:c r="C7" s="72"/>
      <x:c r="D7" s="71" t="n">
        <x:f>COUNTIFS(Order_Summary!$D$3:$D$3002,IF($B$4="All","&lt;&gt;",$B$4),Order_Summary!$B$3:$B$3002,"&gt;="&amp;DATE($D$4,1,1),Order_Summary!$B$3:$B$3002,"&lt;"&amp;DATE($D$4+1,1,1))</x:f>
        <x:v>199</x:v>
      </x:c>
      <x:c r="E7" s="72"/>
      <x:c r="F7" s="71" t="n">
        <x:f>SUMIFS(Sales_Data!$H$3:$H$5002,Sales_Data!$D$3:$D$5002,IF($B$4="All","&lt;&gt;",$B$4),Sales_Data!$B$3:$B$5002,"&gt;="&amp;DATE($D$4,1,1),Sales_Data!$B$3:$B$5002,"&lt;"&amp;DATE($D$4+1,1,1))</x:f>
        <x:v>838</x:v>
      </x:c>
      <x:c r="G7" s="70"/>
      <x:c r="H7" s="71" t="n">
        <x:f>IFERROR(B7/D7,0)</x:f>
        <x:v>869.6482412060302</x:v>
      </x:c>
      <x:c r="I7" s="70"/>
      <x:c r="J7" s="71" t="n">
        <x:f>SUMIFS(Sales_Data!$J$3:$J$5002,Sales_Data!$G$3:$G$5002,"Food",Sales_Data!$D$3:$D$5002,IF($B$4="All","&lt;&gt;",$B$4),Sales_Data!$B$3:$B$5002,"&gt;="&amp;DATE($D$4,1,1),Sales_Data!$B$3:$B$5002,"&lt;"&amp;DATE($D$4+1,1,1))</x:f>
        <x:v>150260</x:v>
      </x:c>
      <x:c r="K7" s="70"/>
      <x:c r="L7" s="71" t="n">
        <x:f>SUMIFS(Sales_Data!$J$3:$J$5002,Sales_Data!$G$3:$G$5002,"Drink",Sales_Data!$D$3:$D$5002,IF($B$4="All","&lt;&gt;",$B$4),Sales_Data!$B$3:$B$5002,"&gt;="&amp;DATE($D$4,1,1),Sales_Data!$B$3:$B$5002,"&lt;"&amp;DATE($D$4+1,1,1))</x:f>
        <x:v>22800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0" customHeight="1">
      <x:c r="A10" s="159" t="str">
        <x:v>BRANCH COMPARISON</x:v>
      </x:c>
      <x:c r="B10" s="160" t="str">
        <x:v>Sales (NPR)</x:v>
      </x:c>
      <x:c r="C10" s="160" t="str">
        <x:v>Orders</x:v>
      </x:c>
      <x:c r="D10" s="160" t="str">
        <x:v>Items</x:v>
      </x:c>
      <x:c r="E10" s="161"/>
      <x:c r="F10" s="160" t="str">
        <x:v>MONTHLY TREND</x:v>
      </x:c>
      <x:c r="G10" s="160" t="str">
        <x:v>Sales (NPR)</x:v>
      </x:c>
      <x:c r="H10" s="161"/>
      <x:c r="I10" s="160" t="str">
        <x:v>RESTAURANT</x:v>
      </x:c>
      <x:c r="J10" s="160" t="str">
        <x:v>Branch</x:v>
      </x:c>
      <x:c r="K10" s="160" t="str">
        <x:v>Sales (NPR)</x:v>
      </x:c>
      <x:c r="L10" s="162" t="str">
        <x:v>Items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63" t="str">
        <x:v>Damak</x:v>
      </x:c>
      <x:c r="B11" s="164" t="n">
        <x:f>SUMIFS(Sales_Data!$J$3:$J$5002,Sales_Data!$D$3:$D$5002,A11,Sales_Data!$B$3:$B$5002,"&gt;="&amp;DATE($D$4,1,1),Sales_Data!$B$3:$B$5002,"&lt;"&amp;DATE($D$4+1,1,1))</x:f>
        <x:v>69560</x:v>
      </x:c>
      <x:c r="C11" s="165" t="n">
        <x:f>COUNTIFS(Order_Summary!$D$3:$D$3002,A11,Order_Summary!$B$3:$B$3002,"&gt;="&amp;DATE($D$4,1,1),Order_Summary!$B$3:$B$3002,"&lt;"&amp;DATE($D$4+1,1,1))</x:f>
        <x:v>83</x:v>
      </x:c>
      <x:c r="D11" s="165" t="n">
        <x:f>SUMIFS(Sales_Data!$H$3:$H$5002,Sales_Data!$D$3:$D$5002,A11,Sales_Data!$B$3:$B$5002,"&gt;="&amp;DATE($D$4,1,1),Sales_Data!$B$3:$B$5002,"&lt;"&amp;DATE($D$4+1,1,1))</x:f>
        <x:v>334</x:v>
      </x:c>
      <x:c r="E11" s="165"/>
      <x:c r="F11" s="165" t="str">
        <x:v>Jan</x:v>
      </x:c>
      <x:c r="G11" s="164" t="n">
        <x:f>SUMIFS(Sales_Data!$J$3:$J$5002,Sales_Data!$D$3:$D$5002,IF($B$4="All","&lt;&gt;",$B$4),Sales_Data!$B$3:$B$5002,"&gt;="&amp;DATE($D$4,1,1),Sales_Data!$B$3:$B$5002,"&lt;"&amp;EDATE(DATE($D$4,1,1),1))</x:f>
        <x:v>20045</x:v>
      </x:c>
      <x:c r="H11" s="165"/>
      <x:c r="I11" s="165" t="str">
        <x:v>Late Night Cravings</x:v>
      </x:c>
      <x:c r="J11" s="165" t="str">
        <x:v>Damak</x:v>
      </x:c>
      <x:c r="K11" s="164" t="n">
        <x:f>SUMIFS(Sales_Data!$J$3:$J$5002,Sales_Data!$E$3:$E$5002,I11,Sales_Data!$B$3:$B$5002,"&gt;="&amp;DATE($D$4,1,1),Sales_Data!$B$3:$B$5002,"&lt;"&amp;DATE($D$4+1,1,1))</x:f>
        <x:v>28040</x:v>
      </x:c>
      <x:c r="L11" s="166" t="n">
        <x:f>SUMIFS(Sales_Data!$H$3:$H$5002,Sales_Data!$E$3:$E$5002,I11,Sales_Data!$B$3:$B$5002,"&gt;="&amp;DATE($D$4,1,1),Sales_Data!$B$3:$B$5002,"&lt;"&amp;DATE($D$4+1,1,1))</x:f>
        <x:v>163</x:v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63" t="str">
        <x:v>Birtamode</x:v>
      </x:c>
      <x:c r="B12" s="164" t="n">
        <x:f>SUMIFS(Sales_Data!$J$3:$J$5002,Sales_Data!$D$3:$D$5002,A12,Sales_Data!$B$3:$B$5002,"&gt;="&amp;DATE($D$4,1,1),Sales_Data!$B$3:$B$5002,"&lt;"&amp;DATE($D$4+1,1,1))</x:f>
        <x:v>103500</x:v>
      </x:c>
      <x:c r="C12" s="165" t="n">
        <x:f>COUNTIFS(Order_Summary!$D$3:$D$3002,A12,Order_Summary!$B$3:$B$3002,"&gt;="&amp;DATE($D$4,1,1),Order_Summary!$B$3:$B$3002,"&lt;"&amp;DATE($D$4+1,1,1))</x:f>
        <x:v>116</x:v>
      </x:c>
      <x:c r="D12" s="165" t="n">
        <x:f>SUMIFS(Sales_Data!$H$3:$H$5002,Sales_Data!$D$3:$D$5002,A12,Sales_Data!$B$3:$B$5002,"&gt;="&amp;DATE($D$4,1,1),Sales_Data!$B$3:$B$5002,"&lt;"&amp;DATE($D$4+1,1,1))</x:f>
        <x:v>504</x:v>
      </x:c>
      <x:c r="E12" s="165"/>
      <x:c r="F12" s="165" t="str">
        <x:v>Feb</x:v>
      </x:c>
      <x:c r="G12" s="164" t="n">
        <x:f>SUMIFS(Sales_Data!$J$3:$J$5002,Sales_Data!$D$3:$D$5002,IF($B$4="All","&lt;&gt;",$B$4),Sales_Data!$B$3:$B$5002,"&gt;="&amp;DATE($D$4,2,1),Sales_Data!$B$3:$B$5002,"&lt;"&amp;EDATE(DATE($D$4,2,1),1))</x:f>
        <x:v>21800</x:v>
      </x:c>
      <x:c r="H12" s="165"/>
      <x:c r="I12" s="165" t="str">
        <x:v>Milan’s Bakery</x:v>
      </x:c>
      <x:c r="J12" s="165" t="str">
        <x:v>Damak</x:v>
      </x:c>
      <x:c r="K12" s="164" t="n">
        <x:f>SUMIFS(Sales_Data!$J$3:$J$5002,Sales_Data!$E$3:$E$5002,I12,Sales_Data!$B$3:$B$5002,"&gt;="&amp;DATE($D$4,1,1),Sales_Data!$B$3:$B$5002,"&lt;"&amp;DATE($D$4+1,1,1))</x:f>
        <x:v>41520</x:v>
      </x:c>
      <x:c r="L12" s="166" t="n">
        <x:f>SUMIFS(Sales_Data!$H$3:$H$5002,Sales_Data!$E$3:$E$5002,I12,Sales_Data!$B$3:$B$5002,"&gt;="&amp;DATE($D$4,1,1),Sales_Data!$B$3:$B$5002,"&lt;"&amp;DATE($D$4+1,1,1))</x:f>
        <x:v>171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63"/>
      <x:c r="B13" s="165"/>
      <x:c r="C13" s="165"/>
      <x:c r="D13" s="165"/>
      <x:c r="E13" s="165"/>
      <x:c r="F13" s="165" t="str">
        <x:v>Mar</x:v>
      </x:c>
      <x:c r="G13" s="164" t="n">
        <x:f>SUMIFS(Sales_Data!$J$3:$J$5002,Sales_Data!$D$3:$D$5002,IF($B$4="All","&lt;&gt;",$B$4),Sales_Data!$B$3:$B$5002,"&gt;="&amp;DATE($D$4,3,1),Sales_Data!$B$3:$B$5002,"&lt;"&amp;EDATE(DATE($D$4,3,1),1))</x:f>
        <x:v>20710</x:v>
      </x:c>
      <x:c r="H13" s="165"/>
      <x:c r="I13" s="165" t="str">
        <x:v>Pizza Ghar</x:v>
      </x:c>
      <x:c r="J13" s="165" t="str">
        <x:v>Birtamode</x:v>
      </x:c>
      <x:c r="K13" s="164" t="n">
        <x:f>SUMIFS(Sales_Data!$J$3:$J$5002,Sales_Data!$E$3:$E$5002,I13,Sales_Data!$B$3:$B$5002,"&gt;="&amp;DATE($D$4,1,1),Sales_Data!$B$3:$B$5002,"&lt;"&amp;DATE($D$4+1,1,1))</x:f>
        <x:v>69380</x:v>
      </x:c>
      <x:c r="L13" s="166" t="n">
        <x:f>SUMIFS(Sales_Data!$H$3:$H$5002,Sales_Data!$E$3:$E$5002,I13,Sales_Data!$B$3:$B$5002,"&gt;="&amp;DATE($D$4,1,1),Sales_Data!$B$3:$B$5002,"&lt;"&amp;DATE($D$4+1,1,1))</x:f>
        <x:v>251</x:v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67" t="str">
        <x:f>IF(B11&gt;B12,"Damak is leading",IF(B12&gt;B11,"Birtamode is leading","Branches are tied"))</x:f>
        <x:v>Birtamode is leading</x:v>
      </x:c>
      <x:c r="B14" s="168"/>
      <x:c r="C14" s="168"/>
      <x:c r="D14" s="168"/>
      <x:c r="E14" s="165"/>
      <x:c r="F14" s="165" t="str">
        <x:v>Apr</x:v>
      </x:c>
      <x:c r="G14" s="164" t="n">
        <x:f>SUMIFS(Sales_Data!$J$3:$J$5002,Sales_Data!$D$3:$D$5002,IF($B$4="All","&lt;&gt;",$B$4),Sales_Data!$B$3:$B$5002,"&gt;="&amp;DATE($D$4,4,1),Sales_Data!$B$3:$B$5002,"&lt;"&amp;EDATE(DATE($D$4,4,1),1))</x:f>
        <x:v>22365</x:v>
      </x:c>
      <x:c r="H14" s="165"/>
      <x:c r="I14" s="165" t="str">
        <x:v>The Underground Cafe &amp; Restaurant</x:v>
      </x:c>
      <x:c r="J14" s="165" t="str">
        <x:v>Birtamode</x:v>
      </x:c>
      <x:c r="K14" s="164" t="n">
        <x:f>SUMIFS(Sales_Data!$J$3:$J$5002,Sales_Data!$E$3:$E$5002,I14,Sales_Data!$B$3:$B$5002,"&gt;="&amp;DATE($D$4,1,1),Sales_Data!$B$3:$B$5002,"&lt;"&amp;DATE($D$4+1,1,1))</x:f>
        <x:v>34120</x:v>
      </x:c>
      <x:c r="L14" s="166" t="n">
        <x:f>SUMIFS(Sales_Data!$H$3:$H$5002,Sales_Data!$E$3:$E$5002,I14,Sales_Data!$B$3:$B$5002,"&gt;="&amp;DATE($D$4,1,1),Sales_Data!$B$3:$B$5002,"&lt;"&amp;DATE($D$4+1,1,1))</x:f>
        <x:v>253</x:v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63"/>
      <x:c r="B15" s="165"/>
      <x:c r="C15" s="165"/>
      <x:c r="D15" s="165"/>
      <x:c r="E15" s="165"/>
      <x:c r="F15" s="165" t="str">
        <x:v>May</x:v>
      </x:c>
      <x:c r="G15" s="164" t="n">
        <x:f>SUMIFS(Sales_Data!$J$3:$J$5002,Sales_Data!$D$3:$D$5002,IF($B$4="All","&lt;&gt;",$B$4),Sales_Data!$B$3:$B$5002,"&gt;="&amp;DATE($D$4,5,1),Sales_Data!$B$3:$B$5002,"&lt;"&amp;EDATE(DATE($D$4,5,1),1))</x:f>
        <x:v>20160</x:v>
      </x:c>
      <x:c r="H15" s="165"/>
      <x:c r="I15" s="165"/>
      <x:c r="J15" s="165"/>
      <x:c r="K15" s="165"/>
      <x:c r="L15" s="166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63"/>
      <x:c r="B16" s="165"/>
      <x:c r="C16" s="165"/>
      <x:c r="D16" s="165"/>
      <x:c r="E16" s="165"/>
      <x:c r="F16" s="165" t="str">
        <x:v>Jun</x:v>
      </x:c>
      <x:c r="G16" s="164" t="n">
        <x:f>SUMIFS(Sales_Data!$J$3:$J$5002,Sales_Data!$D$3:$D$5002,IF($B$4="All","&lt;&gt;",$B$4),Sales_Data!$B$3:$B$5002,"&gt;="&amp;DATE($D$4,6,1),Sales_Data!$B$3:$B$5002,"&lt;"&amp;EDATE(DATE($D$4,6,1),1))</x:f>
        <x:v>13625</x:v>
      </x:c>
      <x:c r="H16" s="165"/>
      <x:c r="I16" s="165"/>
      <x:c r="J16" s="165"/>
      <x:c r="K16" s="165"/>
      <x:c r="L16" s="166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63"/>
      <x:c r="B17" s="165"/>
      <x:c r="C17" s="165"/>
      <x:c r="D17" s="165"/>
      <x:c r="E17" s="165"/>
      <x:c r="F17" s="165" t="str">
        <x:v>Jul</x:v>
      </x:c>
      <x:c r="G17" s="164" t="n">
        <x:f>SUMIFS(Sales_Data!$J$3:$J$5002,Sales_Data!$D$3:$D$5002,IF($B$4="All","&lt;&gt;",$B$4),Sales_Data!$B$3:$B$5002,"&gt;="&amp;DATE($D$4,7,1),Sales_Data!$B$3:$B$5002,"&lt;"&amp;EDATE(DATE($D$4,7,1),1))</x:f>
        <x:v>17810</x:v>
      </x:c>
      <x:c r="H17" s="165"/>
      <x:c r="I17" s="165"/>
      <x:c r="J17" s="165"/>
      <x:c r="K17" s="165"/>
      <x:c r="L17" s="166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63"/>
      <x:c r="B18" s="165"/>
      <x:c r="C18" s="165"/>
      <x:c r="D18" s="165"/>
      <x:c r="E18" s="165"/>
      <x:c r="F18" s="165" t="str">
        <x:v>Aug</x:v>
      </x:c>
      <x:c r="G18" s="164" t="n">
        <x:f>SUMIFS(Sales_Data!$J$3:$J$5002,Sales_Data!$D$3:$D$5002,IF($B$4="All","&lt;&gt;",$B$4),Sales_Data!$B$3:$B$5002,"&gt;="&amp;DATE($D$4,8,1),Sales_Data!$B$3:$B$5002,"&lt;"&amp;EDATE(DATE($D$4,8,1),1))</x:f>
        <x:v>15065</x:v>
      </x:c>
      <x:c r="H18" s="165"/>
      <x:c r="I18" s="165"/>
      <x:c r="J18" s="165"/>
      <x:c r="K18" s="165"/>
      <x:c r="L18" s="166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63"/>
      <x:c r="B19" s="165"/>
      <x:c r="C19" s="165"/>
      <x:c r="D19" s="165"/>
      <x:c r="E19" s="165"/>
      <x:c r="F19" s="165" t="str">
        <x:v>Sep</x:v>
      </x:c>
      <x:c r="G19" s="164" t="n">
        <x:f>SUMIFS(Sales_Data!$J$3:$J$5002,Sales_Data!$D$3:$D$5002,IF($B$4="All","&lt;&gt;",$B$4),Sales_Data!$B$3:$B$5002,"&gt;="&amp;DATE($D$4,9,1),Sales_Data!$B$3:$B$5002,"&lt;"&amp;EDATE(DATE($D$4,9,1),1))</x:f>
        <x:v>16980</x:v>
      </x:c>
      <x:c r="H19" s="165"/>
      <x:c r="I19" s="165"/>
      <x:c r="J19" s="165"/>
      <x:c r="K19" s="165"/>
      <x:c r="L19" s="166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63"/>
      <x:c r="B20" s="165"/>
      <x:c r="C20" s="165"/>
      <x:c r="D20" s="165"/>
      <x:c r="E20" s="165"/>
      <x:c r="F20" s="165" t="str">
        <x:v>Oct</x:v>
      </x:c>
      <x:c r="G20" s="164" t="n">
        <x:f>SUMIFS(Sales_Data!$J$3:$J$5002,Sales_Data!$D$3:$D$5002,IF($B$4="All","&lt;&gt;",$B$4),Sales_Data!$B$3:$B$5002,"&gt;="&amp;DATE($D$4,10,1),Sales_Data!$B$3:$B$5002,"&lt;"&amp;EDATE(DATE($D$4,10,1),1))</x:f>
        <x:v>4500</x:v>
      </x:c>
      <x:c r="H20" s="165"/>
      <x:c r="I20" s="165"/>
      <x:c r="J20" s="165"/>
      <x:c r="K20" s="165"/>
      <x:c r="L20" s="166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63"/>
      <x:c r="B21" s="165"/>
      <x:c r="C21" s="165"/>
      <x:c r="D21" s="165"/>
      <x:c r="E21" s="165"/>
      <x:c r="F21" s="165" t="str">
        <x:v>Nov</x:v>
      </x:c>
      <x:c r="G21" s="164" t="n">
        <x:f>SUMIFS(Sales_Data!$J$3:$J$5002,Sales_Data!$D$3:$D$5002,IF($B$4="All","&lt;&gt;",$B$4),Sales_Data!$B$3:$B$5002,"&gt;="&amp;DATE($D$4,11,1),Sales_Data!$B$3:$B$5002,"&lt;"&amp;EDATE(DATE($D$4,11,1),1))</x:f>
        <x:v>0</x:v>
      </x:c>
      <x:c r="H21" s="165"/>
      <x:c r="I21" s="165"/>
      <x:c r="J21" s="165"/>
      <x:c r="K21" s="165"/>
      <x:c r="L21" s="166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63"/>
      <x:c r="B22" s="165"/>
      <x:c r="C22" s="165"/>
      <x:c r="D22" s="165"/>
      <x:c r="E22" s="165"/>
      <x:c r="F22" s="165" t="str">
        <x:v>Dec</x:v>
      </x:c>
      <x:c r="G22" s="164" t="n">
        <x:f>SUMIFS(Sales_Data!$J$3:$J$5002,Sales_Data!$D$3:$D$5002,IF($B$4="All","&lt;&gt;",$B$4),Sales_Data!$B$3:$B$5002,"&gt;="&amp;DATE($D$4,12,1),Sales_Data!$B$3:$B$5002,"&lt;"&amp;EDATE(DATE($D$4,12,1),1))</x:f>
        <x:v>0</x:v>
      </x:c>
      <x:c r="H22" s="165"/>
      <x:c r="I22" s="165"/>
      <x:c r="J22" s="165"/>
      <x:c r="K22" s="165"/>
      <x:c r="L22" s="166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63"/>
      <x:c r="B23" s="165"/>
      <x:c r="C23" s="165"/>
      <x:c r="D23" s="165"/>
      <x:c r="E23" s="165"/>
      <x:c r="F23" s="165"/>
      <x:c r="G23" s="165"/>
      <x:c r="H23" s="165"/>
      <x:c r="I23" s="165"/>
      <x:c r="J23" s="165"/>
      <x:c r="K23" s="165"/>
      <x:c r="L23" s="166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63"/>
      <x:c r="B24" s="165"/>
      <x:c r="C24" s="165"/>
      <x:c r="D24" s="165"/>
      <x:c r="E24" s="165"/>
      <x:c r="F24" s="165"/>
      <x:c r="G24" s="165"/>
      <x:c r="H24" s="165"/>
      <x:c r="I24" s="165"/>
      <x:c r="J24" s="165"/>
      <x:c r="K24" s="165"/>
      <x:c r="L24" s="166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30" customHeight="1">
      <x:c r="A25" s="169" t="str">
        <x:v>FOUR-YEAR COMPARISON</x:v>
      </x:c>
      <x:c r="B25" s="170" t="str">
        <x:v>Sales (NPR)</x:v>
      </x:c>
      <x:c r="C25" s="170" t="str">
        <x:v>Orders</x:v>
      </x:c>
      <x:c r="D25" s="170" t="str">
        <x:v>Items</x:v>
      </x:c>
      <x:c r="E25" s="165"/>
      <x:c r="F25" s="170" t="str">
        <x:v>TOP ITEMS (selected year)</x:v>
      </x:c>
      <x:c r="G25" s="170" t="str">
        <x:v>Category</x:v>
      </x:c>
      <x:c r="H25" s="170" t="str">
        <x:v>Quantity</x:v>
      </x:c>
      <x:c r="I25" s="170" t="str">
        <x:v>Revenue (NPR)</x:v>
      </x:c>
      <x:c r="J25" s="165"/>
      <x:c r="K25" s="165"/>
      <x:c r="L25" s="166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63" t="n">
        <x:v>2023</x:v>
      </x:c>
      <x:c r="B26" s="164" t="n">
        <x:f>SUMIFS(Sales_Data!$J$3:$J$5002,Sales_Data!$B$3:$B$5002,"&gt;="&amp;DATE(A26,1,1),Sales_Data!$B$3:$B$5002,"&lt;"&amp;DATE(A26+1,1,1))</x:f>
        <x:v>254365</x:v>
      </x:c>
      <x:c r="C26" s="165" t="n">
        <x:f>COUNTIFS(Order_Summary!$B$3:$B$3002,"&gt;="&amp;DATE(A26,1,1),Order_Summary!$B$3:$B$3002,"&lt;"&amp;DATE(A26+1,1,1))</x:f>
        <x:v>291</x:v>
      </x:c>
      <x:c r="D26" s="165" t="n">
        <x:f>SUMIFS(Sales_Data!$H$3:$H$5002,Sales_Data!$B$3:$B$5002,"&gt;="&amp;DATE(A26,1,1),Sales_Data!$B$3:$B$5002,"&lt;"&amp;DATE(A26+1,1,1))</x:f>
        <x:v>1354</x:v>
      </x:c>
      <x:c r="E26" s="165"/>
      <x:c r="F26" s="165" t="str">
        <x:v>Veg Fry Rice</x:v>
      </x:c>
      <x:c r="G26" s="165" t="str">
        <x:f>IFERROR(INDEX(Menu_Master!$E$3:$E$25,MATCH(F26,Menu_Master!$D$3:$D$25,0)),"")</x:f>
        <x:v>Food</x:v>
      </x:c>
      <x:c r="H26" s="165" t="n">
        <x:f>SUMIFS(Sales_Data!$H$3:$H$5002,Sales_Data!$F$3:$F$5002,F26,Sales_Data!$D$3:$D$5002,IF($B$4="All","&lt;&gt;",$B$4),Sales_Data!$B$3:$B$5002,"&gt;="&amp;DATE($D$4,1,1),Sales_Data!$B$3:$B$5002,"&lt;"&amp;DATE($D$4+1,1,1))</x:f>
        <x:v>20</x:v>
      </x:c>
      <x:c r="I26" s="164" t="n">
        <x:f>SUMIFS(Sales_Data!$J$3:$J$5002,Sales_Data!$F$3:$F$5002,F26,Sales_Data!$D$3:$D$5002,IF($B$4="All","&lt;&gt;",$B$4),Sales_Data!$B$3:$B$5002,"&gt;="&amp;DATE($D$4,1,1),Sales_Data!$B$3:$B$5002,"&lt;"&amp;DATE($D$4+1,1,1))</x:f>
        <x:v>3200</x:v>
      </x:c>
      <x:c r="J26" s="165"/>
      <x:c r="K26" s="165"/>
      <x:c r="L26" s="166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63" t="n">
        <x:v>2024</x:v>
      </x:c>
      <x:c r="B27" s="164" t="n">
        <x:f>SUMIFS(Sales_Data!$J$3:$J$5002,Sales_Data!$B$3:$B$5002,"&gt;="&amp;DATE(A27,1,1),Sales_Data!$B$3:$B$5002,"&lt;"&amp;DATE(A27+1,1,1))</x:f>
        <x:v>235440</x:v>
      </x:c>
      <x:c r="C27" s="165" t="n">
        <x:f>COUNTIFS(Order_Summary!$B$3:$B$3002,"&gt;="&amp;DATE(A27,1,1),Order_Summary!$B$3:$B$3002,"&lt;"&amp;DATE(A27+1,1,1))</x:f>
        <x:v>263</x:v>
      </x:c>
      <x:c r="D27" s="165" t="n">
        <x:f>SUMIFS(Sales_Data!$H$3:$H$5002,Sales_Data!$B$3:$B$5002,"&gt;="&amp;DATE(A27,1,1),Sales_Data!$B$3:$B$5002,"&lt;"&amp;DATE(A27+1,1,1))</x:f>
        <x:v>1208</x:v>
      </x:c>
      <x:c r="E27" s="165"/>
      <x:c r="F27" s="165" t="str">
        <x:v>Chicken Fry Rice</x:v>
      </x:c>
      <x:c r="G27" s="165" t="str">
        <x:f>IFERROR(INDEX(Menu_Master!$E$3:$E$25,MATCH(F27,Menu_Master!$D$3:$D$25,0)),"")</x:f>
        <x:v>Food</x:v>
      </x:c>
      <x:c r="H27" s="165" t="n">
        <x:f>SUMIFS(Sales_Data!$H$3:$H$5002,Sales_Data!$F$3:$F$5002,F27,Sales_Data!$D$3:$D$5002,IF($B$4="All","&lt;&gt;",$B$4),Sales_Data!$B$3:$B$5002,"&gt;="&amp;DATE($D$4,1,1),Sales_Data!$B$3:$B$5002,"&lt;"&amp;DATE($D$4+1,1,1))</x:f>
        <x:v>18</x:v>
      </x:c>
      <x:c r="I27" s="164" t="n">
        <x:f>SUMIFS(Sales_Data!$J$3:$J$5002,Sales_Data!$F$3:$F$5002,F27,Sales_Data!$D$3:$D$5002,IF($B$4="All","&lt;&gt;",$B$4),Sales_Data!$B$3:$B$5002,"&gt;="&amp;DATE($D$4,1,1),Sales_Data!$B$3:$B$5002,"&lt;"&amp;DATE($D$4+1,1,1))</x:f>
        <x:v>3960</x:v>
      </x:c>
      <x:c r="J27" s="165"/>
      <x:c r="K27" s="165"/>
      <x:c r="L27" s="166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63" t="n">
        <x:v>2025</x:v>
      </x:c>
      <x:c r="B28" s="164" t="n">
        <x:f>SUMIFS(Sales_Data!$J$3:$J$5002,Sales_Data!$B$3:$B$5002,"&gt;="&amp;DATE(A28,1,1),Sales_Data!$B$3:$B$5002,"&lt;"&amp;DATE(A28+1,1,1))</x:f>
        <x:v>214225</x:v>
      </x:c>
      <x:c r="C28" s="165" t="n">
        <x:f>COUNTIFS(Order_Summary!$B$3:$B$3002,"&gt;="&amp;DATE(A28,1,1),Order_Summary!$B$3:$B$3002,"&lt;"&amp;DATE(A28+1,1,1))</x:f>
        <x:v>247</x:v>
      </x:c>
      <x:c r="D28" s="165" t="n">
        <x:f>SUMIFS(Sales_Data!$H$3:$H$5002,Sales_Data!$B$3:$B$5002,"&gt;="&amp;DATE(A28,1,1),Sales_Data!$B$3:$B$5002,"&lt;"&amp;DATE(A28+1,1,1))</x:f>
        <x:v>996</x:v>
      </x:c>
      <x:c r="E28" s="165"/>
      <x:c r="F28" s="165" t="str">
        <x:v>Mix Fry Rice</x:v>
      </x:c>
      <x:c r="G28" s="165" t="str">
        <x:f>IFERROR(INDEX(Menu_Master!$E$3:$E$25,MATCH(F28,Menu_Master!$D$3:$D$25,0)),"")</x:f>
        <x:v>Food</x:v>
      </x:c>
      <x:c r="H28" s="165" t="n">
        <x:f>SUMIFS(Sales_Data!$H$3:$H$5002,Sales_Data!$F$3:$F$5002,F28,Sales_Data!$D$3:$D$5002,IF($B$4="All","&lt;&gt;",$B$4),Sales_Data!$B$3:$B$5002,"&gt;="&amp;DATE($D$4,1,1),Sales_Data!$B$3:$B$5002,"&lt;"&amp;DATE($D$4+1,1,1))</x:f>
        <x:v>38</x:v>
      </x:c>
      <x:c r="I28" s="164" t="n">
        <x:f>SUMIFS(Sales_Data!$J$3:$J$5002,Sales_Data!$F$3:$F$5002,F28,Sales_Data!$D$3:$D$5002,IF($B$4="All","&lt;&gt;",$B$4),Sales_Data!$B$3:$B$5002,"&gt;="&amp;DATE($D$4,1,1),Sales_Data!$B$3:$B$5002,"&lt;"&amp;DATE($D$4+1,1,1))</x:f>
        <x:v>10640</x:v>
      </x:c>
      <x:c r="J28" s="165"/>
      <x:c r="K28" s="165"/>
      <x:c r="L28" s="166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71" t="n">
        <x:v>2026</x:v>
      </x:c>
      <x:c r="B29" s="172" t="n">
        <x:f>SUMIFS(Sales_Data!$J$3:$J$5002,Sales_Data!$B$3:$B$5002,"&gt;="&amp;DATE(A29,1,1),Sales_Data!$B$3:$B$5002,"&lt;"&amp;DATE(A29+1,1,1))</x:f>
        <x:v>173060</x:v>
      </x:c>
      <x:c r="C29" s="173" t="n">
        <x:f>COUNTIFS(Order_Summary!$B$3:$B$3002,"&gt;="&amp;DATE(A29,1,1),Order_Summary!$B$3:$B$3002,"&lt;"&amp;DATE(A29+1,1,1))</x:f>
        <x:v>199</x:v>
      </x:c>
      <x:c r="D29" s="173" t="n">
        <x:f>SUMIFS(Sales_Data!$H$3:$H$5002,Sales_Data!$B$3:$B$5002,"&gt;="&amp;DATE(A29,1,1),Sales_Data!$B$3:$B$5002,"&lt;"&amp;DATE(A29+1,1,1))</x:f>
        <x:v>838</x:v>
      </x:c>
      <x:c r="E29" s="173"/>
      <x:c r="F29" s="173" t="str">
        <x:v>Egg Fry Rice</x:v>
      </x:c>
      <x:c r="G29" s="173" t="str">
        <x:f>IFERROR(INDEX(Menu_Master!$E$3:$E$25,MATCH(F29,Menu_Master!$D$3:$D$25,0)),"")</x:f>
        <x:v>Food</x:v>
      </x:c>
      <x:c r="H29" s="173" t="n">
        <x:f>SUMIFS(Sales_Data!$H$3:$H$5002,Sales_Data!$F$3:$F$5002,F29,Sales_Data!$D$3:$D$5002,IF($B$4="All","&lt;&gt;",$B$4),Sales_Data!$B$3:$B$5002,"&gt;="&amp;DATE($D$4,1,1),Sales_Data!$B$3:$B$5002,"&lt;"&amp;DATE($D$4+1,1,1))</x:f>
        <x:v>31</x:v>
      </x:c>
      <x:c r="I29" s="172" t="n">
        <x:f>SUMIFS(Sales_Data!$J$3:$J$5002,Sales_Data!$F$3:$F$5002,F29,Sales_Data!$D$3:$D$5002,IF($B$4="All","&lt;&gt;",$B$4),Sales_Data!$B$3:$B$5002,"&gt;="&amp;DATE($D$4,1,1),Sales_Data!$B$3:$B$5002,"&lt;"&amp;DATE($D$4+1,1,1))</x:f>
        <x:v>6200</x:v>
      </x:c>
      <x:c r="J29" s="173"/>
      <x:c r="K29" s="173"/>
      <x:c r="L29" s="174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 t="str">
        <x:v>Black Forest Cake</x:v>
      </x:c>
      <x:c r="G30" s="1" t="str">
        <x:f>IFERROR(INDEX(Menu_Master!$E$3:$E$25,MATCH(F30,Menu_Master!$D$3:$D$25,0)),"")</x:f>
        <x:v>Food</x:v>
      </x:c>
      <x:c r="H30" s="1" t="n">
        <x:f>SUMIFS(Sales_Data!$H$3:$H$5002,Sales_Data!$F$3:$F$5002,F30,Sales_Data!$D$3:$D$5002,IF($B$4="All","&lt;&gt;",$B$4),Sales_Data!$B$3:$B$5002,"&gt;="&amp;DATE($D$4,1,1),Sales_Data!$B$3:$B$5002,"&lt;"&amp;DATE($D$4+1,1,1))</x:f>
        <x:v>27</x:v>
      </x:c>
      <x:c r="I30" s="10" t="n">
        <x:f>SUMIFS(Sales_Data!$J$3:$J$5002,Sales_Data!$F$3:$F$5002,F30,Sales_Data!$D$3:$D$5002,IF($B$4="All","&lt;&gt;",$B$4),Sales_Data!$B$3:$B$5002,"&gt;="&amp;DATE($D$4,1,1),Sales_Data!$B$3:$B$5002,"&lt;"&amp;DATE($D$4+1,1,1))</x:f>
        <x:v>8100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 t="str">
        <x:v>Vanilla Cake</x:v>
      </x:c>
      <x:c r="G31" s="1" t="str">
        <x:f>IFERROR(INDEX(Menu_Master!$E$3:$E$25,MATCH(F31,Menu_Master!$D$3:$D$25,0)),"")</x:f>
        <x:v>Food</x:v>
      </x:c>
      <x:c r="H31" s="1" t="n">
        <x:f>SUMIFS(Sales_Data!$H$3:$H$5002,Sales_Data!$F$3:$F$5002,F31,Sales_Data!$D$3:$D$5002,IF($B$4="All","&lt;&gt;",$B$4),Sales_Data!$B$3:$B$5002,"&gt;="&amp;DATE($D$4,1,1),Sales_Data!$B$3:$B$5002,"&lt;"&amp;DATE($D$4+1,1,1))</x:f>
        <x:v>25</x:v>
      </x:c>
      <x:c r="I31" s="10" t="n">
        <x:f>SUMIFS(Sales_Data!$J$3:$J$5002,Sales_Data!$F$3:$F$5002,F31,Sales_Data!$D$3:$D$5002,IF($B$4="All","&lt;&gt;",$B$4),Sales_Data!$B$3:$B$5002,"&gt;="&amp;DATE($D$4,1,1),Sales_Data!$B$3:$B$5002,"&lt;"&amp;DATE($D$4+1,1,1))</x:f>
        <x:v>7500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 t="str">
        <x:v>Chocolate Cake</x:v>
      </x:c>
      <x:c r="G32" s="1" t="str">
        <x:f>IFERROR(INDEX(Menu_Master!$E$3:$E$25,MATCH(F32,Menu_Master!$D$3:$D$25,0)),"")</x:f>
        <x:v>Food</x:v>
      </x:c>
      <x:c r="H32" s="1" t="n">
        <x:f>SUMIFS(Sales_Data!$H$3:$H$5002,Sales_Data!$F$3:$F$5002,F32,Sales_Data!$D$3:$D$5002,IF($B$4="All","&lt;&gt;",$B$4),Sales_Data!$B$3:$B$5002,"&gt;="&amp;DATE($D$4,1,1),Sales_Data!$B$3:$B$5002,"&lt;"&amp;DATE($D$4+1,1,1))</x:f>
        <x:v>30</x:v>
      </x:c>
      <x:c r="I32" s="10" t="n">
        <x:f>SUMIFS(Sales_Data!$J$3:$J$5002,Sales_Data!$F$3:$F$5002,F32,Sales_Data!$D$3:$D$5002,IF($B$4="All","&lt;&gt;",$B$4),Sales_Data!$B$3:$B$5002,"&gt;="&amp;DATE($D$4,1,1),Sales_Data!$B$3:$B$5002,"&lt;"&amp;DATE($D$4+1,1,1))</x:f>
        <x:v>10500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 t="str">
        <x:v>Red Velvet Cake</x:v>
      </x:c>
      <x:c r="G33" s="1" t="str">
        <x:f>IFERROR(INDEX(Menu_Master!$E$3:$E$25,MATCH(F33,Menu_Master!$D$3:$D$25,0)),"")</x:f>
        <x:v>Food</x:v>
      </x:c>
      <x:c r="H33" s="1" t="n">
        <x:f>SUMIFS(Sales_Data!$H$3:$H$5002,Sales_Data!$F$3:$F$5002,F33,Sales_Data!$D$3:$D$5002,IF($B$4="All","&lt;&gt;",$B$4),Sales_Data!$B$3:$B$5002,"&gt;="&amp;DATE($D$4,1,1),Sales_Data!$B$3:$B$5002,"&lt;"&amp;DATE($D$4+1,1,1))</x:f>
        <x:v>11</x:v>
      </x:c>
      <x:c r="I33" s="10" t="n">
        <x:f>SUMIFS(Sales_Data!$J$3:$J$5002,Sales_Data!$F$3:$F$5002,F33,Sales_Data!$D$3:$D$5002,IF($B$4="All","&lt;&gt;",$B$4),Sales_Data!$B$3:$B$5002,"&gt;="&amp;DATE($D$4,1,1),Sales_Data!$B$3:$B$5002,"&lt;"&amp;DATE($D$4+1,1,1))</x:f>
        <x:v>9900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 t="str">
        <x:v>Chicken Fried Rice</x:v>
      </x:c>
      <x:c r="G34" s="1" t="str">
        <x:f>IFERROR(INDEX(Menu_Master!$E$3:$E$25,MATCH(F34,Menu_Master!$D$3:$D$25,0)),"")</x:f>
        <x:v>Food</x:v>
      </x:c>
      <x:c r="H34" s="1" t="n">
        <x:f>SUMIFS(Sales_Data!$H$3:$H$5002,Sales_Data!$F$3:$F$5002,F34,Sales_Data!$D$3:$D$5002,IF($B$4="All","&lt;&gt;",$B$4),Sales_Data!$B$3:$B$5002,"&gt;="&amp;DATE($D$4,1,1),Sales_Data!$B$3:$B$5002,"&lt;"&amp;DATE($D$4+1,1,1))</x:f>
        <x:v>46</x:v>
      </x:c>
      <x:c r="I34" s="10" t="n">
        <x:f>SUMIFS(Sales_Data!$J$3:$J$5002,Sales_Data!$F$3:$F$5002,F34,Sales_Data!$D$3:$D$5002,IF($B$4="All","&lt;&gt;",$B$4),Sales_Data!$B$3:$B$5002,"&gt;="&amp;DATE($D$4,1,1),Sales_Data!$B$3:$B$5002,"&lt;"&amp;DATE($D$4+1,1,1))</x:f>
        <x:v>13800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 t="str">
        <x:v>Egg Fried Rice</x:v>
      </x:c>
      <x:c r="G35" s="1" t="str">
        <x:f>IFERROR(INDEX(Menu_Master!$E$3:$E$25,MATCH(F35,Menu_Master!$D$3:$D$25,0)),"")</x:f>
        <x:v>Food</x:v>
      </x:c>
      <x:c r="H35" s="1" t="n">
        <x:f>SUMIFS(Sales_Data!$H$3:$H$5002,Sales_Data!$F$3:$F$5002,F35,Sales_Data!$D$3:$D$5002,IF($B$4="All","&lt;&gt;",$B$4),Sales_Data!$B$3:$B$5002,"&gt;="&amp;DATE($D$4,1,1),Sales_Data!$B$3:$B$5002,"&lt;"&amp;DATE($D$4+1,1,1))</x:f>
        <x:v>38</x:v>
      </x:c>
      <x:c r="I35" s="10" t="n">
        <x:f>SUMIFS(Sales_Data!$J$3:$J$5002,Sales_Data!$F$3:$F$5002,F35,Sales_Data!$D$3:$D$5002,IF($B$4="All","&lt;&gt;",$B$4),Sales_Data!$B$3:$B$5002,"&gt;="&amp;DATE($D$4,1,1),Sales_Data!$B$3:$B$5002,"&lt;"&amp;DATE($D$4+1,1,1))</x:f>
        <x:v>10260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 t="str">
        <x:v>Veg Fried Rice</x:v>
      </x:c>
      <x:c r="G36" s="1" t="str">
        <x:f>IFERROR(INDEX(Menu_Master!$E$3:$E$25,MATCH(F36,Menu_Master!$D$3:$D$25,0)),"")</x:f>
        <x:v>Food</x:v>
      </x:c>
      <x:c r="H36" s="1" t="n">
        <x:f>SUMIFS(Sales_Data!$H$3:$H$5002,Sales_Data!$F$3:$F$5002,F36,Sales_Data!$D$3:$D$5002,IF($B$4="All","&lt;&gt;",$B$4),Sales_Data!$B$3:$B$5002,"&gt;="&amp;DATE($D$4,1,1),Sales_Data!$B$3:$B$5002,"&lt;"&amp;DATE($D$4+1,1,1))</x:f>
        <x:v>29</x:v>
      </x:c>
      <x:c r="I36" s="10" t="n">
        <x:f>SUMIFS(Sales_Data!$J$3:$J$5002,Sales_Data!$F$3:$F$5002,F36,Sales_Data!$D$3:$D$5002,IF($B$4="All","&lt;&gt;",$B$4),Sales_Data!$B$3:$B$5002,"&gt;="&amp;DATE($D$4,1,1),Sales_Data!$B$3:$B$5002,"&lt;"&amp;DATE($D$4+1,1,1))</x:f>
        <x:v>6380</x:v>
      </x:c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 t="str">
        <x:v>Chicken BBQ Feast Pizza</x:v>
      </x:c>
      <x:c r="G37" s="1" t="str">
        <x:f>IFERROR(INDEX(Menu_Master!$E$3:$E$25,MATCH(F37,Menu_Master!$D$3:$D$25,0)),"")</x:f>
        <x:v>Food</x:v>
      </x:c>
      <x:c r="H37" s="1" t="n">
        <x:f>SUMIFS(Sales_Data!$H$3:$H$5002,Sales_Data!$F$3:$F$5002,F37,Sales_Data!$D$3:$D$5002,IF($B$4="All","&lt;&gt;",$B$4),Sales_Data!$B$3:$B$5002,"&gt;="&amp;DATE($D$4,1,1),Sales_Data!$B$3:$B$5002,"&lt;"&amp;DATE($D$4+1,1,1))</x:f>
        <x:v>58</x:v>
      </x:c>
      <x:c r="I37" s="10" t="n">
        <x:f>SUMIFS(Sales_Data!$J$3:$J$5002,Sales_Data!$F$3:$F$5002,F37,Sales_Data!$D$3:$D$5002,IF($B$4="All","&lt;&gt;",$B$4),Sales_Data!$B$3:$B$5002,"&gt;="&amp;DATE($D$4,1,1),Sales_Data!$B$3:$B$5002,"&lt;"&amp;DATE($D$4+1,1,1))</x:f>
        <x:v>33640</x:v>
      </x:c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 t="str">
        <x:v>Veg Pakauda</x:v>
      </x:c>
      <x:c r="G38" s="1" t="str">
        <x:f>IFERROR(INDEX(Menu_Master!$E$3:$E$25,MATCH(F38,Menu_Master!$D$3:$D$25,0)),"")</x:f>
        <x:v>Food</x:v>
      </x:c>
      <x:c r="H38" s="1" t="n">
        <x:f>SUMIFS(Sales_Data!$H$3:$H$5002,Sales_Data!$F$3:$F$5002,F38,Sales_Data!$D$3:$D$5002,IF($B$4="All","&lt;&gt;",$B$4),Sales_Data!$B$3:$B$5002,"&gt;="&amp;DATE($D$4,1,1),Sales_Data!$B$3:$B$5002,"&lt;"&amp;DATE($D$4+1,1,1))</x:f>
        <x:v>56</x:v>
      </x:c>
      <x:c r="I38" s="10" t="n">
        <x:f>SUMIFS(Sales_Data!$J$3:$J$5002,Sales_Data!$F$3:$F$5002,F38,Sales_Data!$D$3:$D$5002,IF($B$4="All","&lt;&gt;",$B$4),Sales_Data!$B$3:$B$5002,"&gt;="&amp;DATE($D$4,1,1),Sales_Data!$B$3:$B$5002,"&lt;"&amp;DATE($D$4+1,1,1))</x:f>
        <x:v>9800</x:v>
      </x:c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 t="str">
        <x:v>Paneer Pakauda</x:v>
      </x:c>
      <x:c r="G39" s="1" t="str">
        <x:f>IFERROR(INDEX(Menu_Master!$E$3:$E$25,MATCH(F39,Menu_Master!$D$3:$D$25,0)),"")</x:f>
        <x:v>Food</x:v>
      </x:c>
      <x:c r="H39" s="1" t="n">
        <x:f>SUMIFS(Sales_Data!$H$3:$H$5002,Sales_Data!$F$3:$F$5002,F39,Sales_Data!$D$3:$D$5002,IF($B$4="All","&lt;&gt;",$B$4),Sales_Data!$B$3:$B$5002,"&gt;="&amp;DATE($D$4,1,1),Sales_Data!$B$3:$B$5002,"&lt;"&amp;DATE($D$4+1,1,1))</x:f>
        <x:v>48</x:v>
      </x:c>
      <x:c r="I39" s="10" t="n">
        <x:f>SUMIFS(Sales_Data!$J$3:$J$5002,Sales_Data!$F$3:$F$5002,F39,Sales_Data!$D$3:$D$5002,IF($B$4="All","&lt;&gt;",$B$4),Sales_Data!$B$3:$B$5002,"&gt;="&amp;DATE($D$4,1,1),Sales_Data!$B$3:$B$5002,"&lt;"&amp;DATE($D$4+1,1,1))</x:f>
        <x:v>10800</x:v>
      </x:c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 t="str">
        <x:v>Aalu Jeera</x:v>
      </x:c>
      <x:c r="G40" s="1" t="str">
        <x:f>IFERROR(INDEX(Menu_Master!$E$3:$E$25,MATCH(F40,Menu_Master!$D$3:$D$25,0)),"")</x:f>
        <x:v>Food</x:v>
      </x:c>
      <x:c r="H40" s="1" t="n">
        <x:f>SUMIFS(Sales_Data!$H$3:$H$5002,Sales_Data!$F$3:$F$5002,F40,Sales_Data!$D$3:$D$5002,IF($B$4="All","&lt;&gt;",$B$4),Sales_Data!$B$3:$B$5002,"&gt;="&amp;DATE($D$4,1,1),Sales_Data!$B$3:$B$5002,"&lt;"&amp;DATE($D$4+1,1,1))</x:f>
        <x:v>36</x:v>
      </x:c>
      <x:c r="I40" s="10" t="n">
        <x:f>SUMIFS(Sales_Data!$J$3:$J$5002,Sales_Data!$F$3:$F$5002,F40,Sales_Data!$D$3:$D$5002,IF($B$4="All","&lt;&gt;",$B$4),Sales_Data!$B$3:$B$5002,"&gt;="&amp;DATE($D$4,1,1),Sales_Data!$B$3:$B$5002,"&lt;"&amp;DATE($D$4+1,1,1))</x:f>
        <x:v>5580</x:v>
      </x:c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 t="str">
        <x:v>Coca-Cola 500ml</x:v>
      </x:c>
      <x:c r="G41" s="1" t="str">
        <x:f>IFERROR(INDEX(Menu_Master!$E$3:$E$25,MATCH(F41,Menu_Master!$D$3:$D$25,0)),"")</x:f>
        <x:v>Drink</x:v>
      </x:c>
      <x:c r="H41" s="1" t="n">
        <x:f>SUMIFS(Sales_Data!$H$3:$H$5002,Sales_Data!$F$3:$F$5002,F41,Sales_Data!$D$3:$D$5002,IF($B$4="All","&lt;&gt;",$B$4),Sales_Data!$B$3:$B$5002,"&gt;="&amp;DATE($D$4,1,1),Sales_Data!$B$3:$B$5002,"&lt;"&amp;DATE($D$4+1,1,1))</x:f>
        <x:v>162</x:v>
      </x:c>
      <x:c r="I41" s="10" t="n">
        <x:f>SUMIFS(Sales_Data!$J$3:$J$5002,Sales_Data!$F$3:$F$5002,F41,Sales_Data!$D$3:$D$5002,IF($B$4="All","&lt;&gt;",$B$4),Sales_Data!$B$3:$B$5002,"&gt;="&amp;DATE($D$4,1,1),Sales_Data!$B$3:$B$5002,"&lt;"&amp;DATE($D$4+1,1,1))</x:f>
        <x:v>16200</x:v>
      </x:c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 t="str">
        <x:v>Bottled Water 1L</x:v>
      </x:c>
      <x:c r="G42" s="1" t="str">
        <x:f>IFERROR(INDEX(Menu_Master!$E$3:$E$25,MATCH(F42,Menu_Master!$D$3:$D$25,0)),"")</x:f>
        <x:v>Drink</x:v>
      </x:c>
      <x:c r="H42" s="1" t="n">
        <x:f>SUMIFS(Sales_Data!$H$3:$H$5002,Sales_Data!$F$3:$F$5002,F42,Sales_Data!$D$3:$D$5002,IF($B$4="All","&lt;&gt;",$B$4),Sales_Data!$B$3:$B$5002,"&gt;="&amp;DATE($D$4,1,1),Sales_Data!$B$3:$B$5002,"&lt;"&amp;DATE($D$4+1,1,1))</x:f>
        <x:v>165</x:v>
      </x:c>
      <x:c r="I42" s="10" t="n">
        <x:f>SUMIFS(Sales_Data!$J$3:$J$5002,Sales_Data!$F$3:$F$5002,F42,Sales_Data!$D$3:$D$5002,IF($B$4="All","&lt;&gt;",$B$4),Sales_Data!$B$3:$B$5002,"&gt;="&amp;DATE($D$4,1,1),Sales_Data!$B$3:$B$5002,"&lt;"&amp;DATE($D$4+1,1,1))</x:f>
        <x:v>6600</x:v>
      </x:c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L1"/>
    <x:mergeCell ref="A2:L2"/>
    <x:mergeCell ref="A14:D14"/>
  </x:mergeCells>
  <x:dataValidations count="2">
    <x:dataValidation type="list" sqref="B4">
      <x:formula1>"All,Damak,Birtamode"</x:formula1>
    </x:dataValidation>
    <x:dataValidation type="list" sqref="D4">
      <x:formula1>"2023,2024,2025,2026"</x:formula1>
    </x:dataValidation>
  </x:dataValidations>
  <x:pageMargins left="0.7" right="0.7" top="0.75" bottom="0.75" header="0.3" footer="0.3"/>
  <x:drawing xmlns:r="http://schemas.openxmlformats.org/officeDocument/2006/relationships" r:id="R5df136655c564c24"/>
</x:worksheet>
</file>

<file path=xl/worksheets/sheet3.xml><?xml version="1.0" encoding="utf-8"?>
<x:worksheet xmlns:x="http://schemas.openxmlformats.org/spreadsheetml/2006/main">
  <x:sheetPr>
    <x:tabColor rgb="FFF5822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20" hidden="0" customWidth="1"/>
    <x:col min="5" max="5" width="20" hidden="0" customWidth="1"/>
    <x:col min="6" max="6" width="34" hidden="0" customWidth="1"/>
  </x:cols>
  <x:sheetData>
    <x:row r="1" ht="36" customHeight="1">
      <x:c r="A1" s="4" t="str">
        <x:v>JALDIMAI FOODS  |  SALES ENTRY</x:v>
      </x:c>
      <x:c r="B1" s="4"/>
      <x:c r="C1" s="4"/>
      <x:c r="D1" s="4"/>
      <x:c r="E1" s="4"/>
      <x:c r="F1" s="4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2" customHeight="1">
      <x:c r="A2" s="17" t="str">
        <x:v>Enter one sale here. Select a branch and restaurant, add line items, then append the completed lines to Sales_Data.</x:v>
      </x:c>
      <x:c r="B2" s="17"/>
      <x:c r="C2" s="17"/>
      <x:c r="D2" s="17"/>
      <x:c r="E2" s="17"/>
      <x:c r="F2" s="17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str">
        <x:v>SALE DETAILS</x:v>
      </x:c>
      <x:c r="B3" s="7"/>
      <x:c r="C3" s="7"/>
      <x:c r="D3" s="7"/>
      <x:c r="E3" s="7"/>
      <x:c r="F3" s="7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9" t="str">
        <x:v>Sale Date</x:v>
      </x:c>
      <x:c r="B4" s="22" t="n">
        <x:v>46303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9" t="str">
        <x:v>Sale Time</x:v>
      </x:c>
      <x:c r="B5" s="23" t="n">
        <x:v>0.5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9" t="str">
        <x:v>Branch</x:v>
      </x:c>
      <x:c r="B6" s="21" t="str">
        <x:v>Damak</x:v>
      </x:c>
      <x:c r="C6" s="1"/>
      <x:c r="D6" s="35" t="str">
        <x:f>IF(COUNTIFS(Restaurant_Master!$B$3:$B$6,$B$7,Restaurant_Master!$C$3:$C$6,$B$6)=1,"Branch and restaurant match","Choose a restaurant for this branch")</x:f>
        <x:v>Branch and restaurant match</x:v>
      </x:c>
      <x:c r="E6" s="35"/>
      <x:c r="F6" s="35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9" t="str">
        <x:v>Restaurant</x:v>
      </x:c>
      <x:c r="B7" s="21" t="str">
        <x:v>Late Night Cravings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5" t="str">
        <x:v>ORDER ITEMS  |  Choose from the selected restaurant’s menu</x:v>
      </x:c>
      <x:c r="B8" s="25"/>
      <x:c r="C8" s="25"/>
      <x:c r="D8" s="25"/>
      <x:c r="E8" s="25"/>
      <x:c r="F8" s="25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0" customHeight="1">
      <x:c r="A9" s="8" t="str">
        <x:v>Menu Item</x:v>
      </x:c>
      <x:c r="B9" s="8" t="str">
        <x:v>Category</x:v>
      </x:c>
      <x:c r="C9" s="8" t="str">
        <x:v>Quantity</x:v>
      </x:c>
      <x:c r="D9" s="8" t="str">
        <x:v>Unit Price (NPR)</x:v>
      </x:c>
      <x:c r="E9" s="8" t="str">
        <x:v>Line Total (NPR)</x:v>
      </x:c>
      <x:c r="F9" s="8" t="str">
        <x:v>Check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6"/>
      <x:c r="B10" s="36" t="str">
        <x:f>IF(A10="","",IFERROR(INDEX(Menu_Master!$E$3:$E$500,MATCH($B$7&amp;"|"&amp;A10,Menu_Master!$G$3:$G$500,0)),"INVALID ITEM"))</x:f>
      </x:c>
      <x:c r="C10" s="36"/>
      <x:c r="D10" s="38" t="str">
        <x:f>IF(A10="","",IFERROR(SUMIFS(Historical_Price_Master!$E$3:$E$2000,Historical_Price_Master!$A$3:$A$2000,$B$7,Historical_Price_Master!$B$3:$B$2000,A10,Historical_Price_Master!$C$3:$C$2000,"&lt;="&amp;$B$4,Historical_Price_Master!$D$3:$D$2000,"&gt;="&amp;$B$4),0))</x:f>
      </x:c>
      <x:c r="E10" s="38" t="n">
        <x:f>IF(OR(A10="",C10=""),0,C10*D10)</x:f>
        <x:v>0</x:v>
      </x:c>
      <x:c r="F10" s="36" t="str">
        <x:f>IF(A10="","",IF(B10="INVALID ITEM","Choose item from selected restaurant",IF(C10&lt;=0,"Enter quantity", "OK")))</x:f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7"/>
      <x:c r="B11" s="37" t="str">
        <x:f>IF(A11="","",IFERROR(INDEX(Menu_Master!$E$3:$E$500,MATCH($B$7&amp;"|"&amp;A11,Menu_Master!$G$3:$G$500,0)),"INVALID ITEM"))</x:f>
      </x:c>
      <x:c r="C11" s="37"/>
      <x:c r="D11" s="39" t="str">
        <x:f>IF(A11="","",IFERROR(SUMIFS(Historical_Price_Master!$E$3:$E$2000,Historical_Price_Master!$A$3:$A$2000,$B$7,Historical_Price_Master!$B$3:$B$2000,A11,Historical_Price_Master!$C$3:$C$2000,"&lt;="&amp;$B$4,Historical_Price_Master!$D$3:$D$2000,"&gt;="&amp;$B$4),0))</x:f>
      </x:c>
      <x:c r="E11" s="39" t="n">
        <x:f>IF(OR(A11="",C11=""),0,C11*D11)</x:f>
        <x:v>0</x:v>
      </x:c>
      <x:c r="F11" s="37" t="str">
        <x:f>IF(A11="","",IF(B11="INVALID ITEM","Choose item from selected restaurant",IF(C11&lt;=0,"Enter quantity", "OK")))</x:f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7"/>
      <x:c r="B12" s="37" t="str">
        <x:f>IF(A12="","",IFERROR(INDEX(Menu_Master!$E$3:$E$500,MATCH($B$7&amp;"|"&amp;A12,Menu_Master!$G$3:$G$500,0)),"INVALID ITEM"))</x:f>
      </x:c>
      <x:c r="C12" s="37"/>
      <x:c r="D12" s="39" t="str">
        <x:f>IF(A12="","",IFERROR(SUMIFS(Historical_Price_Master!$E$3:$E$2000,Historical_Price_Master!$A$3:$A$2000,$B$7,Historical_Price_Master!$B$3:$B$2000,A12,Historical_Price_Master!$C$3:$C$2000,"&lt;="&amp;$B$4,Historical_Price_Master!$D$3:$D$2000,"&gt;="&amp;$B$4),0))</x:f>
      </x:c>
      <x:c r="E12" s="39" t="n">
        <x:f>IF(OR(A12="",C12=""),0,C12*D12)</x:f>
        <x:v>0</x:v>
      </x:c>
      <x:c r="F12" s="37" t="str">
        <x:f>IF(A12="","",IF(B12="INVALID ITEM","Choose item from selected restaurant",IF(C12&lt;=0,"Enter quantity", "OK")))</x:f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7"/>
      <x:c r="B13" s="37" t="str">
        <x:f>IF(A13="","",IFERROR(INDEX(Menu_Master!$E$3:$E$500,MATCH($B$7&amp;"|"&amp;A13,Menu_Master!$G$3:$G$500,0)),"INVALID ITEM"))</x:f>
      </x:c>
      <x:c r="C13" s="37"/>
      <x:c r="D13" s="39" t="str">
        <x:f>IF(A13="","",IFERROR(SUMIFS(Historical_Price_Master!$E$3:$E$2000,Historical_Price_Master!$A$3:$A$2000,$B$7,Historical_Price_Master!$B$3:$B$2000,A13,Historical_Price_Master!$C$3:$C$2000,"&lt;="&amp;$B$4,Historical_Price_Master!$D$3:$D$2000,"&gt;="&amp;$B$4),0))</x:f>
      </x:c>
      <x:c r="E13" s="39" t="n">
        <x:f>IF(OR(A13="",C13=""),0,C13*D13)</x:f>
        <x:v>0</x:v>
      </x:c>
      <x:c r="F13" s="37" t="str">
        <x:f>IF(A13="","",IF(B13="INVALID ITEM","Choose item from selected restaurant",IF(C13&lt;=0,"Enter quantity", "OK")))</x:f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7"/>
      <x:c r="B14" s="37" t="str">
        <x:f>IF(A14="","",IFERROR(INDEX(Menu_Master!$E$3:$E$500,MATCH($B$7&amp;"|"&amp;A14,Menu_Master!$G$3:$G$500,0)),"INVALID ITEM"))</x:f>
      </x:c>
      <x:c r="C14" s="37"/>
      <x:c r="D14" s="39" t="str">
        <x:f>IF(A14="","",IFERROR(SUMIFS(Historical_Price_Master!$E$3:$E$2000,Historical_Price_Master!$A$3:$A$2000,$B$7,Historical_Price_Master!$B$3:$B$2000,A14,Historical_Price_Master!$C$3:$C$2000,"&lt;="&amp;$B$4,Historical_Price_Master!$D$3:$D$2000,"&gt;="&amp;$B$4),0))</x:f>
      </x:c>
      <x:c r="E14" s="39" t="n">
        <x:f>IF(OR(A14="",C14=""),0,C14*D14)</x:f>
        <x:v>0</x:v>
      </x:c>
      <x:c r="F14" s="37" t="str">
        <x:f>IF(A14="","",IF(B14="INVALID ITEM","Choose item from selected restaurant",IF(C14&lt;=0,"Enter quantity", "OK")))</x:f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7"/>
      <x:c r="B15" s="37" t="str">
        <x:f>IF(A15="","",IFERROR(INDEX(Menu_Master!$E$3:$E$500,MATCH($B$7&amp;"|"&amp;A15,Menu_Master!$G$3:$G$500,0)),"INVALID ITEM"))</x:f>
      </x:c>
      <x:c r="C15" s="37"/>
      <x:c r="D15" s="39" t="str">
        <x:f>IF(A15="","",IFERROR(SUMIFS(Historical_Price_Master!$E$3:$E$2000,Historical_Price_Master!$A$3:$A$2000,$B$7,Historical_Price_Master!$B$3:$B$2000,A15,Historical_Price_Master!$C$3:$C$2000,"&lt;="&amp;$B$4,Historical_Price_Master!$D$3:$D$2000,"&gt;="&amp;$B$4),0))</x:f>
      </x:c>
      <x:c r="E15" s="39" t="n">
        <x:f>IF(OR(A15="",C15=""),0,C15*D15)</x:f>
        <x:v>0</x:v>
      </x:c>
      <x:c r="F15" s="37" t="str">
        <x:f>IF(A15="","",IF(B15="INVALID ITEM","Choose item from selected restaurant",IF(C15&lt;=0,"Enter quantity", "OK")))</x:f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7"/>
      <x:c r="B16" s="37" t="str">
        <x:f>IF(A16="","",IFERROR(INDEX(Menu_Master!$E$3:$E$500,MATCH($B$7&amp;"|"&amp;A16,Menu_Master!$G$3:$G$500,0)),"INVALID ITEM"))</x:f>
      </x:c>
      <x:c r="C16" s="37"/>
      <x:c r="D16" s="39" t="str">
        <x:f>IF(A16="","",IFERROR(SUMIFS(Historical_Price_Master!$E$3:$E$2000,Historical_Price_Master!$A$3:$A$2000,$B$7,Historical_Price_Master!$B$3:$B$2000,A16,Historical_Price_Master!$C$3:$C$2000,"&lt;="&amp;$B$4,Historical_Price_Master!$D$3:$D$2000,"&gt;="&amp;$B$4),0))</x:f>
      </x:c>
      <x:c r="E16" s="39" t="n">
        <x:f>IF(OR(A16="",C16=""),0,C16*D16)</x:f>
        <x:v>0</x:v>
      </x:c>
      <x:c r="F16" s="37" t="str">
        <x:f>IF(A16="","",IF(B16="INVALID ITEM","Choose item from selected restaurant",IF(C16&lt;=0,"Enter quantity", "OK")))</x:f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7"/>
      <x:c r="B17" s="37" t="str">
        <x:f>IF(A17="","",IFERROR(INDEX(Menu_Master!$E$3:$E$500,MATCH($B$7&amp;"|"&amp;A17,Menu_Master!$G$3:$G$500,0)),"INVALID ITEM"))</x:f>
      </x:c>
      <x:c r="C17" s="37"/>
      <x:c r="D17" s="39" t="str">
        <x:f>IF(A17="","",IFERROR(SUMIFS(Historical_Price_Master!$E$3:$E$2000,Historical_Price_Master!$A$3:$A$2000,$B$7,Historical_Price_Master!$B$3:$B$2000,A17,Historical_Price_Master!$C$3:$C$2000,"&lt;="&amp;$B$4,Historical_Price_Master!$D$3:$D$2000,"&gt;="&amp;$B$4),0))</x:f>
      </x:c>
      <x:c r="E17" s="39" t="n">
        <x:f>IF(OR(A17="",C17=""),0,C17*D17)</x:f>
        <x:v>0</x:v>
      </x:c>
      <x:c r="F17" s="37" t="str">
        <x:f>IF(A17="","",IF(B17="INVALID ITEM","Choose item from selected restaurant",IF(C17&lt;=0,"Enter quantity", "OK")))</x:f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7"/>
      <x:c r="B18" s="37" t="str">
        <x:f>IF(A18="","",IFERROR(INDEX(Menu_Master!$E$3:$E$500,MATCH($B$7&amp;"|"&amp;A18,Menu_Master!$G$3:$G$500,0)),"INVALID ITEM"))</x:f>
      </x:c>
      <x:c r="C18" s="37"/>
      <x:c r="D18" s="39" t="str">
        <x:f>IF(A18="","",IFERROR(SUMIFS(Historical_Price_Master!$E$3:$E$2000,Historical_Price_Master!$A$3:$A$2000,$B$7,Historical_Price_Master!$B$3:$B$2000,A18,Historical_Price_Master!$C$3:$C$2000,"&lt;="&amp;$B$4,Historical_Price_Master!$D$3:$D$2000,"&gt;="&amp;$B$4),0))</x:f>
      </x:c>
      <x:c r="E18" s="39" t="n">
        <x:f>IF(OR(A18="",C18=""),0,C18*D18)</x:f>
        <x:v>0</x:v>
      </x:c>
      <x:c r="F18" s="37" t="str">
        <x:f>IF(A18="","",IF(B18="INVALID ITEM","Choose item from selected restaurant",IF(C18&lt;=0,"Enter quantity", "OK")))</x:f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7"/>
      <x:c r="B19" s="37" t="str">
        <x:f>IF(A19="","",IFERROR(INDEX(Menu_Master!$E$3:$E$500,MATCH($B$7&amp;"|"&amp;A19,Menu_Master!$G$3:$G$500,0)),"INVALID ITEM"))</x:f>
      </x:c>
      <x:c r="C19" s="37"/>
      <x:c r="D19" s="39" t="str">
        <x:f>IF(A19="","",IFERROR(SUMIFS(Historical_Price_Master!$E$3:$E$2000,Historical_Price_Master!$A$3:$A$2000,$B$7,Historical_Price_Master!$B$3:$B$2000,A19,Historical_Price_Master!$C$3:$C$2000,"&lt;="&amp;$B$4,Historical_Price_Master!$D$3:$D$2000,"&gt;="&amp;$B$4),0))</x:f>
      </x:c>
      <x:c r="E19" s="39" t="n">
        <x:f>IF(OR(A19="",C19=""),0,C19*D19)</x:f>
        <x:v>0</x:v>
      </x:c>
      <x:c r="F19" s="37" t="str">
        <x:f>IF(A19="","",IF(B19="INVALID ITEM","Choose item from selected restaurant",IF(C19&lt;=0,"Enter quantity", "OK")))</x:f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7"/>
      <x:c r="B20" s="37" t="str">
        <x:f>IF(A20="","",IFERROR(INDEX(Menu_Master!$E$3:$E$500,MATCH($B$7&amp;"|"&amp;A20,Menu_Master!$G$3:$G$500,0)),"INVALID ITEM"))</x:f>
      </x:c>
      <x:c r="C20" s="37"/>
      <x:c r="D20" s="39" t="str">
        <x:f>IF(A20="","",IFERROR(SUMIFS(Historical_Price_Master!$E$3:$E$2000,Historical_Price_Master!$A$3:$A$2000,$B$7,Historical_Price_Master!$B$3:$B$2000,A20,Historical_Price_Master!$C$3:$C$2000,"&lt;="&amp;$B$4,Historical_Price_Master!$D$3:$D$2000,"&gt;="&amp;$B$4),0))</x:f>
      </x:c>
      <x:c r="E20" s="39" t="n">
        <x:f>IF(OR(A20="",C20=""),0,C20*D20)</x:f>
        <x:v>0</x:v>
      </x:c>
      <x:c r="F20" s="37" t="str">
        <x:f>IF(A20="","",IF(B20="INVALID ITEM","Choose item from selected restaurant",IF(C20&lt;=0,"Enter quantity", "OK")))</x:f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37"/>
      <x:c r="B21" s="37" t="str">
        <x:f>IF(A21="","",IFERROR(INDEX(Menu_Master!$E$3:$E$500,MATCH($B$7&amp;"|"&amp;A21,Menu_Master!$G$3:$G$500,0)),"INVALID ITEM"))</x:f>
      </x:c>
      <x:c r="C21" s="37"/>
      <x:c r="D21" s="39" t="str">
        <x:f>IF(A21="","",IFERROR(SUMIFS(Historical_Price_Master!$E$3:$E$2000,Historical_Price_Master!$A$3:$A$2000,$B$7,Historical_Price_Master!$B$3:$B$2000,A21,Historical_Price_Master!$C$3:$C$2000,"&lt;="&amp;$B$4,Historical_Price_Master!$D$3:$D$2000,"&gt;="&amp;$B$4),0))</x:f>
      </x:c>
      <x:c r="E21" s="39" t="n">
        <x:f>IF(OR(A21="",C21=""),0,C21*D21)</x:f>
        <x:v>0</x:v>
      </x:c>
      <x:c r="F21" s="37" t="str">
        <x:f>IF(A21="","",IF(B21="INVALID ITEM","Choose item from selected restaurant",IF(C21&lt;=0,"Enter quantity", "OK")))</x:f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6" t="str">
        <x:v>Food Subtotal</x:v>
      </x:c>
      <x:c r="B23" s="28" t="n">
        <x:f>SUMIFS(E10:E21,B10:B21,"Food")</x:f>
        <x:v>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6" t="str">
        <x:v>Drink Subtotal</x:v>
      </x:c>
      <x:c r="B24" s="28" t="n">
        <x:f>SUMIFS(E10:E21,B10:B21,"Drink")</x:f>
        <x:v>0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27" t="str">
        <x:v>Grand Total</x:v>
      </x:c>
      <x:c r="B25" s="29" t="n">
        <x:f>SUM(B23:B24)</x:f>
        <x:v>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32" t="str">
        <x:v>One-click Save Sale setup: save a copy as .xlsm, import SaveSale.bas in Excel’s VBA editor, then run InstallSaveButton once. The button appends item lines to Sales_Data and one ticket row to Order_Summary, then clears the form.</x:v>
      </x:c>
      <x:c r="B27" s="32"/>
      <x:c r="C27" s="32"/>
      <x:c r="D27" s="32"/>
      <x:c r="E27" s="32"/>
      <x:c r="F27" s="32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32"/>
      <x:c r="B28" s="32"/>
      <x:c r="C28" s="32"/>
      <x:c r="D28" s="32"/>
      <x:c r="E28" s="32"/>
      <x:c r="F28" s="32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F1"/>
    <x:mergeCell ref="A2:F2"/>
    <x:mergeCell ref="A3:F3"/>
    <x:mergeCell ref="A8:F8"/>
    <x:mergeCell ref="A27:F28"/>
    <x:mergeCell ref="D6:F6"/>
  </x:mergeCells>
  <x:dataValidations count="4">
    <x:dataValidation type="list" sqref="B6">
      <x:formula1>"Damak,Birtamode"</x:formula1>
    </x:dataValidation>
    <x:dataValidation type="list" sqref="B7">
      <x:formula1>INDIRECT("Lists!$D$2#")</x:formula1>
    </x:dataValidation>
    <x:dataValidation type="list" sqref="A10:A21">
      <x:formula1>INDIRECT("Lists!$E$2#")</x:formula1>
    </x:dataValidation>
    <x:dataValidation type="whole" operator="between" sqref="C10:C21">
      <x:formula1>1</x:formula1>
      <x:formula2>999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B3B3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6" hidden="0" customWidth="1"/>
    <x:col min="5" max="5" width="36" hidden="0" customWidth="1"/>
    <x:col min="6" max="6" width="30" hidden="0" customWidth="1"/>
    <x:col min="7" max="7" width="14" hidden="0" customWidth="1"/>
    <x:col min="8" max="8" width="12" hidden="0" customWidth="1"/>
    <x:col min="9" max="9" width="20" hidden="0" customWidth="1"/>
    <x:col min="10" max="10" width="20" hidden="0" customWidth="1"/>
    <x:col min="11" max="11" width="22" hidden="0" customWidth="1"/>
  </x:cols>
  <x:sheetData>
    <x:row r="1" ht="36" customHeight="1">
      <x:c r="A1" s="4" t="str">
        <x:v>CENTRAL SALES DATABASE  |  DEMO / SIMULATED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8" t="str">
        <x:v>Sale ID</x:v>
      </x:c>
      <x:c r="B2" s="8" t="str">
        <x:v>Sale Date</x:v>
      </x:c>
      <x:c r="C2" s="8" t="str">
        <x:v>Sale Time</x:v>
      </x:c>
      <x:c r="D2" s="8" t="str">
        <x:v>Branch</x:v>
      </x:c>
      <x:c r="E2" s="8" t="str">
        <x:v>Restaurant</x:v>
      </x:c>
      <x:c r="F2" s="8" t="str">
        <x:v>Item</x:v>
      </x:c>
      <x:c r="G2" s="8" t="str">
        <x:v>Category</x:v>
      </x:c>
      <x:c r="H2" s="8" t="str">
        <x:v>Quantity</x:v>
      </x:c>
      <x:c r="I2" s="8" t="str">
        <x:v>Unit Price (NPR)</x:v>
      </x:c>
      <x:c r="J2" s="8" t="str">
        <x:v>Line Total (NPR)</x:v>
      </x:c>
      <x:c r="K2" s="8" t="str">
        <x:v>Data Status</x:v>
      </x:c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JFD-20230619-0001</x:v>
      </x:c>
      <x:c r="B3" s="9" t="n">
        <x:v>45096.756944444445</x:v>
      </x:c>
      <x:c r="C3" s="12" t="n">
        <x:v>0.7569444444444444</x:v>
      </x:c>
      <x:c r="D3" s="1" t="str">
        <x:v>Birtamode</x:v>
      </x:c>
      <x:c r="E3" s="1" t="str">
        <x:v>The Underground Cafe &amp; Restaurant</x:v>
      </x:c>
      <x:c r="F3" s="1" t="str">
        <x:v>Aalu Jeera</x:v>
      </x:c>
      <x:c r="G3" s="1" t="str">
        <x:v>Food</x:v>
      </x:c>
      <x:c r="H3" s="1" t="n">
        <x:v>4</x:v>
      </x:c>
      <x:c r="I3" s="10" t="n">
        <x:v>125</x:v>
      </x:c>
      <x:c r="J3" s="10" t="n">
        <x:v>500</x:v>
      </x:c>
      <x:c r="K3" s="1" t="str">
        <x:v>DEMO / SIMULATED</x:v>
      </x:c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JFD-20230717-0002</x:v>
      </x:c>
      <x:c r="B4" s="9" t="n">
        <x:v>45124.5125</x:v>
      </x:c>
      <x:c r="C4" s="12" t="n">
        <x:v>0.5125</x:v>
      </x:c>
      <x:c r="D4" s="1" t="str">
        <x:v>Birtamode</x:v>
      </x:c>
      <x:c r="E4" s="1" t="str">
        <x:v>The Underground Cafe &amp; Restaurant</x:v>
      </x:c>
      <x:c r="F4" s="1" t="str">
        <x:v>Veg Pakauda</x:v>
      </x:c>
      <x:c r="G4" s="1" t="str">
        <x:v>Food</x:v>
      </x:c>
      <x:c r="H4" s="1" t="n">
        <x:v>3</x:v>
      </x:c>
      <x:c r="I4" s="10" t="n">
        <x:v>145</x:v>
      </x:c>
      <x:c r="J4" s="10" t="n">
        <x:v>435</x:v>
      </x:c>
      <x:c r="K4" s="1" t="str">
        <x:v>DEMO / SIMULATED</x:v>
      </x:c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JFD-20240416-0003</x:v>
      </x:c>
      <x:c r="B5" s="9" t="n">
        <x:v>45398.86319444444</x:v>
      </x:c>
      <x:c r="C5" s="12" t="n">
        <x:v>0.8631944444444445</x:v>
      </x:c>
      <x:c r="D5" s="1" t="str">
        <x:v>Damak</x:v>
      </x:c>
      <x:c r="E5" s="1" t="str">
        <x:v>Milan’s Bakery</x:v>
      </x:c>
      <x:c r="F5" s="1" t="str">
        <x:v>Black Forest Cake</x:v>
      </x:c>
      <x:c r="G5" s="1" t="str">
        <x:v>Food</x:v>
      </x:c>
      <x:c r="H5" s="1" t="n">
        <x:v>4</x:v>
      </x:c>
      <x:c r="I5" s="10" t="n">
        <x:v>265</x:v>
      </x:c>
      <x:c r="J5" s="10" t="n">
        <x:v>1060</x:v>
      </x:c>
      <x:c r="K5" s="1" t="str">
        <x:v>DEMO / SIMULATED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JFD-20240416-0003</x:v>
      </x:c>
      <x:c r="B6" s="9" t="n">
        <x:v>45398.50208333333</x:v>
      </x:c>
      <x:c r="C6" s="12" t="n">
        <x:v>0.5020833333333333</x:v>
      </x:c>
      <x:c r="D6" s="1" t="str">
        <x:v>Damak</x:v>
      </x:c>
      <x:c r="E6" s="1" t="str">
        <x:v>Milan’s Bakery</x:v>
      </x:c>
      <x:c r="F6" s="1" t="str">
        <x:v>Vanilla Cake</x:v>
      </x:c>
      <x:c r="G6" s="1" t="str">
        <x:v>Food</x:v>
      </x:c>
      <x:c r="H6" s="1" t="n">
        <x:v>2</x:v>
      </x:c>
      <x:c r="I6" s="10" t="n">
        <x:v>265</x:v>
      </x:c>
      <x:c r="J6" s="10" t="n">
        <x:v>530</x:v>
      </x:c>
      <x:c r="K6" s="1" t="str">
        <x:v>DEMO / SIMULATED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JFD-20230914-0004</x:v>
      </x:c>
      <x:c r="B7" s="9" t="n">
        <x:v>45183.63888888889</x:v>
      </x:c>
      <x:c r="C7" s="12" t="n">
        <x:v>0.6388888888888888</x:v>
      </x:c>
      <x:c r="D7" s="1" t="str">
        <x:v>Damak</x:v>
      </x:c>
      <x:c r="E7" s="1" t="str">
        <x:v>Late Night Cravings</x:v>
      </x:c>
      <x:c r="F7" s="1" t="str">
        <x:v>Egg Fry Rice</x:v>
      </x:c>
      <x:c r="G7" s="1" t="str">
        <x:v>Food</x:v>
      </x:c>
      <x:c r="H7" s="1" t="n">
        <x:v>3</x:v>
      </x:c>
      <x:c r="I7" s="10" t="n">
        <x:v>165</x:v>
      </x:c>
      <x:c r="J7" s="10" t="n">
        <x:v>495</x:v>
      </x:c>
      <x:c r="K7" s="1" t="str">
        <x:v>DEMO / SIMULATED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JFD-20240519-0005</x:v>
      </x:c>
      <x:c r="B8" s="9" t="n">
        <x:v>45431.6375</x:v>
      </x:c>
      <x:c r="C8" s="12" t="n">
        <x:v>0.6375</x:v>
      </x:c>
      <x:c r="D8" s="1" t="str">
        <x:v>Damak</x:v>
      </x:c>
      <x:c r="E8" s="1" t="str">
        <x:v>Milan’s Bakery</x:v>
      </x:c>
      <x:c r="F8" s="1" t="str">
        <x:v>Coca-Cola 500ml</x:v>
      </x:c>
      <x:c r="G8" s="1" t="str">
        <x:v>Drink</x:v>
      </x:c>
      <x:c r="H8" s="1" t="n">
        <x:v>3</x:v>
      </x:c>
      <x:c r="I8" s="10" t="n">
        <x:v>90</x:v>
      </x:c>
      <x:c r="J8" s="10" t="n">
        <x:v>270</x:v>
      </x:c>
      <x:c r="K8" s="1" t="str">
        <x:v>DEMO / SIMULATED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JFD-20240519-0005</x:v>
      </x:c>
      <x:c r="B9" s="9" t="n">
        <x:v>45431.84652777778</x:v>
      </x:c>
      <x:c r="C9" s="12" t="n">
        <x:v>0.8465277777777778</x:v>
      </x:c>
      <x:c r="D9" s="1" t="str">
        <x:v>Damak</x:v>
      </x:c>
      <x:c r="E9" s="1" t="str">
        <x:v>Milan’s Bakery</x:v>
      </x:c>
      <x:c r="F9" s="1" t="str">
        <x:v>Black Forest Cake</x:v>
      </x:c>
      <x:c r="G9" s="1" t="str">
        <x:v>Food</x:v>
      </x:c>
      <x:c r="H9" s="1" t="n">
        <x:v>1</x:v>
      </x:c>
      <x:c r="I9" s="10" t="n">
        <x:v>265</x:v>
      </x:c>
      <x:c r="J9" s="10" t="n">
        <x:v>265</x:v>
      </x:c>
      <x:c r="K9" s="1" t="str">
        <x:v>DEMO / SIMULATED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JFD-20251223-0006</x:v>
      </x:c>
      <x:c r="B10" s="9" t="n">
        <x:v>46014.472916666666</x:v>
      </x:c>
      <x:c r="C10" s="12" t="n">
        <x:v>0.47291666666666665</x:v>
      </x:c>
      <x:c r="D10" s="1" t="str">
        <x:v>Damak</x:v>
      </x:c>
      <x:c r="E10" s="1" t="str">
        <x:v>Milan’s Bakery</x:v>
      </x:c>
      <x:c r="F10" s="1" t="str">
        <x:v>Coca-Cola 500ml</x:v>
      </x:c>
      <x:c r="G10" s="1" t="str">
        <x:v>Drink</x:v>
      </x:c>
      <x:c r="H10" s="1" t="n">
        <x:v>1</x:v>
      </x:c>
      <x:c r="I10" s="10" t="n">
        <x:v>95</x:v>
      </x:c>
      <x:c r="J10" s="10" t="n">
        <x:v>95</x:v>
      </x:c>
      <x:c r="K10" s="1" t="str">
        <x:v>DEMO / SIMULATED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JFD-20240421-0007</x:v>
      </x:c>
      <x:c r="B11" s="9" t="n">
        <x:v>45403.68263888889</x:v>
      </x:c>
      <x:c r="C11" s="12" t="n">
        <x:v>0.6826388888888889</x:v>
      </x:c>
      <x:c r="D11" s="1" t="str">
        <x:v>Damak</x:v>
      </x:c>
      <x:c r="E11" s="1" t="str">
        <x:v>Milan’s Bakery</x:v>
      </x:c>
      <x:c r="F11" s="1" t="str">
        <x:v>Black Forest Cake</x:v>
      </x:c>
      <x:c r="G11" s="1" t="str">
        <x:v>Food</x:v>
      </x:c>
      <x:c r="H11" s="1" t="n">
        <x:v>1</x:v>
      </x:c>
      <x:c r="I11" s="10" t="n">
        <x:v>265</x:v>
      </x:c>
      <x:c r="J11" s="10" t="n">
        <x:v>265</x:v>
      </x:c>
      <x:c r="K11" s="1" t="str">
        <x:v>DEMO / SIMULATED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JFD-20240421-0007</x:v>
      </x:c>
      <x:c r="B12" s="9" t="n">
        <x:v>45403.540972222225</x:v>
      </x:c>
      <x:c r="C12" s="12" t="n">
        <x:v>0.5409722222222222</x:v>
      </x:c>
      <x:c r="D12" s="1" t="str">
        <x:v>Damak</x:v>
      </x:c>
      <x:c r="E12" s="1" t="str">
        <x:v>Milan’s Bakery</x:v>
      </x:c>
      <x:c r="F12" s="1" t="str">
        <x:v>Red Velvet Cake</x:v>
      </x:c>
      <x:c r="G12" s="1" t="str">
        <x:v>Food</x:v>
      </x:c>
      <x:c r="H12" s="1" t="n">
        <x:v>1</x:v>
      </x:c>
      <x:c r="I12" s="10" t="n">
        <x:v>790</x:v>
      </x:c>
      <x:c r="J12" s="10" t="n">
        <x:v>790</x:v>
      </x:c>
      <x:c r="K12" s="1" t="str">
        <x:v>DEMO / SIMULATED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JFD-20240421-0007</x:v>
      </x:c>
      <x:c r="B13" s="9" t="n">
        <x:v>45403.72430555556</x:v>
      </x:c>
      <x:c r="C13" s="12" t="n">
        <x:v>0.7243055555555555</x:v>
      </x:c>
      <x:c r="D13" s="1" t="str">
        <x:v>Damak</x:v>
      </x:c>
      <x:c r="E13" s="1" t="str">
        <x:v>Milan’s Bakery</x:v>
      </x:c>
      <x:c r="F13" s="1" t="str">
        <x:v>Bottled Water 1L</x:v>
      </x:c>
      <x:c r="G13" s="1" t="str">
        <x:v>Drink</x:v>
      </x:c>
      <x:c r="H13" s="1" t="n">
        <x:v>3</x:v>
      </x:c>
      <x:c r="I13" s="10" t="n">
        <x:v>35</x:v>
      </x:c>
      <x:c r="J13" s="10" t="n">
        <x:v>105</x:v>
      </x:c>
      <x:c r="K13" s="1" t="str">
        <x:v>DEMO / SIMULATED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JFD-20251004-0008</x:v>
      </x:c>
      <x:c r="B14" s="9" t="n">
        <x:v>45934.893055555556</x:v>
      </x:c>
      <x:c r="C14" s="12" t="n">
        <x:v>0.8930555555555556</x:v>
      </x:c>
      <x:c r="D14" s="1" t="str">
        <x:v>Birtamode</x:v>
      </x:c>
      <x:c r="E14" s="1" t="str">
        <x:v>Pizza Ghar</x:v>
      </x:c>
      <x:c r="F14" s="1" t="str">
        <x:v>Veg Fried Rice</x:v>
      </x:c>
      <x:c r="G14" s="1" t="str">
        <x:v>Food</x:v>
      </x:c>
      <x:c r="H14" s="1" t="n">
        <x:v>4</x:v>
      </x:c>
      <x:c r="I14" s="10" t="n">
        <x:v>205</x:v>
      </x:c>
      <x:c r="J14" s="10" t="n">
        <x:v>820</x:v>
      </x:c>
      <x:c r="K14" s="1" t="str">
        <x:v>DEMO / SIMULATED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JFD-20240519-0009</x:v>
      </x:c>
      <x:c r="B15" s="9" t="n">
        <x:v>45431.87152777778</x:v>
      </x:c>
      <x:c r="C15" s="12" t="n">
        <x:v>0.8715277777777778</x:v>
      </x:c>
      <x:c r="D15" s="1" t="str">
        <x:v>Damak</x:v>
      </x:c>
      <x:c r="E15" s="1" t="str">
        <x:v>Late Night Cravings</x:v>
      </x:c>
      <x:c r="F15" s="1" t="str">
        <x:v>Egg Fry Rice</x:v>
      </x:c>
      <x:c r="G15" s="1" t="str">
        <x:v>Food</x:v>
      </x:c>
      <x:c r="H15" s="1" t="n">
        <x:v>4</x:v>
      </x:c>
      <x:c r="I15" s="10" t="n">
        <x:v>175</x:v>
      </x:c>
      <x:c r="J15" s="10" t="n">
        <x:v>700</x:v>
      </x:c>
      <x:c r="K15" s="1" t="str">
        <x:v>DEMO / SIMULATED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JFD-20241118-0010</x:v>
      </x:c>
      <x:c r="B16" s="9" t="n">
        <x:v>45614.77916666667</x:v>
      </x:c>
      <x:c r="C16" s="12" t="n">
        <x:v>0.7791666666666667</x:v>
      </x:c>
      <x:c r="D16" s="1" t="str">
        <x:v>Damak</x:v>
      </x:c>
      <x:c r="E16" s="1" t="str">
        <x:v>Late Night Cravings</x:v>
      </x:c>
      <x:c r="F16" s="1" t="str">
        <x:v>Bottled Water 1L</x:v>
      </x:c>
      <x:c r="G16" s="1" t="str">
        <x:v>Drink</x:v>
      </x:c>
      <x:c r="H16" s="1" t="n">
        <x:v>2</x:v>
      </x:c>
      <x:c r="I16" s="10" t="n">
        <x:v>35</x:v>
      </x:c>
      <x:c r="J16" s="10" t="n">
        <x:v>70</x:v>
      </x:c>
      <x:c r="K16" s="1" t="str">
        <x:v>DEMO / SIMULATED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JFD-20241118-0010</x:v>
      </x:c>
      <x:c r="B17" s="9" t="n">
        <x:v>45614.603472222225</x:v>
      </x:c>
      <x:c r="C17" s="12" t="n">
        <x:v>0.6034722222222222</x:v>
      </x:c>
      <x:c r="D17" s="1" t="str">
        <x:v>Damak</x:v>
      </x:c>
      <x:c r="E17" s="1" t="str">
        <x:v>Late Night Cravings</x:v>
      </x:c>
      <x:c r="F17" s="1" t="str">
        <x:v>Chicken Fry Rice</x:v>
      </x:c>
      <x:c r="G17" s="1" t="str">
        <x:v>Food</x:v>
      </x:c>
      <x:c r="H17" s="1" t="n">
        <x:v>3</x:v>
      </x:c>
      <x:c r="I17" s="10" t="n">
        <x:v>195</x:v>
      </x:c>
      <x:c r="J17" s="10" t="n">
        <x:v>585</x:v>
      </x:c>
      <x:c r="K17" s="1" t="str">
        <x:v>DEMO / SIMULATED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JFD-20250830-0011</x:v>
      </x:c>
      <x:c r="B18" s="9" t="n">
        <x:v>45899.884722222225</x:v>
      </x:c>
      <x:c r="C18" s="12" t="n">
        <x:v>0.8847222222222222</x:v>
      </x:c>
      <x:c r="D18" s="1" t="str">
        <x:v>Damak</x:v>
      </x:c>
      <x:c r="E18" s="1" t="str">
        <x:v>Milan’s Bakery</x:v>
      </x:c>
      <x:c r="F18" s="1" t="str">
        <x:v>Red Velvet Cake</x:v>
      </x:c>
      <x:c r="G18" s="1" t="str">
        <x:v>Food</x:v>
      </x:c>
      <x:c r="H18" s="1" t="n">
        <x:v>1</x:v>
      </x:c>
      <x:c r="I18" s="10" t="n">
        <x:v>845</x:v>
      </x:c>
      <x:c r="J18" s="10" t="n">
        <x:v>845</x:v>
      </x:c>
      <x:c r="K18" s="1" t="str">
        <x:v>DEMO / SIMULATED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JFD-20250830-0011</x:v>
      </x:c>
      <x:c r="B19" s="9" t="n">
        <x:v>45899.85763888889</x:v>
      </x:c>
      <x:c r="C19" s="12" t="n">
        <x:v>0.8576388888888888</x:v>
      </x:c>
      <x:c r="D19" s="1" t="str">
        <x:v>Damak</x:v>
      </x:c>
      <x:c r="E19" s="1" t="str">
        <x:v>Milan’s Bakery</x:v>
      </x:c>
      <x:c r="F19" s="1" t="str">
        <x:v>Chocolate Cake</x:v>
      </x:c>
      <x:c r="G19" s="1" t="str">
        <x:v>Food</x:v>
      </x:c>
      <x:c r="H19" s="1" t="n">
        <x:v>2</x:v>
      </x:c>
      <x:c r="I19" s="10" t="n">
        <x:v>330</x:v>
      </x:c>
      <x:c r="J19" s="10" t="n">
        <x:v>660</x:v>
      </x:c>
      <x:c r="K19" s="1" t="str">
        <x:v>DEMO / SIMULATED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JFD-20240821-0012</x:v>
      </x:c>
      <x:c r="B20" s="9" t="n">
        <x:v>45525.44305555556</x:v>
      </x:c>
      <x:c r="C20" s="12" t="n">
        <x:v>0.44305555555555554</x:v>
      </x:c>
      <x:c r="D20" s="1" t="str">
        <x:v>Birtamode</x:v>
      </x:c>
      <x:c r="E20" s="1" t="str">
        <x:v>The Underground Cafe &amp; Restaurant</x:v>
      </x:c>
      <x:c r="F20" s="1" t="str">
        <x:v>Bottled Water 1L</x:v>
      </x:c>
      <x:c r="G20" s="1" t="str">
        <x:v>Drink</x:v>
      </x:c>
      <x:c r="H20" s="1" t="n">
        <x:v>1</x:v>
      </x:c>
      <x:c r="I20" s="10" t="n">
        <x:v>35</x:v>
      </x:c>
      <x:c r="J20" s="10" t="n">
        <x:v>35</x:v>
      </x:c>
      <x:c r="K20" s="1" t="str">
        <x:v>DEMO / SIMULATED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JFD-20251012-0013</x:v>
      </x:c>
      <x:c r="B21" s="9" t="n">
        <x:v>45942.45972222222</x:v>
      </x:c>
      <x:c r="C21" s="12" t="n">
        <x:v>0.4597222222222222</x:v>
      </x:c>
      <x:c r="D21" s="1" t="str">
        <x:v>Birtamode</x:v>
      </x:c>
      <x:c r="E21" s="1" t="str">
        <x:v>The Underground Cafe &amp; Restaurant</x:v>
      </x:c>
      <x:c r="F21" s="1" t="str">
        <x:v>Coca-Cola 500ml</x:v>
      </x:c>
      <x:c r="G21" s="1" t="str">
        <x:v>Drink</x:v>
      </x:c>
      <x:c r="H21" s="1" t="n">
        <x:v>2</x:v>
      </x:c>
      <x:c r="I21" s="10" t="n">
        <x:v>95</x:v>
      </x:c>
      <x:c r="J21" s="10" t="n">
        <x:v>190</x:v>
      </x:c>
      <x:c r="K21" s="1" t="str">
        <x:v>DEMO / SIMULATED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JFD-20250409-0014</x:v>
      </x:c>
      <x:c r="B22" s="9" t="n">
        <x:v>45756.57013888889</x:v>
      </x:c>
      <x:c r="C22" s="12" t="n">
        <x:v>0.5701388888888889</x:v>
      </x:c>
      <x:c r="D22" s="1" t="str">
        <x:v>Birtamode</x:v>
      </x:c>
      <x:c r="E22" s="1" t="str">
        <x:v>The Underground Cafe &amp; Restaurant</x:v>
      </x:c>
      <x:c r="F22" s="1" t="str">
        <x:v>Bottled Water 1L</x:v>
      </x:c>
      <x:c r="G22" s="1" t="str">
        <x:v>Drink</x:v>
      </x:c>
      <x:c r="H22" s="1" t="n">
        <x:v>2</x:v>
      </x:c>
      <x:c r="I22" s="10" t="n">
        <x:v>40</x:v>
      </x:c>
      <x:c r="J22" s="10" t="n">
        <x:v>80</x:v>
      </x:c>
      <x:c r="K22" s="1" t="str">
        <x:v>DEMO / SIMULATED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JFD-20250409-0014</x:v>
      </x:c>
      <x:c r="B23" s="9" t="n">
        <x:v>45756.42152777778</x:v>
      </x:c>
      <x:c r="C23" s="12" t="n">
        <x:v>0.4215277777777778</x:v>
      </x:c>
      <x:c r="D23" s="1" t="str">
        <x:v>Birtamode</x:v>
      </x:c>
      <x:c r="E23" s="1" t="str">
        <x:v>The Underground Cafe &amp; Restaurant</x:v>
      </x:c>
      <x:c r="F23" s="1" t="str">
        <x:v>Paneer Pakauda</x:v>
      </x:c>
      <x:c r="G23" s="1" t="str">
        <x:v>Food</x:v>
      </x:c>
      <x:c r="H23" s="1" t="n">
        <x:v>4</x:v>
      </x:c>
      <x:c r="I23" s="10" t="n">
        <x:v>210</x:v>
      </x:c>
      <x:c r="J23" s="10" t="n">
        <x:v>840</x:v>
      </x:c>
      <x:c r="K23" s="1" t="str">
        <x:v>DEMO / SIMULATED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JFD-20250303-0015</x:v>
      </x:c>
      <x:c r="B24" s="9" t="n">
        <x:v>45719.65</x:v>
      </x:c>
      <x:c r="C24" s="12" t="n">
        <x:v>0.65</x:v>
      </x:c>
      <x:c r="D24" s="1" t="str">
        <x:v>Birtamode</x:v>
      </x:c>
      <x:c r="E24" s="1" t="str">
        <x:v>The Underground Cafe &amp; Restaurant</x:v>
      </x:c>
      <x:c r="F24" s="1" t="str">
        <x:v>Bottled Water 1L</x:v>
      </x:c>
      <x:c r="G24" s="1" t="str">
        <x:v>Drink</x:v>
      </x:c>
      <x:c r="H24" s="1" t="n">
        <x:v>1</x:v>
      </x:c>
      <x:c r="I24" s="10" t="n">
        <x:v>40</x:v>
      </x:c>
      <x:c r="J24" s="10" t="n">
        <x:v>40</x:v>
      </x:c>
      <x:c r="K24" s="1" t="str">
        <x:v>DEMO / SIMULATED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JFD-20251102-0016</x:v>
      </x:c>
      <x:c r="B25" s="9" t="n">
        <x:v>45963.62847222222</x:v>
      </x:c>
      <x:c r="C25" s="12" t="n">
        <x:v>0.6284722222222222</x:v>
      </x:c>
      <x:c r="D25" s="1" t="str">
        <x:v>Birtamode</x:v>
      </x:c>
      <x:c r="E25" s="1" t="str">
        <x:v>Pizza Ghar</x:v>
      </x:c>
      <x:c r="F25" s="1" t="str">
        <x:v>Chicken BBQ Feast Pizza</x:v>
      </x:c>
      <x:c r="G25" s="1" t="str">
        <x:v>Food</x:v>
      </x:c>
      <x:c r="H25" s="1" t="n">
        <x:v>4</x:v>
      </x:c>
      <x:c r="I25" s="10" t="n">
        <x:v>545</x:v>
      </x:c>
      <x:c r="J25" s="10" t="n">
        <x:v>2180</x:v>
      </x:c>
      <x:c r="K25" s="1" t="str">
        <x:v>DEMO / SIMULATED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JFD-20250418-0017</x:v>
      </x:c>
      <x:c r="B26" s="9" t="n">
        <x:v>45765.42222222222</x:v>
      </x:c>
      <x:c r="C26" s="12" t="n">
        <x:v>0.4222222222222222</x:v>
      </x:c>
      <x:c r="D26" s="1" t="str">
        <x:v>Damak</x:v>
      </x:c>
      <x:c r="E26" s="1" t="str">
        <x:v>Milan’s Bakery</x:v>
      </x:c>
      <x:c r="F26" s="1" t="str">
        <x:v>Coca-Cola 500ml</x:v>
      </x:c>
      <x:c r="G26" s="1" t="str">
        <x:v>Drink</x:v>
      </x:c>
      <x:c r="H26" s="1" t="n">
        <x:v>1</x:v>
      </x:c>
      <x:c r="I26" s="10" t="n">
        <x:v>95</x:v>
      </x:c>
      <x:c r="J26" s="10" t="n">
        <x:v>95</x:v>
      </x:c>
      <x:c r="K26" s="1" t="str">
        <x:v>DEMO / SIMULATED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JFD-20250418-0017</x:v>
      </x:c>
      <x:c r="B27" s="9" t="n">
        <x:v>45765.78888888889</x:v>
      </x:c>
      <x:c r="C27" s="12" t="n">
        <x:v>0.7888888888888889</x:v>
      </x:c>
      <x:c r="D27" s="1" t="str">
        <x:v>Damak</x:v>
      </x:c>
      <x:c r="E27" s="1" t="str">
        <x:v>Milan’s Bakery</x:v>
      </x:c>
      <x:c r="F27" s="1" t="str">
        <x:v>Red Velvet Cake</x:v>
      </x:c>
      <x:c r="G27" s="1" t="str">
        <x:v>Food</x:v>
      </x:c>
      <x:c r="H27" s="1" t="n">
        <x:v>1</x:v>
      </x:c>
      <x:c r="I27" s="10" t="n">
        <x:v>845</x:v>
      </x:c>
      <x:c r="J27" s="10" t="n">
        <x:v>845</x:v>
      </x:c>
      <x:c r="K27" s="1" t="str">
        <x:v>DEMO / SIMULATED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JFD-20260916-0018</x:v>
      </x:c>
      <x:c r="B28" s="9" t="n">
        <x:v>46281.67847222222</x:v>
      </x:c>
      <x:c r="C28" s="12" t="n">
        <x:v>0.6784722222222223</x:v>
      </x:c>
      <x:c r="D28" s="1" t="str">
        <x:v>Damak</x:v>
      </x:c>
      <x:c r="E28" s="1" t="str">
        <x:v>Milan’s Bakery</x:v>
      </x:c>
      <x:c r="F28" s="1" t="str">
        <x:v>Bottled Water 1L</x:v>
      </x:c>
      <x:c r="G28" s="1" t="str">
        <x:v>Drink</x:v>
      </x:c>
      <x:c r="H28" s="1" t="n">
        <x:v>3</x:v>
      </x:c>
      <x:c r="I28" s="10" t="n">
        <x:v>40</x:v>
      </x:c>
      <x:c r="J28" s="10" t="n">
        <x:v>120</x:v>
      </x:c>
      <x:c r="K28" s="1" t="str">
        <x:v>DEMO / SIMULATED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JFD-20260916-0018</x:v>
      </x:c>
      <x:c r="B29" s="9" t="n">
        <x:v>46281.489583333336</x:v>
      </x:c>
      <x:c r="C29" s="12" t="n">
        <x:v>0.4895833333333333</x:v>
      </x:c>
      <x:c r="D29" s="1" t="str">
        <x:v>Damak</x:v>
      </x:c>
      <x:c r="E29" s="1" t="str">
        <x:v>Milan’s Bakery</x:v>
      </x:c>
      <x:c r="F29" s="1" t="str">
        <x:v>Black Forest Cake</x:v>
      </x:c>
      <x:c r="G29" s="1" t="str">
        <x:v>Food</x:v>
      </x:c>
      <x:c r="H29" s="1" t="n">
        <x:v>1</x:v>
      </x:c>
      <x:c r="I29" s="10" t="n">
        <x:v>300</x:v>
      </x:c>
      <x:c r="J29" s="10" t="n">
        <x:v>300</x:v>
      </x:c>
      <x:c r="K29" s="1" t="str">
        <x:v>DEMO / SIMULATED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 t="str">
        <x:v>JFD-20230813-0019</x:v>
      </x:c>
      <x:c r="B30" s="9" t="n">
        <x:v>45151.756944444445</x:v>
      </x:c>
      <x:c r="C30" s="12" t="n">
        <x:v>0.7569444444444444</x:v>
      </x:c>
      <x:c r="D30" s="1" t="str">
        <x:v>Damak</x:v>
      </x:c>
      <x:c r="E30" s="1" t="str">
        <x:v>Late Night Cravings</x:v>
      </x:c>
      <x:c r="F30" s="1" t="str">
        <x:v>Egg Fry Rice</x:v>
      </x:c>
      <x:c r="G30" s="1" t="str">
        <x:v>Food</x:v>
      </x:c>
      <x:c r="H30" s="1" t="n">
        <x:v>4</x:v>
      </x:c>
      <x:c r="I30" s="10" t="n">
        <x:v>165</x:v>
      </x:c>
      <x:c r="J30" s="10" t="n">
        <x:v>660</x:v>
      </x:c>
      <x:c r="K30" s="1" t="str">
        <x:v>DEMO / SIMULATED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 t="str">
        <x:v>JFD-20230207-0020</x:v>
      </x:c>
      <x:c r="B31" s="9" t="n">
        <x:v>44964.669444444444</x:v>
      </x:c>
      <x:c r="C31" s="12" t="n">
        <x:v>0.6694444444444444</x:v>
      </x:c>
      <x:c r="D31" s="1" t="str">
        <x:v>Damak</x:v>
      </x:c>
      <x:c r="E31" s="1" t="str">
        <x:v>Late Night Cravings</x:v>
      </x:c>
      <x:c r="F31" s="1" t="str">
        <x:v>Coca-Cola 500ml</x:v>
      </x:c>
      <x:c r="G31" s="1" t="str">
        <x:v>Drink</x:v>
      </x:c>
      <x:c r="H31" s="1" t="n">
        <x:v>3</x:v>
      </x:c>
      <x:c r="I31" s="10" t="n">
        <x:v>80</x:v>
      </x:c>
      <x:c r="J31" s="10" t="n">
        <x:v>240</x:v>
      </x:c>
      <x:c r="K31" s="1" t="str">
        <x:v>DEMO / SIMULATED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 t="str">
        <x:v>JFD-20230207-0020</x:v>
      </x:c>
      <x:c r="B32" s="9" t="n">
        <x:v>44964.720138888886</x:v>
      </x:c>
      <x:c r="C32" s="12" t="n">
        <x:v>0.7201388888888889</x:v>
      </x:c>
      <x:c r="D32" s="1" t="str">
        <x:v>Damak</x:v>
      </x:c>
      <x:c r="E32" s="1" t="str">
        <x:v>Late Night Cravings</x:v>
      </x:c>
      <x:c r="F32" s="1" t="str">
        <x:v>Veg Fry Rice</x:v>
      </x:c>
      <x:c r="G32" s="1" t="str">
        <x:v>Food</x:v>
      </x:c>
      <x:c r="H32" s="1" t="n">
        <x:v>4</x:v>
      </x:c>
      <x:c r="I32" s="10" t="n">
        <x:v>130</x:v>
      </x:c>
      <x:c r="J32" s="10" t="n">
        <x:v>520</x:v>
      </x:c>
      <x:c r="K32" s="1" t="str">
        <x:v>DEMO / SIMULATED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 t="str">
        <x:v>JFD-20250519-0021</x:v>
      </x:c>
      <x:c r="B33" s="9" t="n">
        <x:v>45796.717361111114</x:v>
      </x:c>
      <x:c r="C33" s="12" t="n">
        <x:v>0.7173611111111111</x:v>
      </x:c>
      <x:c r="D33" s="1" t="str">
        <x:v>Birtamode</x:v>
      </x:c>
      <x:c r="E33" s="1" t="str">
        <x:v>The Underground Cafe &amp; Restaurant</x:v>
      </x:c>
      <x:c r="F33" s="1" t="str">
        <x:v>Bottled Water 1L</x:v>
      </x:c>
      <x:c r="G33" s="1" t="str">
        <x:v>Drink</x:v>
      </x:c>
      <x:c r="H33" s="1" t="n">
        <x:v>4</x:v>
      </x:c>
      <x:c r="I33" s="10" t="n">
        <x:v>40</x:v>
      </x:c>
      <x:c r="J33" s="10" t="n">
        <x:v>160</x:v>
      </x:c>
      <x:c r="K33" s="1" t="str">
        <x:v>DEMO / SIMULATED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 t="str">
        <x:v>JFD-20250124-0022</x:v>
      </x:c>
      <x:c r="B34" s="9" t="n">
        <x:v>45681.62777777778</x:v>
      </x:c>
      <x:c r="C34" s="12" t="n">
        <x:v>0.6277777777777778</x:v>
      </x:c>
      <x:c r="D34" s="1" t="str">
        <x:v>Damak</x:v>
      </x:c>
      <x:c r="E34" s="1" t="str">
        <x:v>Milan’s Bakery</x:v>
      </x:c>
      <x:c r="F34" s="1" t="str">
        <x:v>Coca-Cola 500ml</x:v>
      </x:c>
      <x:c r="G34" s="1" t="str">
        <x:v>Drink</x:v>
      </x:c>
      <x:c r="H34" s="1" t="n">
        <x:v>2</x:v>
      </x:c>
      <x:c r="I34" s="10" t="n">
        <x:v>95</x:v>
      </x:c>
      <x:c r="J34" s="10" t="n">
        <x:v>190</x:v>
      </x:c>
      <x:c r="K34" s="1" t="str">
        <x:v>DEMO / SIMULATED</x:v>
      </x:c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 t="str">
        <x:v>JFD-20250124-0022</x:v>
      </x:c>
      <x:c r="B35" s="9" t="n">
        <x:v>45681.8</x:v>
      </x:c>
      <x:c r="C35" s="12" t="n">
        <x:v>0.8</x:v>
      </x:c>
      <x:c r="D35" s="1" t="str">
        <x:v>Damak</x:v>
      </x:c>
      <x:c r="E35" s="1" t="str">
        <x:v>Milan’s Bakery</x:v>
      </x:c>
      <x:c r="F35" s="1" t="str">
        <x:v>Vanilla Cake</x:v>
      </x:c>
      <x:c r="G35" s="1" t="str">
        <x:v>Food</x:v>
      </x:c>
      <x:c r="H35" s="1" t="n">
        <x:v>1</x:v>
      </x:c>
      <x:c r="I35" s="10" t="n">
        <x:v>280</x:v>
      </x:c>
      <x:c r="J35" s="10" t="n">
        <x:v>280</x:v>
      </x:c>
      <x:c r="K35" s="1" t="str">
        <x:v>DEMO / SIMULATED</x:v>
      </x:c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 t="str">
        <x:v>JFD-20240405-0023</x:v>
      </x:c>
      <x:c r="B36" s="9" t="n">
        <x:v>45387.66111111111</x:v>
      </x:c>
      <x:c r="C36" s="12" t="n">
        <x:v>0.6611111111111111</x:v>
      </x:c>
      <x:c r="D36" s="1" t="str">
        <x:v>Birtamode</x:v>
      </x:c>
      <x:c r="E36" s="1" t="str">
        <x:v>Pizza Ghar</x:v>
      </x:c>
      <x:c r="F36" s="1" t="str">
        <x:v>Bottled Water 1L</x:v>
      </x:c>
      <x:c r="G36" s="1" t="str">
        <x:v>Drink</x:v>
      </x:c>
      <x:c r="H36" s="1" t="n">
        <x:v>4</x:v>
      </x:c>
      <x:c r="I36" s="10" t="n">
        <x:v>35</x:v>
      </x:c>
      <x:c r="J36" s="10" t="n">
        <x:v>140</x:v>
      </x:c>
      <x:c r="K36" s="1" t="str">
        <x:v>DEMO / SIMULATED</x:v>
      </x:c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 t="str">
        <x:v>JFD-20250506-0024</x:v>
      </x:c>
      <x:c r="B37" s="9" t="n">
        <x:v>45783.555555555555</x:v>
      </x:c>
      <x:c r="C37" s="12" t="n">
        <x:v>0.5555555555555556</x:v>
      </x:c>
      <x:c r="D37" s="1" t="str">
        <x:v>Damak</x:v>
      </x:c>
      <x:c r="E37" s="1" t="str">
        <x:v>Milan’s Bakery</x:v>
      </x:c>
      <x:c r="F37" s="1" t="str">
        <x:v>Vanilla Cake</x:v>
      </x:c>
      <x:c r="G37" s="1" t="str">
        <x:v>Food</x:v>
      </x:c>
      <x:c r="H37" s="1" t="n">
        <x:v>1</x:v>
      </x:c>
      <x:c r="I37" s="10" t="n">
        <x:v>280</x:v>
      </x:c>
      <x:c r="J37" s="10" t="n">
        <x:v>280</x:v>
      </x:c>
      <x:c r="K37" s="1" t="str">
        <x:v>DEMO / SIMULATED</x:v>
      </x:c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 t="str">
        <x:v>JFD-20250506-0024</x:v>
      </x:c>
      <x:c r="B38" s="9" t="n">
        <x:v>45783.8625</x:v>
      </x:c>
      <x:c r="C38" s="12" t="n">
        <x:v>0.8625</x:v>
      </x:c>
      <x:c r="D38" s="1" t="str">
        <x:v>Damak</x:v>
      </x:c>
      <x:c r="E38" s="1" t="str">
        <x:v>Milan’s Bakery</x:v>
      </x:c>
      <x:c r="F38" s="1" t="str">
        <x:v>Bottled Water 1L</x:v>
      </x:c>
      <x:c r="G38" s="1" t="str">
        <x:v>Drink</x:v>
      </x:c>
      <x:c r="H38" s="1" t="n">
        <x:v>2</x:v>
      </x:c>
      <x:c r="I38" s="10" t="n">
        <x:v>40</x:v>
      </x:c>
      <x:c r="J38" s="10" t="n">
        <x:v>80</x:v>
      </x:c>
      <x:c r="K38" s="1" t="str">
        <x:v>DEMO / SIMULATED</x:v>
      </x:c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 t="str">
        <x:v>JFD-20250904-0025</x:v>
      </x:c>
      <x:c r="B39" s="9" t="n">
        <x:v>45904.86875</x:v>
      </x:c>
      <x:c r="C39" s="12" t="n">
        <x:v>0.86875</x:v>
      </x:c>
      <x:c r="D39" s="1" t="str">
        <x:v>Birtamode</x:v>
      </x:c>
      <x:c r="E39" s="1" t="str">
        <x:v>The Underground Cafe &amp; Restaurant</x:v>
      </x:c>
      <x:c r="F39" s="1" t="str">
        <x:v>Aalu Jeera</x:v>
      </x:c>
      <x:c r="G39" s="1" t="str">
        <x:v>Food</x:v>
      </x:c>
      <x:c r="H39" s="1" t="n">
        <x:v>4</x:v>
      </x:c>
      <x:c r="I39" s="10" t="n">
        <x:v>145</x:v>
      </x:c>
      <x:c r="J39" s="10" t="n">
        <x:v>580</x:v>
      </x:c>
      <x:c r="K39" s="1" t="str">
        <x:v>DEMO / SIMULATED</x:v>
      </x:c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 t="str">
        <x:v>JFD-20250904-0025</x:v>
      </x:c>
      <x:c r="B40" s="9" t="n">
        <x:v>45904.73541666667</x:v>
      </x:c>
      <x:c r="C40" s="12" t="n">
        <x:v>0.7354166666666667</x:v>
      </x:c>
      <x:c r="D40" s="1" t="str">
        <x:v>Birtamode</x:v>
      </x:c>
      <x:c r="E40" s="1" t="str">
        <x:v>The Underground Cafe &amp; Restaurant</x:v>
      </x:c>
      <x:c r="F40" s="1" t="str">
        <x:v>Coca-Cola 500ml</x:v>
      </x:c>
      <x:c r="G40" s="1" t="str">
        <x:v>Drink</x:v>
      </x:c>
      <x:c r="H40" s="1" t="n">
        <x:v>4</x:v>
      </x:c>
      <x:c r="I40" s="10" t="n">
        <x:v>95</x:v>
      </x:c>
      <x:c r="J40" s="10" t="n">
        <x:v>380</x:v>
      </x:c>
      <x:c r="K40" s="1" t="str">
        <x:v>DEMO / SIMULATED</x:v>
      </x:c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 t="str">
        <x:v>JFD-20230917-0026</x:v>
      </x:c>
      <x:c r="B41" s="9" t="n">
        <x:v>45186.80416666667</x:v>
      </x:c>
      <x:c r="C41" s="12" t="n">
        <x:v>0.8041666666666667</x:v>
      </x:c>
      <x:c r="D41" s="1" t="str">
        <x:v>Birtamode</x:v>
      </x:c>
      <x:c r="E41" s="1" t="str">
        <x:v>Pizza Ghar</x:v>
      </x:c>
      <x:c r="F41" s="1" t="str">
        <x:v>Egg Fried Rice</x:v>
      </x:c>
      <x:c r="G41" s="1" t="str">
        <x:v>Food</x:v>
      </x:c>
      <x:c r="H41" s="1" t="n">
        <x:v>3</x:v>
      </x:c>
      <x:c r="I41" s="10" t="n">
        <x:v>220</x:v>
      </x:c>
      <x:c r="J41" s="10" t="n">
        <x:v>660</x:v>
      </x:c>
      <x:c r="K41" s="1" t="str">
        <x:v>DEMO / SIMULATED</x:v>
      </x:c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 t="str">
        <x:v>JFD-20230917-0026</x:v>
      </x:c>
      <x:c r="B42" s="9" t="n">
        <x:v>45186.54791666667</x:v>
      </x:c>
      <x:c r="C42" s="12" t="n">
        <x:v>0.5479166666666667</x:v>
      </x:c>
      <x:c r="D42" s="1" t="str">
        <x:v>Birtamode</x:v>
      </x:c>
      <x:c r="E42" s="1" t="str">
        <x:v>Pizza Ghar</x:v>
      </x:c>
      <x:c r="F42" s="1" t="str">
        <x:v>Chicken Fried Rice</x:v>
      </x:c>
      <x:c r="G42" s="1" t="str">
        <x:v>Food</x:v>
      </x:c>
      <x:c r="H42" s="1" t="n">
        <x:v>1</x:v>
      </x:c>
      <x:c r="I42" s="10" t="n">
        <x:v>245</x:v>
      </x:c>
      <x:c r="J42" s="10" t="n">
        <x:v>245</x:v>
      </x:c>
      <x:c r="K42" s="1" t="str">
        <x:v>DEMO / SIMULATED</x:v>
      </x:c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 t="str">
        <x:v>JFD-20260529-0027</x:v>
      </x:c>
      <x:c r="B43" s="9" t="n">
        <x:v>46171.865277777775</x:v>
      </x:c>
      <x:c r="C43" s="12" t="n">
        <x:v>0.8652777777777778</x:v>
      </x:c>
      <x:c r="D43" s="1" t="str">
        <x:v>Birtamode</x:v>
      </x:c>
      <x:c r="E43" s="1" t="str">
        <x:v>The Underground Cafe &amp; Restaurant</x:v>
      </x:c>
      <x:c r="F43" s="1" t="str">
        <x:v>Veg Pakauda</x:v>
      </x:c>
      <x:c r="G43" s="1" t="str">
        <x:v>Food</x:v>
      </x:c>
      <x:c r="H43" s="1" t="n">
        <x:v>2</x:v>
      </x:c>
      <x:c r="I43" s="10" t="n">
        <x:v>175</x:v>
      </x:c>
      <x:c r="J43" s="10" t="n">
        <x:v>350</x:v>
      </x:c>
      <x:c r="K43" s="1" t="str">
        <x:v>DEMO / SIMULATED</x:v>
      </x:c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 t="str">
        <x:v>JFD-20241012-0028</x:v>
      </x:c>
      <x:c r="B44" s="9" t="n">
        <x:v>45577.44583333333</x:v>
      </x:c>
      <x:c r="C44" s="12" t="n">
        <x:v>0.44583333333333336</x:v>
      </x:c>
      <x:c r="D44" s="1" t="str">
        <x:v>Birtamode</x:v>
      </x:c>
      <x:c r="E44" s="1" t="str">
        <x:v>Pizza Ghar</x:v>
      </x:c>
      <x:c r="F44" s="1" t="str">
        <x:v>Veg Fried Rice</x:v>
      </x:c>
      <x:c r="G44" s="1" t="str">
        <x:v>Food</x:v>
      </x:c>
      <x:c r="H44" s="1" t="n">
        <x:v>4</x:v>
      </x:c>
      <x:c r="I44" s="10" t="n">
        <x:v>195</x:v>
      </x:c>
      <x:c r="J44" s="10" t="n">
        <x:v>780</x:v>
      </x:c>
      <x:c r="K44" s="1" t="str">
        <x:v>DEMO / SIMULATED</x:v>
      </x:c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 t="str">
        <x:v>JFD-20241012-0028</x:v>
      </x:c>
      <x:c r="B45" s="9" t="n">
        <x:v>45577.44236111111</x:v>
      </x:c>
      <x:c r="C45" s="12" t="n">
        <x:v>0.4423611111111111</x:v>
      </x:c>
      <x:c r="D45" s="1" t="str">
        <x:v>Birtamode</x:v>
      </x:c>
      <x:c r="E45" s="1" t="str">
        <x:v>Pizza Ghar</x:v>
      </x:c>
      <x:c r="F45" s="1" t="str">
        <x:v>Chicken Fried Rice</x:v>
      </x:c>
      <x:c r="G45" s="1" t="str">
        <x:v>Food</x:v>
      </x:c>
      <x:c r="H45" s="1" t="n">
        <x:v>2</x:v>
      </x:c>
      <x:c r="I45" s="10" t="n">
        <x:v>265</x:v>
      </x:c>
      <x:c r="J45" s="10" t="n">
        <x:v>530</x:v>
      </x:c>
      <x:c r="K45" s="1" t="str">
        <x:v>DEMO / SIMULATED</x:v>
      </x:c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 t="str">
        <x:v>JFD-20240101-0029</x:v>
      </x:c>
      <x:c r="B46" s="9" t="n">
        <x:v>45292.65138888889</x:v>
      </x:c>
      <x:c r="C46" s="12" t="n">
        <x:v>0.6513888888888889</x:v>
      </x:c>
      <x:c r="D46" s="1" t="str">
        <x:v>Birtamode</x:v>
      </x:c>
      <x:c r="E46" s="1" t="str">
        <x:v>Pizza Ghar</x:v>
      </x:c>
      <x:c r="F46" s="1" t="str">
        <x:v>Bottled Water 1L</x:v>
      </x:c>
      <x:c r="G46" s="1" t="str">
        <x:v>Drink</x:v>
      </x:c>
      <x:c r="H46" s="1" t="n">
        <x:v>1</x:v>
      </x:c>
      <x:c r="I46" s="10" t="n">
        <x:v>35</x:v>
      </x:c>
      <x:c r="J46" s="10" t="n">
        <x:v>35</x:v>
      </x:c>
      <x:c r="K46" s="1" t="str">
        <x:v>DEMO / SIMULATED</x:v>
      </x:c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 t="str">
        <x:v>JFD-20240101-0029</x:v>
      </x:c>
      <x:c r="B47" s="9" t="n">
        <x:v>45292.822222222225</x:v>
      </x:c>
      <x:c r="C47" s="12" t="n">
        <x:v>0.8222222222222222</x:v>
      </x:c>
      <x:c r="D47" s="1" t="str">
        <x:v>Birtamode</x:v>
      </x:c>
      <x:c r="E47" s="1" t="str">
        <x:v>Pizza Ghar</x:v>
      </x:c>
      <x:c r="F47" s="1" t="str">
        <x:v>Veg Fried Rice</x:v>
      </x:c>
      <x:c r="G47" s="1" t="str">
        <x:v>Food</x:v>
      </x:c>
      <x:c r="H47" s="1" t="n">
        <x:v>1</x:v>
      </x:c>
      <x:c r="I47" s="10" t="n">
        <x:v>195</x:v>
      </x:c>
      <x:c r="J47" s="10" t="n">
        <x:v>195</x:v>
      </x:c>
      <x:c r="K47" s="1" t="str">
        <x:v>DEMO / SIMULATED</x:v>
      </x:c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 t="str">
        <x:v>JFD-20230330-0030</x:v>
      </x:c>
      <x:c r="B48" s="9" t="n">
        <x:v>45015.875</x:v>
      </x:c>
      <x:c r="C48" s="12" t="n">
        <x:v>0.875</x:v>
      </x:c>
      <x:c r="D48" s="1" t="str">
        <x:v>Birtamode</x:v>
      </x:c>
      <x:c r="E48" s="1" t="str">
        <x:v>Pizza Ghar</x:v>
      </x:c>
      <x:c r="F48" s="1" t="str">
        <x:v>Egg Fried Rice</x:v>
      </x:c>
      <x:c r="G48" s="1" t="str">
        <x:v>Food</x:v>
      </x:c>
      <x:c r="H48" s="1" t="n">
        <x:v>2</x:v>
      </x:c>
      <x:c r="I48" s="10" t="n">
        <x:v>220</x:v>
      </x:c>
      <x:c r="J48" s="10" t="n">
        <x:v>440</x:v>
      </x:c>
      <x:c r="K48" s="1" t="str">
        <x:v>DEMO / SIMULATED</x:v>
      </x:c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 t="str">
        <x:v>JFD-20230330-0030</x:v>
      </x:c>
      <x:c r="B49" s="9" t="n">
        <x:v>45015.54305555556</x:v>
      </x:c>
      <x:c r="C49" s="12" t="n">
        <x:v>0.5430555555555555</x:v>
      </x:c>
      <x:c r="D49" s="1" t="str">
        <x:v>Birtamode</x:v>
      </x:c>
      <x:c r="E49" s="1" t="str">
        <x:v>Pizza Ghar</x:v>
      </x:c>
      <x:c r="F49" s="1" t="str">
        <x:v>Chicken BBQ Feast Pizza</x:v>
      </x:c>
      <x:c r="G49" s="1" t="str">
        <x:v>Food</x:v>
      </x:c>
      <x:c r="H49" s="1" t="n">
        <x:v>2</x:v>
      </x:c>
      <x:c r="I49" s="10" t="n">
        <x:v>475</x:v>
      </x:c>
      <x:c r="J49" s="10" t="n">
        <x:v>950</x:v>
      </x:c>
      <x:c r="K49" s="1" t="str">
        <x:v>DEMO / SIMULATED</x:v>
      </x:c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 t="str">
        <x:v>JFD-20241117-0031</x:v>
      </x:c>
      <x:c r="B50" s="9" t="n">
        <x:v>45613.80694444444</x:v>
      </x:c>
      <x:c r="C50" s="12" t="n">
        <x:v>0.8069444444444445</x:v>
      </x:c>
      <x:c r="D50" s="1" t="str">
        <x:v>Damak</x:v>
      </x:c>
      <x:c r="E50" s="1" t="str">
        <x:v>Late Night Cravings</x:v>
      </x:c>
      <x:c r="F50" s="1" t="str">
        <x:v>Veg Fry Rice</x:v>
      </x:c>
      <x:c r="G50" s="1" t="str">
        <x:v>Food</x:v>
      </x:c>
      <x:c r="H50" s="1" t="n">
        <x:v>3</x:v>
      </x:c>
      <x:c r="I50" s="10" t="n">
        <x:v>140</x:v>
      </x:c>
      <x:c r="J50" s="10" t="n">
        <x:v>420</x:v>
      </x:c>
      <x:c r="K50" s="1" t="str">
        <x:v>DEMO / SIMULATED</x:v>
      </x:c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 t="str">
        <x:v>JFD-20241117-0031</x:v>
      </x:c>
      <x:c r="B51" s="9" t="n">
        <x:v>45613.54791666667</x:v>
      </x:c>
      <x:c r="C51" s="12" t="n">
        <x:v>0.5479166666666667</x:v>
      </x:c>
      <x:c r="D51" s="1" t="str">
        <x:v>Damak</x:v>
      </x:c>
      <x:c r="E51" s="1" t="str">
        <x:v>Late Night Cravings</x:v>
      </x:c>
      <x:c r="F51" s="1" t="str">
        <x:v>Chicken Fry Rice</x:v>
      </x:c>
      <x:c r="G51" s="1" t="str">
        <x:v>Food</x:v>
      </x:c>
      <x:c r="H51" s="1" t="n">
        <x:v>4</x:v>
      </x:c>
      <x:c r="I51" s="10" t="n">
        <x:v>195</x:v>
      </x:c>
      <x:c r="J51" s="10" t="n">
        <x:v>780</x:v>
      </x:c>
      <x:c r="K51" s="1" t="str">
        <x:v>DEMO / SIMULATED</x:v>
      </x:c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 t="str">
        <x:v>JFD-20241117-0031</x:v>
      </x:c>
      <x:c r="B52" s="9" t="n">
        <x:v>45613.55</x:v>
      </x:c>
      <x:c r="C52" s="12" t="n">
        <x:v>0.55</x:v>
      </x:c>
      <x:c r="D52" s="1" t="str">
        <x:v>Damak</x:v>
      </x:c>
      <x:c r="E52" s="1" t="str">
        <x:v>Late Night Cravings</x:v>
      </x:c>
      <x:c r="F52" s="1" t="str">
        <x:v>Bottled Water 1L</x:v>
      </x:c>
      <x:c r="G52" s="1" t="str">
        <x:v>Drink</x:v>
      </x:c>
      <x:c r="H52" s="1" t="n">
        <x:v>4</x:v>
      </x:c>
      <x:c r="I52" s="10" t="n">
        <x:v>35</x:v>
      </x:c>
      <x:c r="J52" s="10" t="n">
        <x:v>140</x:v>
      </x:c>
      <x:c r="K52" s="1" t="str">
        <x:v>DEMO / SIMULATED</x:v>
      </x:c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 t="str">
        <x:v>JFD-20230412-0032</x:v>
      </x:c>
      <x:c r="B53" s="9" t="n">
        <x:v>45028.493055555555</x:v>
      </x:c>
      <x:c r="C53" s="12" t="n">
        <x:v>0.4930555555555556</x:v>
      </x:c>
      <x:c r="D53" s="1" t="str">
        <x:v>Damak</x:v>
      </x:c>
      <x:c r="E53" s="1" t="str">
        <x:v>Late Night Cravings</x:v>
      </x:c>
      <x:c r="F53" s="1" t="str">
        <x:v>Egg Fry Rice</x:v>
      </x:c>
      <x:c r="G53" s="1" t="str">
        <x:v>Food</x:v>
      </x:c>
      <x:c r="H53" s="1" t="n">
        <x:v>4</x:v>
      </x:c>
      <x:c r="I53" s="10" t="n">
        <x:v>165</x:v>
      </x:c>
      <x:c r="J53" s="10" t="n">
        <x:v>660</x:v>
      </x:c>
      <x:c r="K53" s="1" t="str">
        <x:v>DEMO / SIMULATED</x:v>
      </x:c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 t="str">
        <x:v>JFD-20230412-0032</x:v>
      </x:c>
      <x:c r="B54" s="9" t="n">
        <x:v>45028.64861111111</x:v>
      </x:c>
      <x:c r="C54" s="12" t="n">
        <x:v>0.6486111111111111</x:v>
      </x:c>
      <x:c r="D54" s="1" t="str">
        <x:v>Damak</x:v>
      </x:c>
      <x:c r="E54" s="1" t="str">
        <x:v>Late Night Cravings</x:v>
      </x:c>
      <x:c r="F54" s="1" t="str">
        <x:v>Bottled Water 1L</x:v>
      </x:c>
      <x:c r="G54" s="1" t="str">
        <x:v>Drink</x:v>
      </x:c>
      <x:c r="H54" s="1" t="n">
        <x:v>1</x:v>
      </x:c>
      <x:c r="I54" s="10" t="n">
        <x:v>35</x:v>
      </x:c>
      <x:c r="J54" s="10" t="n">
        <x:v>35</x:v>
      </x:c>
      <x:c r="K54" s="1" t="str">
        <x:v>DEMO / SIMULATED</x:v>
      </x:c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 t="str">
        <x:v>JFD-20230412-0032</x:v>
      </x:c>
      <x:c r="B55" s="9" t="n">
        <x:v>45028.81458333333</x:v>
      </x:c>
      <x:c r="C55" s="12" t="n">
        <x:v>0.8145833333333333</x:v>
      </x:c>
      <x:c r="D55" s="1" t="str">
        <x:v>Damak</x:v>
      </x:c>
      <x:c r="E55" s="1" t="str">
        <x:v>Late Night Cravings</x:v>
      </x:c>
      <x:c r="F55" s="1" t="str">
        <x:v>Coca-Cola 500ml</x:v>
      </x:c>
      <x:c r="G55" s="1" t="str">
        <x:v>Drink</x:v>
      </x:c>
      <x:c r="H55" s="1" t="n">
        <x:v>4</x:v>
      </x:c>
      <x:c r="I55" s="10" t="n">
        <x:v>80</x:v>
      </x:c>
      <x:c r="J55" s="10" t="n">
        <x:v>320</x:v>
      </x:c>
      <x:c r="K55" s="1" t="str">
        <x:v>DEMO / SIMULATED</x:v>
      </x:c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 t="str">
        <x:v>JFD-20250914-0033</x:v>
      </x:c>
      <x:c r="B56" s="9" t="n">
        <x:v>45914.62152777778</x:v>
      </x:c>
      <x:c r="C56" s="12" t="n">
        <x:v>0.6215277777777778</x:v>
      </x:c>
      <x:c r="D56" s="1" t="str">
        <x:v>Damak</x:v>
      </x:c>
      <x:c r="E56" s="1" t="str">
        <x:v>Milan’s Bakery</x:v>
      </x:c>
      <x:c r="F56" s="1" t="str">
        <x:v>Bottled Water 1L</x:v>
      </x:c>
      <x:c r="G56" s="1" t="str">
        <x:v>Drink</x:v>
      </x:c>
      <x:c r="H56" s="1" t="n">
        <x:v>1</x:v>
      </x:c>
      <x:c r="I56" s="10" t="n">
        <x:v>40</x:v>
      </x:c>
      <x:c r="J56" s="10" t="n">
        <x:v>40</x:v>
      </x:c>
      <x:c r="K56" s="1" t="str">
        <x:v>DEMO / SIMULATED</x:v>
      </x:c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 t="str">
        <x:v>JFD-20250914-0033</x:v>
      </x:c>
      <x:c r="B57" s="9" t="n">
        <x:v>45914.680555555555</x:v>
      </x:c>
      <x:c r="C57" s="12" t="n">
        <x:v>0.6805555555555556</x:v>
      </x:c>
      <x:c r="D57" s="1" t="str">
        <x:v>Damak</x:v>
      </x:c>
      <x:c r="E57" s="1" t="str">
        <x:v>Milan’s Bakery</x:v>
      </x:c>
      <x:c r="F57" s="1" t="str">
        <x:v>Vanilla Cake</x:v>
      </x:c>
      <x:c r="G57" s="1" t="str">
        <x:v>Food</x:v>
      </x:c>
      <x:c r="H57" s="1" t="n">
        <x:v>1</x:v>
      </x:c>
      <x:c r="I57" s="10" t="n">
        <x:v>280</x:v>
      </x:c>
      <x:c r="J57" s="10" t="n">
        <x:v>280</x:v>
      </x:c>
      <x:c r="K57" s="1" t="str">
        <x:v>DEMO / SIMULATED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 t="str">
        <x:v>JFD-20260327-0034</x:v>
      </x:c>
      <x:c r="B58" s="9" t="n">
        <x:v>46108.75486111111</x:v>
      </x:c>
      <x:c r="C58" s="12" t="n">
        <x:v>0.7548611111111111</x:v>
      </x:c>
      <x:c r="D58" s="1" t="str">
        <x:v>Damak</x:v>
      </x:c>
      <x:c r="E58" s="1" t="str">
        <x:v>Late Night Cravings</x:v>
      </x:c>
      <x:c r="F58" s="1" t="str">
        <x:v>Veg Fry Rice</x:v>
      </x:c>
      <x:c r="G58" s="1" t="str">
        <x:v>Food</x:v>
      </x:c>
      <x:c r="H58" s="1" t="n">
        <x:v>3</x:v>
      </x:c>
      <x:c r="I58" s="10" t="n">
        <x:v>160</x:v>
      </x:c>
      <x:c r="J58" s="10" t="n">
        <x:v>480</x:v>
      </x:c>
      <x:c r="K58" s="1" t="str">
        <x:v>DEMO / SIMULATED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 t="str">
        <x:v>JFD-20241013-0035</x:v>
      </x:c>
      <x:c r="B59" s="9" t="n">
        <x:v>45578.63263888889</x:v>
      </x:c>
      <x:c r="C59" s="12" t="n">
        <x:v>0.6326388888888889</x:v>
      </x:c>
      <x:c r="D59" s="1" t="str">
        <x:v>Damak</x:v>
      </x:c>
      <x:c r="E59" s="1" t="str">
        <x:v>Late Night Cravings</x:v>
      </x:c>
      <x:c r="F59" s="1" t="str">
        <x:v>Chicken Fry Rice</x:v>
      </x:c>
      <x:c r="G59" s="1" t="str">
        <x:v>Food</x:v>
      </x:c>
      <x:c r="H59" s="1" t="n">
        <x:v>1</x:v>
      </x:c>
      <x:c r="I59" s="10" t="n">
        <x:v>195</x:v>
      </x:c>
      <x:c r="J59" s="10" t="n">
        <x:v>195</x:v>
      </x:c>
      <x:c r="K59" s="1" t="str">
        <x:v>DEMO / SIMULATED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 t="str">
        <x:v>JFD-20241013-0035</x:v>
      </x:c>
      <x:c r="B60" s="9" t="n">
        <x:v>45578.46666666667</x:v>
      </x:c>
      <x:c r="C60" s="12" t="n">
        <x:v>0.4666666666666667</x:v>
      </x:c>
      <x:c r="D60" s="1" t="str">
        <x:v>Damak</x:v>
      </x:c>
      <x:c r="E60" s="1" t="str">
        <x:v>Late Night Cravings</x:v>
      </x:c>
      <x:c r="F60" s="1" t="str">
        <x:v>Bottled Water 1L</x:v>
      </x:c>
      <x:c r="G60" s="1" t="str">
        <x:v>Drink</x:v>
      </x:c>
      <x:c r="H60" s="1" t="n">
        <x:v>1</x:v>
      </x:c>
      <x:c r="I60" s="10" t="n">
        <x:v>35</x:v>
      </x:c>
      <x:c r="J60" s="10" t="n">
        <x:v>35</x:v>
      </x:c>
      <x:c r="K60" s="1" t="str">
        <x:v>DEMO / SIMULATED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 t="str">
        <x:v>JFD-20251112-0036</x:v>
      </x:c>
      <x:c r="B61" s="9" t="n">
        <x:v>45973.794444444444</x:v>
      </x:c>
      <x:c r="C61" s="12" t="n">
        <x:v>0.7944444444444444</x:v>
      </x:c>
      <x:c r="D61" s="1" t="str">
        <x:v>Birtamode</x:v>
      </x:c>
      <x:c r="E61" s="1" t="str">
        <x:v>Pizza Ghar</x:v>
      </x:c>
      <x:c r="F61" s="1" t="str">
        <x:v>Chicken BBQ Feast Pizza</x:v>
      </x:c>
      <x:c r="G61" s="1" t="str">
        <x:v>Food</x:v>
      </x:c>
      <x:c r="H61" s="1" t="n">
        <x:v>1</x:v>
      </x:c>
      <x:c r="I61" s="10" t="n">
        <x:v>545</x:v>
      </x:c>
      <x:c r="J61" s="10" t="n">
        <x:v>545</x:v>
      </x:c>
      <x:c r="K61" s="1" t="str">
        <x:v>DEMO / SIMULATED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 t="str">
        <x:v>JFD-20251112-0036</x:v>
      </x:c>
      <x:c r="B62" s="9" t="n">
        <x:v>45973.53055555555</x:v>
      </x:c>
      <x:c r="C62" s="12" t="n">
        <x:v>0.5305555555555556</x:v>
      </x:c>
      <x:c r="D62" s="1" t="str">
        <x:v>Birtamode</x:v>
      </x:c>
      <x:c r="E62" s="1" t="str">
        <x:v>Pizza Ghar</x:v>
      </x:c>
      <x:c r="F62" s="1" t="str">
        <x:v>Veg Fried Rice</x:v>
      </x:c>
      <x:c r="G62" s="1" t="str">
        <x:v>Food</x:v>
      </x:c>
      <x:c r="H62" s="1" t="n">
        <x:v>2</x:v>
      </x:c>
      <x:c r="I62" s="10" t="n">
        <x:v>205</x:v>
      </x:c>
      <x:c r="J62" s="10" t="n">
        <x:v>410</x:v>
      </x:c>
      <x:c r="K62" s="1" t="str">
        <x:v>DEMO / SIMULATED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 t="str">
        <x:v>JFD-20250805-0037</x:v>
      </x:c>
      <x:c r="B63" s="9" t="n">
        <x:v>45874.77361111111</x:v>
      </x:c>
      <x:c r="C63" s="12" t="n">
        <x:v>0.7736111111111111</x:v>
      </x:c>
      <x:c r="D63" s="1" t="str">
        <x:v>Birtamode</x:v>
      </x:c>
      <x:c r="E63" s="1" t="str">
        <x:v>The Underground Cafe &amp; Restaurant</x:v>
      </x:c>
      <x:c r="F63" s="1" t="str">
        <x:v>Paneer Pakauda</x:v>
      </x:c>
      <x:c r="G63" s="1" t="str">
        <x:v>Food</x:v>
      </x:c>
      <x:c r="H63" s="1" t="n">
        <x:v>3</x:v>
      </x:c>
      <x:c r="I63" s="10" t="n">
        <x:v>210</x:v>
      </x:c>
      <x:c r="J63" s="10" t="n">
        <x:v>630</x:v>
      </x:c>
      <x:c r="K63" s="1" t="str">
        <x:v>DEMO / SIMULATED</x:v>
      </x:c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 t="str">
        <x:v>JFD-20231210-0038</x:v>
      </x:c>
      <x:c r="B64" s="9" t="n">
        <x:v>45270.88125</x:v>
      </x:c>
      <x:c r="C64" s="12" t="n">
        <x:v>0.88125</x:v>
      </x:c>
      <x:c r="D64" s="1" t="str">
        <x:v>Birtamode</x:v>
      </x:c>
      <x:c r="E64" s="1" t="str">
        <x:v>The Underground Cafe &amp; Restaurant</x:v>
      </x:c>
      <x:c r="F64" s="1" t="str">
        <x:v>Bottled Water 1L</x:v>
      </x:c>
      <x:c r="G64" s="1" t="str">
        <x:v>Drink</x:v>
      </x:c>
      <x:c r="H64" s="1" t="n">
        <x:v>3</x:v>
      </x:c>
      <x:c r="I64" s="10" t="n">
        <x:v>35</x:v>
      </x:c>
      <x:c r="J64" s="10" t="n">
        <x:v>105</x:v>
      </x:c>
      <x:c r="K64" s="1" t="str">
        <x:v>DEMO / SIMULATED</x:v>
      </x:c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 t="str">
        <x:v>JFD-20260303-0039</x:v>
      </x:c>
      <x:c r="B65" s="9" t="n">
        <x:v>46084.79861111111</x:v>
      </x:c>
      <x:c r="C65" s="12" t="n">
        <x:v>0.7986111111111112</x:v>
      </x:c>
      <x:c r="D65" s="1" t="str">
        <x:v>Birtamode</x:v>
      </x:c>
      <x:c r="E65" s="1" t="str">
        <x:v>Pizza Ghar</x:v>
      </x:c>
      <x:c r="F65" s="1" t="str">
        <x:v>Chicken BBQ Feast Pizza</x:v>
      </x:c>
      <x:c r="G65" s="1" t="str">
        <x:v>Food</x:v>
      </x:c>
      <x:c r="H65" s="1" t="n">
        <x:v>1</x:v>
      </x:c>
      <x:c r="I65" s="10" t="n">
        <x:v>580</x:v>
      </x:c>
      <x:c r="J65" s="10" t="n">
        <x:v>580</x:v>
      </x:c>
      <x:c r="K65" s="1" t="str">
        <x:v>DEMO / SIMULATED</x:v>
      </x:c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 t="str">
        <x:v>JFD-20260303-0039</x:v>
      </x:c>
      <x:c r="B66" s="9" t="n">
        <x:v>46084.64375</x:v>
      </x:c>
      <x:c r="C66" s="12" t="n">
        <x:v>0.64375</x:v>
      </x:c>
      <x:c r="D66" s="1" t="str">
        <x:v>Birtamode</x:v>
      </x:c>
      <x:c r="E66" s="1" t="str">
        <x:v>Pizza Ghar</x:v>
      </x:c>
      <x:c r="F66" s="1" t="str">
        <x:v>Egg Fried Rice</x:v>
      </x:c>
      <x:c r="G66" s="1" t="str">
        <x:v>Food</x:v>
      </x:c>
      <x:c r="H66" s="1" t="n">
        <x:v>1</x:v>
      </x:c>
      <x:c r="I66" s="10" t="n">
        <x:v>270</x:v>
      </x:c>
      <x:c r="J66" s="10" t="n">
        <x:v>270</x:v>
      </x:c>
      <x:c r="K66" s="1" t="str">
        <x:v>DEMO / SIMULATED</x:v>
      </x:c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 t="str">
        <x:v>JFD-20240429-0040</x:v>
      </x:c>
      <x:c r="B67" s="9" t="n">
        <x:v>45411.56805555556</x:v>
      </x:c>
      <x:c r="C67" s="12" t="n">
        <x:v>0.5680555555555555</x:v>
      </x:c>
      <x:c r="D67" s="1" t="str">
        <x:v>Damak</x:v>
      </x:c>
      <x:c r="E67" s="1" t="str">
        <x:v>Late Night Cravings</x:v>
      </x:c>
      <x:c r="F67" s="1" t="str">
        <x:v>Coca-Cola 500ml</x:v>
      </x:c>
      <x:c r="G67" s="1" t="str">
        <x:v>Drink</x:v>
      </x:c>
      <x:c r="H67" s="1" t="n">
        <x:v>2</x:v>
      </x:c>
      <x:c r="I67" s="10" t="n">
        <x:v>90</x:v>
      </x:c>
      <x:c r="J67" s="10" t="n">
        <x:v>180</x:v>
      </x:c>
      <x:c r="K67" s="1" t="str">
        <x:v>DEMO / SIMULATED</x:v>
      </x:c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 t="str">
        <x:v>JFD-20240429-0040</x:v>
      </x:c>
      <x:c r="B68" s="9" t="n">
        <x:v>45411.90138888889</x:v>
      </x:c>
      <x:c r="C68" s="12" t="n">
        <x:v>0.9013888888888889</x:v>
      </x:c>
      <x:c r="D68" s="1" t="str">
        <x:v>Damak</x:v>
      </x:c>
      <x:c r="E68" s="1" t="str">
        <x:v>Late Night Cravings</x:v>
      </x:c>
      <x:c r="F68" s="1" t="str">
        <x:v>Chicken Fry Rice</x:v>
      </x:c>
      <x:c r="G68" s="1" t="str">
        <x:v>Food</x:v>
      </x:c>
      <x:c r="H68" s="1" t="n">
        <x:v>2</x:v>
      </x:c>
      <x:c r="I68" s="10" t="n">
        <x:v>195</x:v>
      </x:c>
      <x:c r="J68" s="10" t="n">
        <x:v>390</x:v>
      </x:c>
      <x:c r="K68" s="1" t="str">
        <x:v>DEMO / SIMULATED</x:v>
      </x:c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 t="str">
        <x:v>JFD-20260223-0041</x:v>
      </x:c>
      <x:c r="B69" s="9" t="n">
        <x:v>46076.80902777778</x:v>
      </x:c>
      <x:c r="C69" s="12" t="n">
        <x:v>0.8090277777777778</x:v>
      </x:c>
      <x:c r="D69" s="1" t="str">
        <x:v>Birtamode</x:v>
      </x:c>
      <x:c r="E69" s="1" t="str">
        <x:v>Pizza Ghar</x:v>
      </x:c>
      <x:c r="F69" s="1" t="str">
        <x:v>Chicken BBQ Feast Pizza</x:v>
      </x:c>
      <x:c r="G69" s="1" t="str">
        <x:v>Food</x:v>
      </x:c>
      <x:c r="H69" s="1" t="n">
        <x:v>3</x:v>
      </x:c>
      <x:c r="I69" s="10" t="n">
        <x:v>580</x:v>
      </x:c>
      <x:c r="J69" s="10" t="n">
        <x:v>1740</x:v>
      </x:c>
      <x:c r="K69" s="1" t="str">
        <x:v>DEMO / SIMULATED</x:v>
      </x:c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 t="str">
        <x:v>JFD-20260223-0041</x:v>
      </x:c>
      <x:c r="B70" s="9" t="n">
        <x:v>46076.80902777778</x:v>
      </x:c>
      <x:c r="C70" s="12" t="n">
        <x:v>0.8090277777777778</x:v>
      </x:c>
      <x:c r="D70" s="1" t="str">
        <x:v>Birtamode</x:v>
      </x:c>
      <x:c r="E70" s="1" t="str">
        <x:v>Pizza Ghar</x:v>
      </x:c>
      <x:c r="F70" s="1" t="str">
        <x:v>Bottled Water 1L</x:v>
      </x:c>
      <x:c r="G70" s="1" t="str">
        <x:v>Drink</x:v>
      </x:c>
      <x:c r="H70" s="1" t="n">
        <x:v>3</x:v>
      </x:c>
      <x:c r="I70" s="10" t="n">
        <x:v>40</x:v>
      </x:c>
      <x:c r="J70" s="10" t="n">
        <x:v>120</x:v>
      </x:c>
      <x:c r="K70" s="1" t="str">
        <x:v>DEMO / SIMULATED</x:v>
      </x:c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 t="str">
        <x:v>JFD-20260223-0041</x:v>
      </x:c>
      <x:c r="B71" s="9" t="n">
        <x:v>46076.77291666667</x:v>
      </x:c>
      <x:c r="C71" s="12" t="n">
        <x:v>0.7729166666666667</x:v>
      </x:c>
      <x:c r="D71" s="1" t="str">
        <x:v>Birtamode</x:v>
      </x:c>
      <x:c r="E71" s="1" t="str">
        <x:v>Pizza Ghar</x:v>
      </x:c>
      <x:c r="F71" s="1" t="str">
        <x:v>Veg Fried Rice</x:v>
      </x:c>
      <x:c r="G71" s="1" t="str">
        <x:v>Food</x:v>
      </x:c>
      <x:c r="H71" s="1" t="n">
        <x:v>4</x:v>
      </x:c>
      <x:c r="I71" s="10" t="n">
        <x:v>220</x:v>
      </x:c>
      <x:c r="J71" s="10" t="n">
        <x:v>880</x:v>
      </x:c>
      <x:c r="K71" s="1" t="str">
        <x:v>DEMO / SIMULATED</x:v>
      </x:c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 t="str">
        <x:v>JFD-20260312-0042</x:v>
      </x:c>
      <x:c r="B72" s="9" t="n">
        <x:v>46093.4875</x:v>
      </x:c>
      <x:c r="C72" s="12" t="n">
        <x:v>0.4875</x:v>
      </x:c>
      <x:c r="D72" s="1" t="str">
        <x:v>Birtamode</x:v>
      </x:c>
      <x:c r="E72" s="1" t="str">
        <x:v>Pizza Ghar</x:v>
      </x:c>
      <x:c r="F72" s="1" t="str">
        <x:v>Coca-Cola 500ml</x:v>
      </x:c>
      <x:c r="G72" s="1" t="str">
        <x:v>Drink</x:v>
      </x:c>
      <x:c r="H72" s="1" t="n">
        <x:v>1</x:v>
      </x:c>
      <x:c r="I72" s="10" t="n">
        <x:v>100</x:v>
      </x:c>
      <x:c r="J72" s="10" t="n">
        <x:v>100</x:v>
      </x:c>
      <x:c r="K72" s="1" t="str">
        <x:v>DEMO / SIMULATED</x:v>
      </x:c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 t="str">
        <x:v>JFD-20260312-0042</x:v>
      </x:c>
      <x:c r="B73" s="9" t="n">
        <x:v>46093.822916666664</x:v>
      </x:c>
      <x:c r="C73" s="12" t="n">
        <x:v>0.8229166666666666</x:v>
      </x:c>
      <x:c r="D73" s="1" t="str">
        <x:v>Birtamode</x:v>
      </x:c>
      <x:c r="E73" s="1" t="str">
        <x:v>Pizza Ghar</x:v>
      </x:c>
      <x:c r="F73" s="1" t="str">
        <x:v>Bottled Water 1L</x:v>
      </x:c>
      <x:c r="G73" s="1" t="str">
        <x:v>Drink</x:v>
      </x:c>
      <x:c r="H73" s="1" t="n">
        <x:v>1</x:v>
      </x:c>
      <x:c r="I73" s="10" t="n">
        <x:v>40</x:v>
      </x:c>
      <x:c r="J73" s="10" t="n">
        <x:v>40</x:v>
      </x:c>
      <x:c r="K73" s="1" t="str">
        <x:v>DEMO / SIMULATED</x:v>
      </x:c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 t="str">
        <x:v>JFD-20240604-0043</x:v>
      </x:c>
      <x:c r="B74" s="9" t="n">
        <x:v>45447.64444444444</x:v>
      </x:c>
      <x:c r="C74" s="12" t="n">
        <x:v>0.6444444444444445</x:v>
      </x:c>
      <x:c r="D74" s="1" t="str">
        <x:v>Damak</x:v>
      </x:c>
      <x:c r="E74" s="1" t="str">
        <x:v>Milan’s Bakery</x:v>
      </x:c>
      <x:c r="F74" s="1" t="str">
        <x:v>Bottled Water 1L</x:v>
      </x:c>
      <x:c r="G74" s="1" t="str">
        <x:v>Drink</x:v>
      </x:c>
      <x:c r="H74" s="1" t="n">
        <x:v>1</x:v>
      </x:c>
      <x:c r="I74" s="10" t="n">
        <x:v>35</x:v>
      </x:c>
      <x:c r="J74" s="10" t="n">
        <x:v>35</x:v>
      </x:c>
      <x:c r="K74" s="1" t="str">
        <x:v>DEMO / SIMULATED</x:v>
      </x:c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 t="str">
        <x:v>JFD-20240604-0043</x:v>
      </x:c>
      <x:c r="B75" s="9" t="n">
        <x:v>45447.80763888889</x:v>
      </x:c>
      <x:c r="C75" s="12" t="n">
        <x:v>0.8076388888888889</x:v>
      </x:c>
      <x:c r="D75" s="1" t="str">
        <x:v>Damak</x:v>
      </x:c>
      <x:c r="E75" s="1" t="str">
        <x:v>Milan’s Bakery</x:v>
      </x:c>
      <x:c r="F75" s="1" t="str">
        <x:v>Red Velvet Cake</x:v>
      </x:c>
      <x:c r="G75" s="1" t="str">
        <x:v>Food</x:v>
      </x:c>
      <x:c r="H75" s="1" t="n">
        <x:v>2</x:v>
      </x:c>
      <x:c r="I75" s="10" t="n">
        <x:v>790</x:v>
      </x:c>
      <x:c r="J75" s="10" t="n">
        <x:v>1580</x:v>
      </x:c>
      <x:c r="K75" s="1" t="str">
        <x:v>DEMO / SIMULATED</x:v>
      </x:c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 t="str">
        <x:v>JFD-20260514-0044</x:v>
      </x:c>
      <x:c r="B76" s="9" t="n">
        <x:v>46156.876388888886</x:v>
      </x:c>
      <x:c r="C76" s="12" t="n">
        <x:v>0.8763888888888889</x:v>
      </x:c>
      <x:c r="D76" s="1" t="str">
        <x:v>Birtamode</x:v>
      </x:c>
      <x:c r="E76" s="1" t="str">
        <x:v>The Underground Cafe &amp; Restaurant</x:v>
      </x:c>
      <x:c r="F76" s="1" t="str">
        <x:v>Bottled Water 1L</x:v>
      </x:c>
      <x:c r="G76" s="1" t="str">
        <x:v>Drink</x:v>
      </x:c>
      <x:c r="H76" s="1" t="n">
        <x:v>1</x:v>
      </x:c>
      <x:c r="I76" s="10" t="n">
        <x:v>40</x:v>
      </x:c>
      <x:c r="J76" s="10" t="n">
        <x:v>40</x:v>
      </x:c>
      <x:c r="K76" s="1" t="str">
        <x:v>DEMO / SIMULATED</x:v>
      </x:c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 t="str">
        <x:v>JFD-20260514-0044</x:v>
      </x:c>
      <x:c r="B77" s="9" t="n">
        <x:v>46156.64375</x:v>
      </x:c>
      <x:c r="C77" s="12" t="n">
        <x:v>0.64375</x:v>
      </x:c>
      <x:c r="D77" s="1" t="str">
        <x:v>Birtamode</x:v>
      </x:c>
      <x:c r="E77" s="1" t="str">
        <x:v>The Underground Cafe &amp; Restaurant</x:v>
      </x:c>
      <x:c r="F77" s="1" t="str">
        <x:v>Coca-Cola 500ml</x:v>
      </x:c>
      <x:c r="G77" s="1" t="str">
        <x:v>Drink</x:v>
      </x:c>
      <x:c r="H77" s="1" t="n">
        <x:v>2</x:v>
      </x:c>
      <x:c r="I77" s="10" t="n">
        <x:v>100</x:v>
      </x:c>
      <x:c r="J77" s="10" t="n">
        <x:v>200</x:v>
      </x:c>
      <x:c r="K77" s="1" t="str">
        <x:v>DEMO / SIMULATED</x:v>
      </x:c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 t="str">
        <x:v>JFD-20260514-0044</x:v>
      </x:c>
      <x:c r="B78" s="9" t="n">
        <x:v>46156.46319444444</x:v>
      </x:c>
      <x:c r="C78" s="12" t="n">
        <x:v>0.46319444444444446</x:v>
      </x:c>
      <x:c r="D78" s="1" t="str">
        <x:v>Birtamode</x:v>
      </x:c>
      <x:c r="E78" s="1" t="str">
        <x:v>The Underground Cafe &amp; Restaurant</x:v>
      </x:c>
      <x:c r="F78" s="1" t="str">
        <x:v>Veg Pakauda</x:v>
      </x:c>
      <x:c r="G78" s="1" t="str">
        <x:v>Food</x:v>
      </x:c>
      <x:c r="H78" s="1" t="n">
        <x:v>2</x:v>
      </x:c>
      <x:c r="I78" s="10" t="n">
        <x:v>175</x:v>
      </x:c>
      <x:c r="J78" s="10" t="n">
        <x:v>350</x:v>
      </x:c>
      <x:c r="K78" s="1" t="str">
        <x:v>DEMO / SIMULATED</x:v>
      </x:c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 t="str">
        <x:v>JFD-20240705-0045</x:v>
      </x:c>
      <x:c r="B79" s="9" t="n">
        <x:v>45478.82430555556</x:v>
      </x:c>
      <x:c r="C79" s="12" t="n">
        <x:v>0.8243055555555555</x:v>
      </x:c>
      <x:c r="D79" s="1" t="str">
        <x:v>Birtamode</x:v>
      </x:c>
      <x:c r="E79" s="1" t="str">
        <x:v>The Underground Cafe &amp; Restaurant</x:v>
      </x:c>
      <x:c r="F79" s="1" t="str">
        <x:v>Bottled Water 1L</x:v>
      </x:c>
      <x:c r="G79" s="1" t="str">
        <x:v>Drink</x:v>
      </x:c>
      <x:c r="H79" s="1" t="n">
        <x:v>4</x:v>
      </x:c>
      <x:c r="I79" s="10" t="n">
        <x:v>35</x:v>
      </x:c>
      <x:c r="J79" s="10" t="n">
        <x:v>140</x:v>
      </x:c>
      <x:c r="K79" s="1" t="str">
        <x:v>DEMO / SIMULATED</x:v>
      </x:c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 t="str">
        <x:v>JFD-20231103-0046</x:v>
      </x:c>
      <x:c r="B80" s="9" t="n">
        <x:v>45233.56597222222</x:v>
      </x:c>
      <x:c r="C80" s="12" t="n">
        <x:v>0.5659722222222222</x:v>
      </x:c>
      <x:c r="D80" s="1" t="str">
        <x:v>Damak</x:v>
      </x:c>
      <x:c r="E80" s="1" t="str">
        <x:v>Late Night Cravings</x:v>
      </x:c>
      <x:c r="F80" s="1" t="str">
        <x:v>Chicken Fry Rice</x:v>
      </x:c>
      <x:c r="G80" s="1" t="str">
        <x:v>Food</x:v>
      </x:c>
      <x:c r="H80" s="1" t="n">
        <x:v>4</x:v>
      </x:c>
      <x:c r="I80" s="10" t="n">
        <x:v>180</x:v>
      </x:c>
      <x:c r="J80" s="10" t="n">
        <x:v>720</x:v>
      </x:c>
      <x:c r="K80" s="1" t="str">
        <x:v>DEMO / SIMULATED</x:v>
      </x:c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 t="str">
        <x:v>JFD-20231103-0046</x:v>
      </x:c>
      <x:c r="B81" s="9" t="n">
        <x:v>45233.66388888889</x:v>
      </x:c>
      <x:c r="C81" s="12" t="n">
        <x:v>0.6638888888888889</x:v>
      </x:c>
      <x:c r="D81" s="1" t="str">
        <x:v>Damak</x:v>
      </x:c>
      <x:c r="E81" s="1" t="str">
        <x:v>Late Night Cravings</x:v>
      </x:c>
      <x:c r="F81" s="1" t="str">
        <x:v>Mix Fry Rice</x:v>
      </x:c>
      <x:c r="G81" s="1" t="str">
        <x:v>Food</x:v>
      </x:c>
      <x:c r="H81" s="1" t="n">
        <x:v>4</x:v>
      </x:c>
      <x:c r="I81" s="10" t="n">
        <x:v>230</x:v>
      </x:c>
      <x:c r="J81" s="10" t="n">
        <x:v>920</x:v>
      </x:c>
      <x:c r="K81" s="1" t="str">
        <x:v>DEMO / SIMULATED</x:v>
      </x:c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 t="str">
        <x:v>JFD-20250315-0047</x:v>
      </x:c>
      <x:c r="B82" s="9" t="n">
        <x:v>45731.84930555556</x:v>
      </x:c>
      <x:c r="C82" s="12" t="n">
        <x:v>0.8493055555555555</x:v>
      </x:c>
      <x:c r="D82" s="1" t="str">
        <x:v>Birtamode</x:v>
      </x:c>
      <x:c r="E82" s="1" t="str">
        <x:v>The Underground Cafe &amp; Restaurant</x:v>
      </x:c>
      <x:c r="F82" s="1" t="str">
        <x:v>Veg Pakauda</x:v>
      </x:c>
      <x:c r="G82" s="1" t="str">
        <x:v>Food</x:v>
      </x:c>
      <x:c r="H82" s="1" t="n">
        <x:v>1</x:v>
      </x:c>
      <x:c r="I82" s="10" t="n">
        <x:v>165</x:v>
      </x:c>
      <x:c r="J82" s="10" t="n">
        <x:v>165</x:v>
      </x:c>
      <x:c r="K82" s="1" t="str">
        <x:v>DEMO / SIMULATED</x:v>
      </x:c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 t="str">
        <x:v>JFD-20260104-0048</x:v>
      </x:c>
      <x:c r="B83" s="9" t="n">
        <x:v>46026.853472222225</x:v>
      </x:c>
      <x:c r="C83" s="12" t="n">
        <x:v>0.8534722222222222</x:v>
      </x:c>
      <x:c r="D83" s="1" t="str">
        <x:v>Damak</x:v>
      </x:c>
      <x:c r="E83" s="1" t="str">
        <x:v>Milan’s Bakery</x:v>
      </x:c>
      <x:c r="F83" s="1" t="str">
        <x:v>Bottled Water 1L</x:v>
      </x:c>
      <x:c r="G83" s="1" t="str">
        <x:v>Drink</x:v>
      </x:c>
      <x:c r="H83" s="1" t="n">
        <x:v>4</x:v>
      </x:c>
      <x:c r="I83" s="10" t="n">
        <x:v>40</x:v>
      </x:c>
      <x:c r="J83" s="10" t="n">
        <x:v>160</x:v>
      </x:c>
      <x:c r="K83" s="1" t="str">
        <x:v>DEMO / SIMULATED</x:v>
      </x:c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 t="str">
        <x:v>JFD-20260104-0048</x:v>
      </x:c>
      <x:c r="B84" s="9" t="n">
        <x:v>46026.82777777778</x:v>
      </x:c>
      <x:c r="C84" s="12" t="n">
        <x:v>0.8277777777777777</x:v>
      </x:c>
      <x:c r="D84" s="1" t="str">
        <x:v>Damak</x:v>
      </x:c>
      <x:c r="E84" s="1" t="str">
        <x:v>Milan’s Bakery</x:v>
      </x:c>
      <x:c r="F84" s="1" t="str">
        <x:v>Chocolate Cake</x:v>
      </x:c>
      <x:c r="G84" s="1" t="str">
        <x:v>Food</x:v>
      </x:c>
      <x:c r="H84" s="1" t="n">
        <x:v>2</x:v>
      </x:c>
      <x:c r="I84" s="10" t="n">
        <x:v>350</x:v>
      </x:c>
      <x:c r="J84" s="10" t="n">
        <x:v>700</x:v>
      </x:c>
      <x:c r="K84" s="1" t="str">
        <x:v>DEMO / SIMULATED</x:v>
      </x:c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 t="str">
        <x:v>JFD-20231007-0049</x:v>
      </x:c>
      <x:c r="B85" s="9" t="n">
        <x:v>45206.84722222222</x:v>
      </x:c>
      <x:c r="C85" s="12" t="n">
        <x:v>0.8472222222222222</x:v>
      </x:c>
      <x:c r="D85" s="1" t="str">
        <x:v>Birtamode</x:v>
      </x:c>
      <x:c r="E85" s="1" t="str">
        <x:v>The Underground Cafe &amp; Restaurant</x:v>
      </x:c>
      <x:c r="F85" s="1" t="str">
        <x:v>Bottled Water 1L</x:v>
      </x:c>
      <x:c r="G85" s="1" t="str">
        <x:v>Drink</x:v>
      </x:c>
      <x:c r="H85" s="1" t="n">
        <x:v>4</x:v>
      </x:c>
      <x:c r="I85" s="10" t="n">
        <x:v>35</x:v>
      </x:c>
      <x:c r="J85" s="10" t="n">
        <x:v>140</x:v>
      </x:c>
      <x:c r="K85" s="1" t="str">
        <x:v>DEMO / SIMULATED</x:v>
      </x:c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 t="str">
        <x:v>JFD-20231007-0049</x:v>
      </x:c>
      <x:c r="B86" s="9" t="n">
        <x:v>45206.91458333333</x:v>
      </x:c>
      <x:c r="C86" s="12" t="n">
        <x:v>0.9145833333333333</x:v>
      </x:c>
      <x:c r="D86" s="1" t="str">
        <x:v>Birtamode</x:v>
      </x:c>
      <x:c r="E86" s="1" t="str">
        <x:v>The Underground Cafe &amp; Restaurant</x:v>
      </x:c>
      <x:c r="F86" s="1" t="str">
        <x:v>Aalu Jeera</x:v>
      </x:c>
      <x:c r="G86" s="1" t="str">
        <x:v>Food</x:v>
      </x:c>
      <x:c r="H86" s="1" t="n">
        <x:v>4</x:v>
      </x:c>
      <x:c r="I86" s="10" t="n">
        <x:v>125</x:v>
      </x:c>
      <x:c r="J86" s="10" t="n">
        <x:v>500</x:v>
      </x:c>
      <x:c r="K86" s="1" t="str">
        <x:v>DEMO / SIMULATED</x:v>
      </x:c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 t="str">
        <x:v>JFD-20260409-0050</x:v>
      </x:c>
      <x:c r="B87" s="9" t="n">
        <x:v>46121.44027777778</x:v>
      </x:c>
      <x:c r="C87" s="12" t="n">
        <x:v>0.44027777777777777</x:v>
      </x:c>
      <x:c r="D87" s="1" t="str">
        <x:v>Birtamode</x:v>
      </x:c>
      <x:c r="E87" s="1" t="str">
        <x:v>Pizza Ghar</x:v>
      </x:c>
      <x:c r="F87" s="1" t="str">
        <x:v>Egg Fried Rice</x:v>
      </x:c>
      <x:c r="G87" s="1" t="str">
        <x:v>Food</x:v>
      </x:c>
      <x:c r="H87" s="1" t="n">
        <x:v>2</x:v>
      </x:c>
      <x:c r="I87" s="10" t="n">
        <x:v>270</x:v>
      </x:c>
      <x:c r="J87" s="10" t="n">
        <x:v>540</x:v>
      </x:c>
      <x:c r="K87" s="1" t="str">
        <x:v>DEMO / SIMULATED</x:v>
      </x:c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 t="str">
        <x:v>JFD-20260409-0050</x:v>
      </x:c>
      <x:c r="B88" s="9" t="n">
        <x:v>46121.55972222222</x:v>
      </x:c>
      <x:c r="C88" s="12" t="n">
        <x:v>0.5597222222222222</x:v>
      </x:c>
      <x:c r="D88" s="1" t="str">
        <x:v>Birtamode</x:v>
      </x:c>
      <x:c r="E88" s="1" t="str">
        <x:v>Pizza Ghar</x:v>
      </x:c>
      <x:c r="F88" s="1" t="str">
        <x:v>Bottled Water 1L</x:v>
      </x:c>
      <x:c r="G88" s="1" t="str">
        <x:v>Drink</x:v>
      </x:c>
      <x:c r="H88" s="1" t="n">
        <x:v>1</x:v>
      </x:c>
      <x:c r="I88" s="10" t="n">
        <x:v>40</x:v>
      </x:c>
      <x:c r="J88" s="10" t="n">
        <x:v>40</x:v>
      </x:c>
      <x:c r="K88" s="1" t="str">
        <x:v>DEMO / SIMULATED</x:v>
      </x:c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 t="str">
        <x:v>JFD-20230708-0051</x:v>
      </x:c>
      <x:c r="B89" s="9" t="n">
        <x:v>45115.42013888889</x:v>
      </x:c>
      <x:c r="C89" s="12" t="n">
        <x:v>0.4201388888888889</x:v>
      </x:c>
      <x:c r="D89" s="1" t="str">
        <x:v>Damak</x:v>
      </x:c>
      <x:c r="E89" s="1" t="str">
        <x:v>Late Night Cravings</x:v>
      </x:c>
      <x:c r="F89" s="1" t="str">
        <x:v>Mix Fry Rice</x:v>
      </x:c>
      <x:c r="G89" s="1" t="str">
        <x:v>Food</x:v>
      </x:c>
      <x:c r="H89" s="1" t="n">
        <x:v>3</x:v>
      </x:c>
      <x:c r="I89" s="10" t="n">
        <x:v>230</x:v>
      </x:c>
      <x:c r="J89" s="10" t="n">
        <x:v>690</x:v>
      </x:c>
      <x:c r="K89" s="1" t="str">
        <x:v>DEMO / SIMULATED</x:v>
      </x:c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 t="str">
        <x:v>JFD-20230107-0052</x:v>
      </x:c>
      <x:c r="B90" s="9" t="n">
        <x:v>44933.711805555555</x:v>
      </x:c>
      <x:c r="C90" s="12" t="n">
        <x:v>0.7118055555555556</x:v>
      </x:c>
      <x:c r="D90" s="1" t="str">
        <x:v>Birtamode</x:v>
      </x:c>
      <x:c r="E90" s="1" t="str">
        <x:v>The Underground Cafe &amp; Restaurant</x:v>
      </x:c>
      <x:c r="F90" s="1" t="str">
        <x:v>Bottled Water 1L</x:v>
      </x:c>
      <x:c r="G90" s="1" t="str">
        <x:v>Drink</x:v>
      </x:c>
      <x:c r="H90" s="1" t="n">
        <x:v>2</x:v>
      </x:c>
      <x:c r="I90" s="10" t="n">
        <x:v>35</x:v>
      </x:c>
      <x:c r="J90" s="10" t="n">
        <x:v>70</x:v>
      </x:c>
      <x:c r="K90" s="1" t="str">
        <x:v>DEMO / SIMULATED</x:v>
      </x:c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 t="str">
        <x:v>JFD-20240619-0053</x:v>
      </x:c>
      <x:c r="B91" s="9" t="n">
        <x:v>45462.666666666664</x:v>
      </x:c>
      <x:c r="C91" s="12" t="n">
        <x:v>0.6666666666666666</x:v>
      </x:c>
      <x:c r="D91" s="1" t="str">
        <x:v>Damak</x:v>
      </x:c>
      <x:c r="E91" s="1" t="str">
        <x:v>Milan’s Bakery</x:v>
      </x:c>
      <x:c r="F91" s="1" t="str">
        <x:v>Red Velvet Cake</x:v>
      </x:c>
      <x:c r="G91" s="1" t="str">
        <x:v>Food</x:v>
      </x:c>
      <x:c r="H91" s="1" t="n">
        <x:v>3</x:v>
      </x:c>
      <x:c r="I91" s="10" t="n">
        <x:v>790</x:v>
      </x:c>
      <x:c r="J91" s="10" t="n">
        <x:v>2370</x:v>
      </x:c>
      <x:c r="K91" s="1" t="str">
        <x:v>DEMO / SIMULATED</x:v>
      </x:c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 t="str">
        <x:v>JFD-20240619-0053</x:v>
      </x:c>
      <x:c r="B92" s="9" t="n">
        <x:v>45462.427083333336</x:v>
      </x:c>
      <x:c r="C92" s="12" t="n">
        <x:v>0.4270833333333333</x:v>
      </x:c>
      <x:c r="D92" s="1" t="str">
        <x:v>Damak</x:v>
      </x:c>
      <x:c r="E92" s="1" t="str">
        <x:v>Milan’s Bakery</x:v>
      </x:c>
      <x:c r="F92" s="1" t="str">
        <x:v>Coca-Cola 500ml</x:v>
      </x:c>
      <x:c r="G92" s="1" t="str">
        <x:v>Drink</x:v>
      </x:c>
      <x:c r="H92" s="1" t="n">
        <x:v>3</x:v>
      </x:c>
      <x:c r="I92" s="10" t="n">
        <x:v>90</x:v>
      </x:c>
      <x:c r="J92" s="10" t="n">
        <x:v>270</x:v>
      </x:c>
      <x:c r="K92" s="1" t="str">
        <x:v>DEMO / SIMULATED</x:v>
      </x:c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 t="str">
        <x:v>JFD-20240411-0054</x:v>
      </x:c>
      <x:c r="B93" s="9" t="n">
        <x:v>45393.80347222222</x:v>
      </x:c>
      <x:c r="C93" s="12" t="n">
        <x:v>0.8034722222222223</x:v>
      </x:c>
      <x:c r="D93" s="1" t="str">
        <x:v>Birtamode</x:v>
      </x:c>
      <x:c r="E93" s="1" t="str">
        <x:v>Pizza Ghar</x:v>
      </x:c>
      <x:c r="F93" s="1" t="str">
        <x:v>Bottled Water 1L</x:v>
      </x:c>
      <x:c r="G93" s="1" t="str">
        <x:v>Drink</x:v>
      </x:c>
      <x:c r="H93" s="1" t="n">
        <x:v>2</x:v>
      </x:c>
      <x:c r="I93" s="10" t="n">
        <x:v>35</x:v>
      </x:c>
      <x:c r="J93" s="10" t="n">
        <x:v>70</x:v>
      </x:c>
      <x:c r="K93" s="1" t="str">
        <x:v>DEMO / SIMULATED</x:v>
      </x:c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 t="str">
        <x:v>JFD-20240411-0054</x:v>
      </x:c>
      <x:c r="B94" s="9" t="n">
        <x:v>45393.56805555556</x:v>
      </x:c>
      <x:c r="C94" s="12" t="n">
        <x:v>0.5680555555555555</x:v>
      </x:c>
      <x:c r="D94" s="1" t="str">
        <x:v>Birtamode</x:v>
      </x:c>
      <x:c r="E94" s="1" t="str">
        <x:v>Pizza Ghar</x:v>
      </x:c>
      <x:c r="F94" s="1" t="str">
        <x:v>Veg Fried Rice</x:v>
      </x:c>
      <x:c r="G94" s="1" t="str">
        <x:v>Food</x:v>
      </x:c>
      <x:c r="H94" s="1" t="n">
        <x:v>3</x:v>
      </x:c>
      <x:c r="I94" s="10" t="n">
        <x:v>195</x:v>
      </x:c>
      <x:c r="J94" s="10" t="n">
        <x:v>585</x:v>
      </x:c>
      <x:c r="K94" s="1" t="str">
        <x:v>DEMO / SIMULATED</x:v>
      </x:c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 t="str">
        <x:v>JFD-20240611-0055</x:v>
      </x:c>
      <x:c r="B95" s="9" t="n">
        <x:v>45454.89444444444</x:v>
      </x:c>
      <x:c r="C95" s="12" t="n">
        <x:v>0.8944444444444445</x:v>
      </x:c>
      <x:c r="D95" s="1" t="str">
        <x:v>Birtamode</x:v>
      </x:c>
      <x:c r="E95" s="1" t="str">
        <x:v>The Underground Cafe &amp; Restaurant</x:v>
      </x:c>
      <x:c r="F95" s="1" t="str">
        <x:v>Coca-Cola 500ml</x:v>
      </x:c>
      <x:c r="G95" s="1" t="str">
        <x:v>Drink</x:v>
      </x:c>
      <x:c r="H95" s="1" t="n">
        <x:v>2</x:v>
      </x:c>
      <x:c r="I95" s="10" t="n">
        <x:v>90</x:v>
      </x:c>
      <x:c r="J95" s="10" t="n">
        <x:v>180</x:v>
      </x:c>
      <x:c r="K95" s="1" t="str">
        <x:v>DEMO / SIMULATED</x:v>
      </x:c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 t="str">
        <x:v>JFD-20240611-0055</x:v>
      </x:c>
      <x:c r="B96" s="9" t="n">
        <x:v>45454.425</x:v>
      </x:c>
      <x:c r="C96" s="12" t="n">
        <x:v>0.425</x:v>
      </x:c>
      <x:c r="D96" s="1" t="str">
        <x:v>Birtamode</x:v>
      </x:c>
      <x:c r="E96" s="1" t="str">
        <x:v>The Underground Cafe &amp; Restaurant</x:v>
      </x:c>
      <x:c r="F96" s="1" t="str">
        <x:v>Aalu Jeera</x:v>
      </x:c>
      <x:c r="G96" s="1" t="str">
        <x:v>Food</x:v>
      </x:c>
      <x:c r="H96" s="1" t="n">
        <x:v>3</x:v>
      </x:c>
      <x:c r="I96" s="10" t="n">
        <x:v>135</x:v>
      </x:c>
      <x:c r="J96" s="10" t="n">
        <x:v>405</x:v>
      </x:c>
      <x:c r="K96" s="1" t="str">
        <x:v>DEMO / SIMULATED</x:v>
      </x:c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 t="str">
        <x:v>JFD-20260221-0056</x:v>
      </x:c>
      <x:c r="B97" s="9" t="n">
        <x:v>46074.881944444445</x:v>
      </x:c>
      <x:c r="C97" s="12" t="n">
        <x:v>0.8819444444444444</x:v>
      </x:c>
      <x:c r="D97" s="1" t="str">
        <x:v>Damak</x:v>
      </x:c>
      <x:c r="E97" s="1" t="str">
        <x:v>Milan’s Bakery</x:v>
      </x:c>
      <x:c r="F97" s="1" t="str">
        <x:v>Bottled Water 1L</x:v>
      </x:c>
      <x:c r="G97" s="1" t="str">
        <x:v>Drink</x:v>
      </x:c>
      <x:c r="H97" s="1" t="n">
        <x:v>4</x:v>
      </x:c>
      <x:c r="I97" s="10" t="n">
        <x:v>40</x:v>
      </x:c>
      <x:c r="J97" s="10" t="n">
        <x:v>160</x:v>
      </x:c>
      <x:c r="K97" s="1" t="str">
        <x:v>DEMO / SIMULATED</x:v>
      </x:c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 t="str">
        <x:v>JFD-20260221-0056</x:v>
      </x:c>
      <x:c r="B98" s="9" t="n">
        <x:v>46074.478472222225</x:v>
      </x:c>
      <x:c r="C98" s="12" t="n">
        <x:v>0.47847222222222224</x:v>
      </x:c>
      <x:c r="D98" s="1" t="str">
        <x:v>Damak</x:v>
      </x:c>
      <x:c r="E98" s="1" t="str">
        <x:v>Milan’s Bakery</x:v>
      </x:c>
      <x:c r="F98" s="1" t="str">
        <x:v>Black Forest Cake</x:v>
      </x:c>
      <x:c r="G98" s="1" t="str">
        <x:v>Food</x:v>
      </x:c>
      <x:c r="H98" s="1" t="n">
        <x:v>2</x:v>
      </x:c>
      <x:c r="I98" s="10" t="n">
        <x:v>300</x:v>
      </x:c>
      <x:c r="J98" s="10" t="n">
        <x:v>600</x:v>
      </x:c>
      <x:c r="K98" s="1" t="str">
        <x:v>DEMO / SIMULATED</x:v>
      </x:c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 t="str">
        <x:v>JFD-20250609-0057</x:v>
      </x:c>
      <x:c r="B99" s="9" t="n">
        <x:v>45817.75347222222</x:v>
      </x:c>
      <x:c r="C99" s="12" t="n">
        <x:v>0.7534722222222222</x:v>
      </x:c>
      <x:c r="D99" s="1" t="str">
        <x:v>Birtamode</x:v>
      </x:c>
      <x:c r="E99" s="1" t="str">
        <x:v>Pizza Ghar</x:v>
      </x:c>
      <x:c r="F99" s="1" t="str">
        <x:v>Egg Fried Rice</x:v>
      </x:c>
      <x:c r="G99" s="1" t="str">
        <x:v>Food</x:v>
      </x:c>
      <x:c r="H99" s="1" t="n">
        <x:v>1</x:v>
      </x:c>
      <x:c r="I99" s="10" t="n">
        <x:v>255</x:v>
      </x:c>
      <x:c r="J99" s="10" t="n">
        <x:v>255</x:v>
      </x:c>
      <x:c r="K99" s="1" t="str">
        <x:v>DEMO / SIMULATED</x:v>
      </x:c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 t="str">
        <x:v>JFD-20250609-0057</x:v>
      </x:c>
      <x:c r="B100" s="9" t="n">
        <x:v>45817.75902777778</x:v>
      </x:c>
      <x:c r="C100" s="12" t="n">
        <x:v>0.7590277777777777</x:v>
      </x:c>
      <x:c r="D100" s="1" t="str">
        <x:v>Birtamode</x:v>
      </x:c>
      <x:c r="E100" s="1" t="str">
        <x:v>Pizza Ghar</x:v>
      </x:c>
      <x:c r="F100" s="1" t="str">
        <x:v>Coca-Cola 500ml</x:v>
      </x:c>
      <x:c r="G100" s="1" t="str">
        <x:v>Drink</x:v>
      </x:c>
      <x:c r="H100" s="1" t="n">
        <x:v>2</x:v>
      </x:c>
      <x:c r="I100" s="10" t="n">
        <x:v>95</x:v>
      </x:c>
      <x:c r="J100" s="10" t="n">
        <x:v>190</x:v>
      </x:c>
      <x:c r="K100" s="1" t="str">
        <x:v>DEMO / SIMULATED</x:v>
      </x:c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t="str">
        <x:v>JFD-20250201-0058</x:v>
      </x:c>
      <x:c r="B101" s="11" t="n">
        <x:v>45689.89375</x:v>
      </x:c>
      <x:c r="C101" s="13" t="n">
        <x:v>0.89375</x:v>
      </x:c>
      <x:c r="D101" t="str">
        <x:v>Birtamode</x:v>
      </x:c>
      <x:c r="E101" t="str">
        <x:v>Pizza Ghar</x:v>
      </x:c>
      <x:c r="F101" t="str">
        <x:v>Chicken BBQ Feast Pizza</x:v>
      </x:c>
      <x:c r="G101" t="str">
        <x:v>Food</x:v>
      </x:c>
      <x:c r="H101" t="n">
        <x:v>4</x:v>
      </x:c>
      <x:c r="I101" s="14" t="n">
        <x:v>545</x:v>
      </x:c>
      <x:c r="J101" s="14" t="n">
        <x:v>2180</x:v>
      </x:c>
      <x:c r="K101" t="str">
        <x:v>DEMO / SIMULATED</x:v>
      </x:c>
    </x:row>
    <x:row r="102">
      <x:c r="A102" t="str">
        <x:v>JFD-20250201-0058</x:v>
      </x:c>
      <x:c r="B102" s="11" t="n">
        <x:v>45689.89444444444</x:v>
      </x:c>
      <x:c r="C102" s="13" t="n">
        <x:v>0.8944444444444445</x:v>
      </x:c>
      <x:c r="D102" t="str">
        <x:v>Birtamode</x:v>
      </x:c>
      <x:c r="E102" t="str">
        <x:v>Pizza Ghar</x:v>
      </x:c>
      <x:c r="F102" t="str">
        <x:v>Egg Fried Rice</x:v>
      </x:c>
      <x:c r="G102" t="str">
        <x:v>Food</x:v>
      </x:c>
      <x:c r="H102" t="n">
        <x:v>4</x:v>
      </x:c>
      <x:c r="I102" s="14" t="n">
        <x:v>255</x:v>
      </x:c>
      <x:c r="J102" s="14" t="n">
        <x:v>1020</x:v>
      </x:c>
      <x:c r="K102" t="str">
        <x:v>DEMO / SIMULATED</x:v>
      </x:c>
    </x:row>
    <x:row r="103">
      <x:c r="A103" t="str">
        <x:v>JFD-20250627-0059</x:v>
      </x:c>
      <x:c r="B103" s="11" t="n">
        <x:v>45835.82638888889</x:v>
      </x:c>
      <x:c r="C103" s="13" t="n">
        <x:v>0.8263888888888888</x:v>
      </x:c>
      <x:c r="D103" t="str">
        <x:v>Birtamode</x:v>
      </x:c>
      <x:c r="E103" t="str">
        <x:v>The Underground Cafe &amp; Restaurant</x:v>
      </x:c>
      <x:c r="F103" t="str">
        <x:v>Aalu Jeera</x:v>
      </x:c>
      <x:c r="G103" t="str">
        <x:v>Food</x:v>
      </x:c>
      <x:c r="H103" t="n">
        <x:v>3</x:v>
      </x:c>
      <x:c r="I103" s="14" t="n">
        <x:v>145</x:v>
      </x:c>
      <x:c r="J103" s="14" t="n">
        <x:v>435</x:v>
      </x:c>
      <x:c r="K103" t="str">
        <x:v>DEMO / SIMULATED</x:v>
      </x:c>
    </x:row>
    <x:row r="104">
      <x:c r="A104" t="str">
        <x:v>JFD-20250627-0059</x:v>
      </x:c>
      <x:c r="B104" s="11" t="n">
        <x:v>45835.80069444444</x:v>
      </x:c>
      <x:c r="C104" s="13" t="n">
        <x:v>0.8006944444444445</x:v>
      </x:c>
      <x:c r="D104" t="str">
        <x:v>Birtamode</x:v>
      </x:c>
      <x:c r="E104" t="str">
        <x:v>The Underground Cafe &amp; Restaurant</x:v>
      </x:c>
      <x:c r="F104" t="str">
        <x:v>Coca-Cola 500ml</x:v>
      </x:c>
      <x:c r="G104" t="str">
        <x:v>Drink</x:v>
      </x:c>
      <x:c r="H104" t="n">
        <x:v>2</x:v>
      </x:c>
      <x:c r="I104" s="14" t="n">
        <x:v>95</x:v>
      </x:c>
      <x:c r="J104" s="14" t="n">
        <x:v>190</x:v>
      </x:c>
      <x:c r="K104" t="str">
        <x:v>DEMO / SIMULATED</x:v>
      </x:c>
    </x:row>
    <x:row r="105">
      <x:c r="A105" t="str">
        <x:v>JFD-20250901-0060</x:v>
      </x:c>
      <x:c r="B105" s="11" t="n">
        <x:v>45901.538194444445</x:v>
      </x:c>
      <x:c r="C105" s="13" t="n">
        <x:v>0.5381944444444444</x:v>
      </x:c>
      <x:c r="D105" t="str">
        <x:v>Damak</x:v>
      </x:c>
      <x:c r="E105" t="str">
        <x:v>Late Night Cravings</x:v>
      </x:c>
      <x:c r="F105" t="str">
        <x:v>Coca-Cola 500ml</x:v>
      </x:c>
      <x:c r="G105" t="str">
        <x:v>Drink</x:v>
      </x:c>
      <x:c r="H105" t="n">
        <x:v>3</x:v>
      </x:c>
      <x:c r="I105" s="14" t="n">
        <x:v>95</x:v>
      </x:c>
      <x:c r="J105" s="14" t="n">
        <x:v>285</x:v>
      </x:c>
      <x:c r="K105" t="str">
        <x:v>DEMO / SIMULATED</x:v>
      </x:c>
    </x:row>
    <x:row r="106">
      <x:c r="A106" t="str">
        <x:v>JFD-20250407-0061</x:v>
      </x:c>
      <x:c r="B106" s="11" t="n">
        <x:v>45754.532638888886</x:v>
      </x:c>
      <x:c r="C106" s="13" t="n">
        <x:v>0.5326388888888889</x:v>
      </x:c>
      <x:c r="D106" t="str">
        <x:v>Birtamode</x:v>
      </x:c>
      <x:c r="E106" t="str">
        <x:v>Pizza Ghar</x:v>
      </x:c>
      <x:c r="F106" t="str">
        <x:v>Coca-Cola 500ml</x:v>
      </x:c>
      <x:c r="G106" t="str">
        <x:v>Drink</x:v>
      </x:c>
      <x:c r="H106" t="n">
        <x:v>1</x:v>
      </x:c>
      <x:c r="I106" s="14" t="n">
        <x:v>95</x:v>
      </x:c>
      <x:c r="J106" s="14" t="n">
        <x:v>95</x:v>
      </x:c>
      <x:c r="K106" t="str">
        <x:v>DEMO / SIMULATED</x:v>
      </x:c>
    </x:row>
    <x:row r="107">
      <x:c r="A107" t="str">
        <x:v>JFD-20250203-0062</x:v>
      </x:c>
      <x:c r="B107" s="11" t="n">
        <x:v>45691.575</x:v>
      </x:c>
      <x:c r="C107" s="13" t="n">
        <x:v>0.575</x:v>
      </x:c>
      <x:c r="D107" t="str">
        <x:v>Birtamode</x:v>
      </x:c>
      <x:c r="E107" t="str">
        <x:v>Pizza Ghar</x:v>
      </x:c>
      <x:c r="F107" t="str">
        <x:v>Bottled Water 1L</x:v>
      </x:c>
      <x:c r="G107" t="str">
        <x:v>Drink</x:v>
      </x:c>
      <x:c r="H107" t="n">
        <x:v>4</x:v>
      </x:c>
      <x:c r="I107" s="14" t="n">
        <x:v>40</x:v>
      </x:c>
      <x:c r="J107" s="14" t="n">
        <x:v>160</x:v>
      </x:c>
      <x:c r="K107" t="str">
        <x:v>DEMO / SIMULATED</x:v>
      </x:c>
    </x:row>
    <x:row r="108">
      <x:c r="A108" t="str">
        <x:v>JFD-20260217-0063</x:v>
      </x:c>
      <x:c r="B108" s="11" t="n">
        <x:v>46070.43472222222</x:v>
      </x:c>
      <x:c r="C108" s="13" t="n">
        <x:v>0.43472222222222223</x:v>
      </x:c>
      <x:c r="D108" t="str">
        <x:v>Damak</x:v>
      </x:c>
      <x:c r="E108" t="str">
        <x:v>Late Night Cravings</x:v>
      </x:c>
      <x:c r="F108" t="str">
        <x:v>Mix Fry Rice</x:v>
      </x:c>
      <x:c r="G108" t="str">
        <x:v>Food</x:v>
      </x:c>
      <x:c r="H108" t="n">
        <x:v>4</x:v>
      </x:c>
      <x:c r="I108" s="14" t="n">
        <x:v>280</x:v>
      </x:c>
      <x:c r="J108" s="14" t="n">
        <x:v>1120</x:v>
      </x:c>
      <x:c r="K108" t="str">
        <x:v>DEMO / SIMULATED</x:v>
      </x:c>
    </x:row>
    <x:row r="109">
      <x:c r="A109" t="str">
        <x:v>JFD-20260217-0063</x:v>
      </x:c>
      <x:c r="B109" s="11" t="n">
        <x:v>46070.47361111111</x:v>
      </x:c>
      <x:c r="C109" s="13" t="n">
        <x:v>0.4736111111111111</x:v>
      </x:c>
      <x:c r="D109" t="str">
        <x:v>Damak</x:v>
      </x:c>
      <x:c r="E109" t="str">
        <x:v>Late Night Cravings</x:v>
      </x:c>
      <x:c r="F109" t="str">
        <x:v>Chicken Fry Rice</x:v>
      </x:c>
      <x:c r="G109" t="str">
        <x:v>Food</x:v>
      </x:c>
      <x:c r="H109" t="n">
        <x:v>4</x:v>
      </x:c>
      <x:c r="I109" s="14" t="n">
        <x:v>220</x:v>
      </x:c>
      <x:c r="J109" s="14" t="n">
        <x:v>880</x:v>
      </x:c>
      <x:c r="K109" t="str">
        <x:v>DEMO / SIMULATED</x:v>
      </x:c>
    </x:row>
    <x:row r="110">
      <x:c r="A110" t="str">
        <x:v>JFD-20260217-0063</x:v>
      </x:c>
      <x:c r="B110" s="11" t="n">
        <x:v>46070.87222222222</x:v>
      </x:c>
      <x:c r="C110" s="13" t="n">
        <x:v>0.8722222222222222</x:v>
      </x:c>
      <x:c r="D110" t="str">
        <x:v>Damak</x:v>
      </x:c>
      <x:c r="E110" t="str">
        <x:v>Late Night Cravings</x:v>
      </x:c>
      <x:c r="F110" t="str">
        <x:v>Bottled Water 1L</x:v>
      </x:c>
      <x:c r="G110" t="str">
        <x:v>Drink</x:v>
      </x:c>
      <x:c r="H110" t="n">
        <x:v>2</x:v>
      </x:c>
      <x:c r="I110" s="14" t="n">
        <x:v>40</x:v>
      </x:c>
      <x:c r="J110" s="14" t="n">
        <x:v>80</x:v>
      </x:c>
      <x:c r="K110" t="str">
        <x:v>DEMO / SIMULATED</x:v>
      </x:c>
    </x:row>
    <x:row r="111">
      <x:c r="A111" t="str">
        <x:v>JFD-20241122-0064</x:v>
      </x:c>
      <x:c r="B111" s="11" t="n">
        <x:v>45618.847916666666</x:v>
      </x:c>
      <x:c r="C111" s="13" t="n">
        <x:v>0.8479166666666667</x:v>
      </x:c>
      <x:c r="D111" t="str">
        <x:v>Birtamode</x:v>
      </x:c>
      <x:c r="E111" t="str">
        <x:v>The Underground Cafe &amp; Restaurant</x:v>
      </x:c>
      <x:c r="F111" t="str">
        <x:v>Veg Pakauda</x:v>
      </x:c>
      <x:c r="G111" t="str">
        <x:v>Food</x:v>
      </x:c>
      <x:c r="H111" t="n">
        <x:v>1</x:v>
      </x:c>
      <x:c r="I111" s="14" t="n">
        <x:v>155</x:v>
      </x:c>
      <x:c r="J111" s="14" t="n">
        <x:v>155</x:v>
      </x:c>
      <x:c r="K111" t="str">
        <x:v>DEMO / SIMULATED</x:v>
      </x:c>
    </x:row>
    <x:row r="112">
      <x:c r="A112" t="str">
        <x:v>JFD-20241122-0064</x:v>
      </x:c>
      <x:c r="B112" s="11" t="n">
        <x:v>45618.675</x:v>
      </x:c>
      <x:c r="C112" s="13" t="n">
        <x:v>0.675</x:v>
      </x:c>
      <x:c r="D112" t="str">
        <x:v>Birtamode</x:v>
      </x:c>
      <x:c r="E112" t="str">
        <x:v>The Underground Cafe &amp; Restaurant</x:v>
      </x:c>
      <x:c r="F112" t="str">
        <x:v>Aalu Jeera</x:v>
      </x:c>
      <x:c r="G112" t="str">
        <x:v>Food</x:v>
      </x:c>
      <x:c r="H112" t="n">
        <x:v>2</x:v>
      </x:c>
      <x:c r="I112" s="14" t="n">
        <x:v>135</x:v>
      </x:c>
      <x:c r="J112" s="14" t="n">
        <x:v>270</x:v>
      </x:c>
      <x:c r="K112" t="str">
        <x:v>DEMO / SIMULATED</x:v>
      </x:c>
    </x:row>
    <x:row r="113">
      <x:c r="A113" t="str">
        <x:v>JFD-20241122-0064</x:v>
      </x:c>
      <x:c r="B113" s="11" t="n">
        <x:v>45618.910416666666</x:v>
      </x:c>
      <x:c r="C113" s="13" t="n">
        <x:v>0.9104166666666667</x:v>
      </x:c>
      <x:c r="D113" t="str">
        <x:v>Birtamode</x:v>
      </x:c>
      <x:c r="E113" t="str">
        <x:v>The Underground Cafe &amp; Restaurant</x:v>
      </x:c>
      <x:c r="F113" t="str">
        <x:v>Paneer Pakauda</x:v>
      </x:c>
      <x:c r="G113" t="str">
        <x:v>Food</x:v>
      </x:c>
      <x:c r="H113" t="n">
        <x:v>2</x:v>
      </x:c>
      <x:c r="I113" s="14" t="n">
        <x:v>200</x:v>
      </x:c>
      <x:c r="J113" s="14" t="n">
        <x:v>400</x:v>
      </x:c>
      <x:c r="K113" t="str">
        <x:v>DEMO / SIMULATED</x:v>
      </x:c>
    </x:row>
    <x:row r="114">
      <x:c r="A114" t="str">
        <x:v>JFD-20250430-0065</x:v>
      </x:c>
      <x:c r="B114" s="11" t="n">
        <x:v>45777.433333333334</x:v>
      </x:c>
      <x:c r="C114" s="13" t="n">
        <x:v>0.43333333333333335</x:v>
      </x:c>
      <x:c r="D114" t="str">
        <x:v>Damak</x:v>
      </x:c>
      <x:c r="E114" t="str">
        <x:v>Late Night Cravings</x:v>
      </x:c>
      <x:c r="F114" t="str">
        <x:v>Coca-Cola 500ml</x:v>
      </x:c>
      <x:c r="G114" t="str">
        <x:v>Drink</x:v>
      </x:c>
      <x:c r="H114" t="n">
        <x:v>2</x:v>
      </x:c>
      <x:c r="I114" s="14" t="n">
        <x:v>95</x:v>
      </x:c>
      <x:c r="J114" s="14" t="n">
        <x:v>190</x:v>
      </x:c>
      <x:c r="K114" t="str">
        <x:v>DEMO / SIMULATED</x:v>
      </x:c>
    </x:row>
    <x:row r="115">
      <x:c r="A115" t="str">
        <x:v>JFD-20250430-0065</x:v>
      </x:c>
      <x:c r="B115" s="11" t="n">
        <x:v>45777.66805555556</x:v>
      </x:c>
      <x:c r="C115" s="13" t="n">
        <x:v>0.6680555555555555</x:v>
      </x:c>
      <x:c r="D115" t="str">
        <x:v>Damak</x:v>
      </x:c>
      <x:c r="E115" t="str">
        <x:v>Late Night Cravings</x:v>
      </x:c>
      <x:c r="F115" t="str">
        <x:v>Chicken Fry Rice</x:v>
      </x:c>
      <x:c r="G115" t="str">
        <x:v>Food</x:v>
      </x:c>
      <x:c r="H115" t="n">
        <x:v>4</x:v>
      </x:c>
      <x:c r="I115" s="14" t="n">
        <x:v>205</x:v>
      </x:c>
      <x:c r="J115" s="14" t="n">
        <x:v>820</x:v>
      </x:c>
      <x:c r="K115" t="str">
        <x:v>DEMO / SIMULATED</x:v>
      </x:c>
    </x:row>
    <x:row r="116">
      <x:c r="A116" t="str">
        <x:v>JFD-20260422-0066</x:v>
      </x:c>
      <x:c r="B116" s="11" t="n">
        <x:v>46134.53402777778</x:v>
      </x:c>
      <x:c r="C116" s="13" t="n">
        <x:v>0.5340277777777778</x:v>
      </x:c>
      <x:c r="D116" t="str">
        <x:v>Birtamode</x:v>
      </x:c>
      <x:c r="E116" t="str">
        <x:v>The Underground Cafe &amp; Restaurant</x:v>
      </x:c>
      <x:c r="F116" t="str">
        <x:v>Bottled Water 1L</x:v>
      </x:c>
      <x:c r="G116" t="str">
        <x:v>Drink</x:v>
      </x:c>
      <x:c r="H116" t="n">
        <x:v>4</x:v>
      </x:c>
      <x:c r="I116" s="14" t="n">
        <x:v>40</x:v>
      </x:c>
      <x:c r="J116" s="14" t="n">
        <x:v>160</x:v>
      </x:c>
      <x:c r="K116" t="str">
        <x:v>DEMO / SIMULATED</x:v>
      </x:c>
    </x:row>
    <x:row r="117">
      <x:c r="A117" t="str">
        <x:v>JFD-20260831-0067</x:v>
      </x:c>
      <x:c r="B117" s="11" t="n">
        <x:v>46265.563888888886</x:v>
      </x:c>
      <x:c r="C117" s="13" t="n">
        <x:v>0.5638888888888889</x:v>
      </x:c>
      <x:c r="D117" t="str">
        <x:v>Damak</x:v>
      </x:c>
      <x:c r="E117" t="str">
        <x:v>Late Night Cravings</x:v>
      </x:c>
      <x:c r="F117" t="str">
        <x:v>Bottled Water 1L</x:v>
      </x:c>
      <x:c r="G117" t="str">
        <x:v>Drink</x:v>
      </x:c>
      <x:c r="H117" t="n">
        <x:v>1</x:v>
      </x:c>
      <x:c r="I117" s="14" t="n">
        <x:v>40</x:v>
      </x:c>
      <x:c r="J117" s="14" t="n">
        <x:v>40</x:v>
      </x:c>
      <x:c r="K117" t="str">
        <x:v>DEMO / SIMULATED</x:v>
      </x:c>
    </x:row>
    <x:row r="118">
      <x:c r="A118" t="str">
        <x:v>JFD-20260831-0067</x:v>
      </x:c>
      <x:c r="B118" s="11" t="n">
        <x:v>46265.90902777778</x:v>
      </x:c>
      <x:c r="C118" s="13" t="n">
        <x:v>0.9090277777777778</x:v>
      </x:c>
      <x:c r="D118" t="str">
        <x:v>Damak</x:v>
      </x:c>
      <x:c r="E118" t="str">
        <x:v>Late Night Cravings</x:v>
      </x:c>
      <x:c r="F118" t="str">
        <x:v>Egg Fry Rice</x:v>
      </x:c>
      <x:c r="G118" t="str">
        <x:v>Food</x:v>
      </x:c>
      <x:c r="H118" t="n">
        <x:v>3</x:v>
      </x:c>
      <x:c r="I118" s="14" t="n">
        <x:v>200</x:v>
      </x:c>
      <x:c r="J118" s="14" t="n">
        <x:v>600</x:v>
      </x:c>
      <x:c r="K118" t="str">
        <x:v>DEMO / SIMULATED</x:v>
      </x:c>
    </x:row>
    <x:row r="119">
      <x:c r="A119" t="str">
        <x:v>JFD-20250708-0068</x:v>
      </x:c>
      <x:c r="B119" s="11" t="n">
        <x:v>45846.70208333333</x:v>
      </x:c>
      <x:c r="C119" s="13" t="n">
        <x:v>0.7020833333333333</x:v>
      </x:c>
      <x:c r="D119" t="str">
        <x:v>Birtamode</x:v>
      </x:c>
      <x:c r="E119" t="str">
        <x:v>The Underground Cafe &amp; Restaurant</x:v>
      </x:c>
      <x:c r="F119" t="str">
        <x:v>Aalu Jeera</x:v>
      </x:c>
      <x:c r="G119" t="str">
        <x:v>Food</x:v>
      </x:c>
      <x:c r="H119" t="n">
        <x:v>1</x:v>
      </x:c>
      <x:c r="I119" s="14" t="n">
        <x:v>145</x:v>
      </x:c>
      <x:c r="J119" s="14" t="n">
        <x:v>145</x:v>
      </x:c>
      <x:c r="K119" t="str">
        <x:v>DEMO / SIMULATED</x:v>
      </x:c>
    </x:row>
    <x:row r="120">
      <x:c r="A120" t="str">
        <x:v>JFD-20250708-0068</x:v>
      </x:c>
      <x:c r="B120" s="11" t="n">
        <x:v>45846.847916666666</x:v>
      </x:c>
      <x:c r="C120" s="13" t="n">
        <x:v>0.8479166666666667</x:v>
      </x:c>
      <x:c r="D120" t="str">
        <x:v>Birtamode</x:v>
      </x:c>
      <x:c r="E120" t="str">
        <x:v>The Underground Cafe &amp; Restaurant</x:v>
      </x:c>
      <x:c r="F120" t="str">
        <x:v>Coca-Cola 500ml</x:v>
      </x:c>
      <x:c r="G120" t="str">
        <x:v>Drink</x:v>
      </x:c>
      <x:c r="H120" t="n">
        <x:v>2</x:v>
      </x:c>
      <x:c r="I120" s="14" t="n">
        <x:v>95</x:v>
      </x:c>
      <x:c r="J120" s="14" t="n">
        <x:v>190</x:v>
      </x:c>
      <x:c r="K120" t="str">
        <x:v>DEMO / SIMULATED</x:v>
      </x:c>
    </x:row>
    <x:row r="121">
      <x:c r="A121" t="str">
        <x:v>JFD-20240523-0069</x:v>
      </x:c>
      <x:c r="B121" s="11" t="n">
        <x:v>45435.834027777775</x:v>
      </x:c>
      <x:c r="C121" s="13" t="n">
        <x:v>0.8340277777777778</x:v>
      </x:c>
      <x:c r="D121" t="str">
        <x:v>Birtamode</x:v>
      </x:c>
      <x:c r="E121" t="str">
        <x:v>Pizza Ghar</x:v>
      </x:c>
      <x:c r="F121" t="str">
        <x:v>Veg Fried Rice</x:v>
      </x:c>
      <x:c r="G121" t="str">
        <x:v>Food</x:v>
      </x:c>
      <x:c r="H121" t="n">
        <x:v>2</x:v>
      </x:c>
      <x:c r="I121" s="14" t="n">
        <x:v>195</x:v>
      </x:c>
      <x:c r="J121" s="14" t="n">
        <x:v>390</x:v>
      </x:c>
      <x:c r="K121" t="str">
        <x:v>DEMO / SIMULATED</x:v>
      </x:c>
    </x:row>
    <x:row r="122">
      <x:c r="A122" t="str">
        <x:v>JFD-20240523-0069</x:v>
      </x:c>
      <x:c r="B122" s="11" t="n">
        <x:v>45435.81597222222</x:v>
      </x:c>
      <x:c r="C122" s="13" t="n">
        <x:v>0.8159722222222222</x:v>
      </x:c>
      <x:c r="D122" t="str">
        <x:v>Birtamode</x:v>
      </x:c>
      <x:c r="E122" t="str">
        <x:v>Pizza Ghar</x:v>
      </x:c>
      <x:c r="F122" t="str">
        <x:v>Chicken Fried Rice</x:v>
      </x:c>
      <x:c r="G122" t="str">
        <x:v>Food</x:v>
      </x:c>
      <x:c r="H122" t="n">
        <x:v>4</x:v>
      </x:c>
      <x:c r="I122" s="14" t="n">
        <x:v>265</x:v>
      </x:c>
      <x:c r="J122" s="14" t="n">
        <x:v>1060</x:v>
      </x:c>
      <x:c r="K122" t="str">
        <x:v>DEMO / SIMULATED</x:v>
      </x:c>
    </x:row>
    <x:row r="123">
      <x:c r="A123" t="str">
        <x:v>JFD-20240523-0069</x:v>
      </x:c>
      <x:c r="B123" s="11" t="n">
        <x:v>45435.86319444444</x:v>
      </x:c>
      <x:c r="C123" s="13" t="n">
        <x:v>0.8631944444444445</x:v>
      </x:c>
      <x:c r="D123" t="str">
        <x:v>Birtamode</x:v>
      </x:c>
      <x:c r="E123" t="str">
        <x:v>Pizza Ghar</x:v>
      </x:c>
      <x:c r="F123" t="str">
        <x:v>Egg Fried Rice</x:v>
      </x:c>
      <x:c r="G123" t="str">
        <x:v>Food</x:v>
      </x:c>
      <x:c r="H123" t="n">
        <x:v>1</x:v>
      </x:c>
      <x:c r="I123" s="14" t="n">
        <x:v>240</x:v>
      </x:c>
      <x:c r="J123" s="14" t="n">
        <x:v>240</x:v>
      </x:c>
      <x:c r="K123" t="str">
        <x:v>DEMO / SIMULATED</x:v>
      </x:c>
    </x:row>
    <x:row r="124">
      <x:c r="A124" t="str">
        <x:v>JFD-20250108-0070</x:v>
      </x:c>
      <x:c r="B124" s="11" t="n">
        <x:v>45665.51666666667</x:v>
      </x:c>
      <x:c r="C124" s="13" t="n">
        <x:v>0.5166666666666667</x:v>
      </x:c>
      <x:c r="D124" t="str">
        <x:v>Damak</x:v>
      </x:c>
      <x:c r="E124" t="str">
        <x:v>Late Night Cravings</x:v>
      </x:c>
      <x:c r="F124" t="str">
        <x:v>Egg Fry Rice</x:v>
      </x:c>
      <x:c r="G124" t="str">
        <x:v>Food</x:v>
      </x:c>
      <x:c r="H124" t="n">
        <x:v>3</x:v>
      </x:c>
      <x:c r="I124" s="14" t="n">
        <x:v>190</x:v>
      </x:c>
      <x:c r="J124" s="14" t="n">
        <x:v>570</x:v>
      </x:c>
      <x:c r="K124" t="str">
        <x:v>DEMO / SIMULATED</x:v>
      </x:c>
    </x:row>
    <x:row r="125">
      <x:c r="A125" t="str">
        <x:v>JFD-20250108-0070</x:v>
      </x:c>
      <x:c r="B125" s="11" t="n">
        <x:v>45665.424305555556</x:v>
      </x:c>
      <x:c r="C125" s="13" t="n">
        <x:v>0.42430555555555555</x:v>
      </x:c>
      <x:c r="D125" t="str">
        <x:v>Damak</x:v>
      </x:c>
      <x:c r="E125" t="str">
        <x:v>Late Night Cravings</x:v>
      </x:c>
      <x:c r="F125" t="str">
        <x:v>Bottled Water 1L</x:v>
      </x:c>
      <x:c r="G125" t="str">
        <x:v>Drink</x:v>
      </x:c>
      <x:c r="H125" t="n">
        <x:v>1</x:v>
      </x:c>
      <x:c r="I125" s="14" t="n">
        <x:v>40</x:v>
      </x:c>
      <x:c r="J125" s="14" t="n">
        <x:v>40</x:v>
      </x:c>
      <x:c r="K125" t="str">
        <x:v>DEMO / SIMULATED</x:v>
      </x:c>
    </x:row>
    <x:row r="126">
      <x:c r="A126" t="str">
        <x:v>JFD-20260726-0071</x:v>
      </x:c>
      <x:c r="B126" s="11" t="n">
        <x:v>46229.64861111111</x:v>
      </x:c>
      <x:c r="C126" s="13" t="n">
        <x:v>0.6486111111111111</x:v>
      </x:c>
      <x:c r="D126" t="str">
        <x:v>Birtamode</x:v>
      </x:c>
      <x:c r="E126" t="str">
        <x:v>Pizza Ghar</x:v>
      </x:c>
      <x:c r="F126" t="str">
        <x:v>Egg Fried Rice</x:v>
      </x:c>
      <x:c r="G126" t="str">
        <x:v>Food</x:v>
      </x:c>
      <x:c r="H126" t="n">
        <x:v>4</x:v>
      </x:c>
      <x:c r="I126" s="14" t="n">
        <x:v>270</x:v>
      </x:c>
      <x:c r="J126" s="14" t="n">
        <x:v>1080</x:v>
      </x:c>
      <x:c r="K126" t="str">
        <x:v>DEMO / SIMULATED</x:v>
      </x:c>
    </x:row>
    <x:row r="127">
      <x:c r="A127" t="str">
        <x:v>JFD-20260726-0071</x:v>
      </x:c>
      <x:c r="B127" s="11" t="n">
        <x:v>46229.61597222222</x:v>
      </x:c>
      <x:c r="C127" s="13" t="n">
        <x:v>0.6159722222222223</x:v>
      </x:c>
      <x:c r="D127" t="str">
        <x:v>Birtamode</x:v>
      </x:c>
      <x:c r="E127" t="str">
        <x:v>Pizza Ghar</x:v>
      </x:c>
      <x:c r="F127" t="str">
        <x:v>Coca-Cola 500ml</x:v>
      </x:c>
      <x:c r="G127" t="str">
        <x:v>Drink</x:v>
      </x:c>
      <x:c r="H127" t="n">
        <x:v>3</x:v>
      </x:c>
      <x:c r="I127" s="14" t="n">
        <x:v>100</x:v>
      </x:c>
      <x:c r="J127" s="14" t="n">
        <x:v>300</x:v>
      </x:c>
      <x:c r="K127" t="str">
        <x:v>DEMO / SIMULATED</x:v>
      </x:c>
    </x:row>
    <x:row r="128">
      <x:c r="A128" t="str">
        <x:v>JFD-20250417-0072</x:v>
      </x:c>
      <x:c r="B128" s="11" t="n">
        <x:v>45764.649305555555</x:v>
      </x:c>
      <x:c r="C128" s="13" t="n">
        <x:v>0.6493055555555556</x:v>
      </x:c>
      <x:c r="D128" t="str">
        <x:v>Birtamode</x:v>
      </x:c>
      <x:c r="E128" t="str">
        <x:v>Pizza Ghar</x:v>
      </x:c>
      <x:c r="F128" t="str">
        <x:v>Chicken BBQ Feast Pizza</x:v>
      </x:c>
      <x:c r="G128" t="str">
        <x:v>Food</x:v>
      </x:c>
      <x:c r="H128" t="n">
        <x:v>1</x:v>
      </x:c>
      <x:c r="I128" s="14" t="n">
        <x:v>545</x:v>
      </x:c>
      <x:c r="J128" s="14" t="n">
        <x:v>545</x:v>
      </x:c>
      <x:c r="K128" t="str">
        <x:v>DEMO / SIMULATED</x:v>
      </x:c>
    </x:row>
    <x:row r="129">
      <x:c r="A129" t="str">
        <x:v>JFD-20250417-0072</x:v>
      </x:c>
      <x:c r="B129" s="11" t="n">
        <x:v>45764.81597222222</x:v>
      </x:c>
      <x:c r="C129" s="13" t="n">
        <x:v>0.8159722222222222</x:v>
      </x:c>
      <x:c r="D129" t="str">
        <x:v>Birtamode</x:v>
      </x:c>
      <x:c r="E129" t="str">
        <x:v>Pizza Ghar</x:v>
      </x:c>
      <x:c r="F129" t="str">
        <x:v>Chicken Fried Rice</x:v>
      </x:c>
      <x:c r="G129" t="str">
        <x:v>Food</x:v>
      </x:c>
      <x:c r="H129" t="n">
        <x:v>4</x:v>
      </x:c>
      <x:c r="I129" s="14" t="n">
        <x:v>280</x:v>
      </x:c>
      <x:c r="J129" s="14" t="n">
        <x:v>1120</x:v>
      </x:c>
      <x:c r="K129" t="str">
        <x:v>DEMO / SIMULATED</x:v>
      </x:c>
    </x:row>
    <x:row r="130">
      <x:c r="A130" t="str">
        <x:v>JFD-20230413-0073</x:v>
      </x:c>
      <x:c r="B130" s="11" t="n">
        <x:v>45029.833333333336</x:v>
      </x:c>
      <x:c r="C130" s="13" t="n">
        <x:v>0.8333333333333334</x:v>
      </x:c>
      <x:c r="D130" t="str">
        <x:v>Damak</x:v>
      </x:c>
      <x:c r="E130" t="str">
        <x:v>Milan’s Bakery</x:v>
      </x:c>
      <x:c r="F130" t="str">
        <x:v>Black Forest Cake</x:v>
      </x:c>
      <x:c r="G130" t="str">
        <x:v>Food</x:v>
      </x:c>
      <x:c r="H130" t="n">
        <x:v>1</x:v>
      </x:c>
      <x:c r="I130" s="14" t="n">
        <x:v>245</x:v>
      </x:c>
      <x:c r="J130" s="14" t="n">
        <x:v>245</x:v>
      </x:c>
      <x:c r="K130" t="str">
        <x:v>DEMO / SIMULATED</x:v>
      </x:c>
    </x:row>
    <x:row r="131">
      <x:c r="A131" t="str">
        <x:v>JFD-20230413-0073</x:v>
      </x:c>
      <x:c r="B131" s="11" t="n">
        <x:v>45029.566666666666</x:v>
      </x:c>
      <x:c r="C131" s="13" t="n">
        <x:v>0.5666666666666667</x:v>
      </x:c>
      <x:c r="D131" t="str">
        <x:v>Damak</x:v>
      </x:c>
      <x:c r="E131" t="str">
        <x:v>Milan’s Bakery</x:v>
      </x:c>
      <x:c r="F131" t="str">
        <x:v>Bottled Water 1L</x:v>
      </x:c>
      <x:c r="G131" t="str">
        <x:v>Drink</x:v>
      </x:c>
      <x:c r="H131" t="n">
        <x:v>3</x:v>
      </x:c>
      <x:c r="I131" s="14" t="n">
        <x:v>35</x:v>
      </x:c>
      <x:c r="J131" s="14" t="n">
        <x:v>105</x:v>
      </x:c>
      <x:c r="K131" t="str">
        <x:v>DEMO / SIMULATED</x:v>
      </x:c>
    </x:row>
    <x:row r="132">
      <x:c r="A132" t="str">
        <x:v>JFD-20230413-0073</x:v>
      </x:c>
      <x:c r="B132" s="11" t="n">
        <x:v>45029.72152777778</x:v>
      </x:c>
      <x:c r="C132" s="13" t="n">
        <x:v>0.7215277777777778</x:v>
      </x:c>
      <x:c r="D132" t="str">
        <x:v>Damak</x:v>
      </x:c>
      <x:c r="E132" t="str">
        <x:v>Milan’s Bakery</x:v>
      </x:c>
      <x:c r="F132" t="str">
        <x:v>Red Velvet Cake</x:v>
      </x:c>
      <x:c r="G132" t="str">
        <x:v>Food</x:v>
      </x:c>
      <x:c r="H132" t="n">
        <x:v>4</x:v>
      </x:c>
      <x:c r="I132" s="14" t="n">
        <x:v>740</x:v>
      </x:c>
      <x:c r="J132" s="14" t="n">
        <x:v>2960</x:v>
      </x:c>
      <x:c r="K132" t="str">
        <x:v>DEMO / SIMULATED</x:v>
      </x:c>
    </x:row>
    <x:row r="133">
      <x:c r="A133" t="str">
        <x:v>JFD-20240120-0074</x:v>
      </x:c>
      <x:c r="B133" s="11" t="n">
        <x:v>45311.42013888889</x:v>
      </x:c>
      <x:c r="C133" s="13" t="n">
        <x:v>0.4201388888888889</x:v>
      </x:c>
      <x:c r="D133" t="str">
        <x:v>Damak</x:v>
      </x:c>
      <x:c r="E133" t="str">
        <x:v>Late Night Cravings</x:v>
      </x:c>
      <x:c r="F133" t="str">
        <x:v>Bottled Water 1L</x:v>
      </x:c>
      <x:c r="G133" t="str">
        <x:v>Drink</x:v>
      </x:c>
      <x:c r="H133" t="n">
        <x:v>1</x:v>
      </x:c>
      <x:c r="I133" s="14" t="n">
        <x:v>35</x:v>
      </x:c>
      <x:c r="J133" s="14" t="n">
        <x:v>35</x:v>
      </x:c>
      <x:c r="K133" t="str">
        <x:v>DEMO / SIMULATED</x:v>
      </x:c>
    </x:row>
    <x:row r="134">
      <x:c r="A134" t="str">
        <x:v>JFD-20240120-0074</x:v>
      </x:c>
      <x:c r="B134" s="11" t="n">
        <x:v>45311.67083333333</x:v>
      </x:c>
      <x:c r="C134" s="13" t="n">
        <x:v>0.6708333333333333</x:v>
      </x:c>
      <x:c r="D134" t="str">
        <x:v>Damak</x:v>
      </x:c>
      <x:c r="E134" t="str">
        <x:v>Late Night Cravings</x:v>
      </x:c>
      <x:c r="F134" t="str">
        <x:v>Mix Fry Rice</x:v>
      </x:c>
      <x:c r="G134" t="str">
        <x:v>Food</x:v>
      </x:c>
      <x:c r="H134" t="n">
        <x:v>1</x:v>
      </x:c>
      <x:c r="I134" s="14" t="n">
        <x:v>245</x:v>
      </x:c>
      <x:c r="J134" s="14" t="n">
        <x:v>245</x:v>
      </x:c>
      <x:c r="K134" t="str">
        <x:v>DEMO / SIMULATED</x:v>
      </x:c>
    </x:row>
    <x:row r="135">
      <x:c r="A135" t="str">
        <x:v>JFD-20241017-0075</x:v>
      </x:c>
      <x:c r="B135" s="11" t="n">
        <x:v>45582.67152777778</x:v>
      </x:c>
      <x:c r="C135" s="13" t="n">
        <x:v>0.6715277777777777</x:v>
      </x:c>
      <x:c r="D135" t="str">
        <x:v>Birtamode</x:v>
      </x:c>
      <x:c r="E135" t="str">
        <x:v>The Underground Cafe &amp; Restaurant</x:v>
      </x:c>
      <x:c r="F135" t="str">
        <x:v>Bottled Water 1L</x:v>
      </x:c>
      <x:c r="G135" t="str">
        <x:v>Drink</x:v>
      </x:c>
      <x:c r="H135" t="n">
        <x:v>2</x:v>
      </x:c>
      <x:c r="I135" s="14" t="n">
        <x:v>35</x:v>
      </x:c>
      <x:c r="J135" s="14" t="n">
        <x:v>70</x:v>
      </x:c>
      <x:c r="K135" t="str">
        <x:v>DEMO / SIMULATED</x:v>
      </x:c>
    </x:row>
    <x:row r="136">
      <x:c r="A136" t="str">
        <x:v>JFD-20231019-0076</x:v>
      </x:c>
      <x:c r="B136" s="11" t="n">
        <x:v>45218.7125</x:v>
      </x:c>
      <x:c r="C136" s="13" t="n">
        <x:v>0.7125</x:v>
      </x:c>
      <x:c r="D136" t="str">
        <x:v>Damak</x:v>
      </x:c>
      <x:c r="E136" t="str">
        <x:v>Milan’s Bakery</x:v>
      </x:c>
      <x:c r="F136" t="str">
        <x:v>Bottled Water 1L</x:v>
      </x:c>
      <x:c r="G136" t="str">
        <x:v>Drink</x:v>
      </x:c>
      <x:c r="H136" t="n">
        <x:v>2</x:v>
      </x:c>
      <x:c r="I136" s="14" t="n">
        <x:v>35</x:v>
      </x:c>
      <x:c r="J136" s="14" t="n">
        <x:v>70</x:v>
      </x:c>
      <x:c r="K136" t="str">
        <x:v>DEMO / SIMULATED</x:v>
      </x:c>
    </x:row>
    <x:row r="137">
      <x:c r="A137" t="str">
        <x:v>JFD-20231019-0076</x:v>
      </x:c>
      <x:c r="B137" s="11" t="n">
        <x:v>45218.55902777778</x:v>
      </x:c>
      <x:c r="C137" s="13" t="n">
        <x:v>0.5590277777777778</x:v>
      </x:c>
      <x:c r="D137" t="str">
        <x:v>Damak</x:v>
      </x:c>
      <x:c r="E137" t="str">
        <x:v>Milan’s Bakery</x:v>
      </x:c>
      <x:c r="F137" t="str">
        <x:v>Red Velvet Cake</x:v>
      </x:c>
      <x:c r="G137" t="str">
        <x:v>Food</x:v>
      </x:c>
      <x:c r="H137" t="n">
        <x:v>1</x:v>
      </x:c>
      <x:c r="I137" s="14" t="n">
        <x:v>740</x:v>
      </x:c>
      <x:c r="J137" s="14" t="n">
        <x:v>740</x:v>
      </x:c>
      <x:c r="K137" t="str">
        <x:v>DEMO / SIMULATED</x:v>
      </x:c>
    </x:row>
    <x:row r="138">
      <x:c r="A138" t="str">
        <x:v>JFD-20260610-0077</x:v>
      </x:c>
      <x:c r="B138" s="11" t="n">
        <x:v>46183.53888888889</x:v>
      </x:c>
      <x:c r="C138" s="13" t="n">
        <x:v>0.5388888888888889</x:v>
      </x:c>
      <x:c r="D138" t="str">
        <x:v>Damak</x:v>
      </x:c>
      <x:c r="E138" t="str">
        <x:v>Late Night Cravings</x:v>
      </x:c>
      <x:c r="F138" t="str">
        <x:v>Bottled Water 1L</x:v>
      </x:c>
      <x:c r="G138" t="str">
        <x:v>Drink</x:v>
      </x:c>
      <x:c r="H138" t="n">
        <x:v>1</x:v>
      </x:c>
      <x:c r="I138" s="14" t="n">
        <x:v>40</x:v>
      </x:c>
      <x:c r="J138" s="14" t="n">
        <x:v>40</x:v>
      </x:c>
      <x:c r="K138" t="str">
        <x:v>DEMO / SIMULATED</x:v>
      </x:c>
    </x:row>
    <x:row r="139">
      <x:c r="A139" t="str">
        <x:v>JFD-20260610-0077</x:v>
      </x:c>
      <x:c r="B139" s="11" t="n">
        <x:v>46183.72638888889</x:v>
      </x:c>
      <x:c r="C139" s="13" t="n">
        <x:v>0.7263888888888889</x:v>
      </x:c>
      <x:c r="D139" t="str">
        <x:v>Damak</x:v>
      </x:c>
      <x:c r="E139" t="str">
        <x:v>Late Night Cravings</x:v>
      </x:c>
      <x:c r="F139" t="str">
        <x:v>Coca-Cola 500ml</x:v>
      </x:c>
      <x:c r="G139" t="str">
        <x:v>Drink</x:v>
      </x:c>
      <x:c r="H139" t="n">
        <x:v>2</x:v>
      </x:c>
      <x:c r="I139" s="14" t="n">
        <x:v>100</x:v>
      </x:c>
      <x:c r="J139" s="14" t="n">
        <x:v>200</x:v>
      </x:c>
      <x:c r="K139" t="str">
        <x:v>DEMO / SIMULATED</x:v>
      </x:c>
    </x:row>
    <x:row r="140">
      <x:c r="A140" t="str">
        <x:v>JFD-20230215-0078</x:v>
      </x:c>
      <x:c r="B140" s="11" t="n">
        <x:v>44972.811111111114</x:v>
      </x:c>
      <x:c r="C140" s="13" t="n">
        <x:v>0.8111111111111111</x:v>
      </x:c>
      <x:c r="D140" t="str">
        <x:v>Birtamode</x:v>
      </x:c>
      <x:c r="E140" t="str">
        <x:v>The Underground Cafe &amp; Restaurant</x:v>
      </x:c>
      <x:c r="F140" t="str">
        <x:v>Coca-Cola 500ml</x:v>
      </x:c>
      <x:c r="G140" t="str">
        <x:v>Drink</x:v>
      </x:c>
      <x:c r="H140" t="n">
        <x:v>1</x:v>
      </x:c>
      <x:c r="I140" s="14" t="n">
        <x:v>80</x:v>
      </x:c>
      <x:c r="J140" s="14" t="n">
        <x:v>80</x:v>
      </x:c>
      <x:c r="K140" t="str">
        <x:v>DEMO / SIMULATED</x:v>
      </x:c>
    </x:row>
    <x:row r="141">
      <x:c r="A141" t="str">
        <x:v>JFD-20260718-0079</x:v>
      </x:c>
      <x:c r="B141" s="11" t="n">
        <x:v>46221.60625</x:v>
      </x:c>
      <x:c r="C141" s="13" t="n">
        <x:v>0.60625</x:v>
      </x:c>
      <x:c r="D141" t="str">
        <x:v>Birtamode</x:v>
      </x:c>
      <x:c r="E141" t="str">
        <x:v>The Underground Cafe &amp; Restaurant</x:v>
      </x:c>
      <x:c r="F141" t="str">
        <x:v>Coca-Cola 500ml</x:v>
      </x:c>
      <x:c r="G141" t="str">
        <x:v>Drink</x:v>
      </x:c>
      <x:c r="H141" t="n">
        <x:v>1</x:v>
      </x:c>
      <x:c r="I141" s="14" t="n">
        <x:v>100</x:v>
      </x:c>
      <x:c r="J141" s="14" t="n">
        <x:v>100</x:v>
      </x:c>
      <x:c r="K141" t="str">
        <x:v>DEMO / SIMULATED</x:v>
      </x:c>
    </x:row>
    <x:row r="142">
      <x:c r="A142" t="str">
        <x:v>JFD-20260718-0079</x:v>
      </x:c>
      <x:c r="B142" s="11" t="n">
        <x:v>46221.60833333333</x:v>
      </x:c>
      <x:c r="C142" s="13" t="n">
        <x:v>0.6083333333333333</x:v>
      </x:c>
      <x:c r="D142" t="str">
        <x:v>Birtamode</x:v>
      </x:c>
      <x:c r="E142" t="str">
        <x:v>The Underground Cafe &amp; Restaurant</x:v>
      </x:c>
      <x:c r="F142" t="str">
        <x:v>Veg Pakauda</x:v>
      </x:c>
      <x:c r="G142" t="str">
        <x:v>Food</x:v>
      </x:c>
      <x:c r="H142" t="n">
        <x:v>3</x:v>
      </x:c>
      <x:c r="I142" s="14" t="n">
        <x:v>175</x:v>
      </x:c>
      <x:c r="J142" s="14" t="n">
        <x:v>525</x:v>
      </x:c>
      <x:c r="K142" t="str">
        <x:v>DEMO / SIMULATED</x:v>
      </x:c>
    </x:row>
    <x:row r="143">
      <x:c r="A143" t="str">
        <x:v>JFD-20260718-0079</x:v>
      </x:c>
      <x:c r="B143" s="11" t="n">
        <x:v>46221.72986111111</x:v>
      </x:c>
      <x:c r="C143" s="13" t="n">
        <x:v>0.7298611111111111</x:v>
      </x:c>
      <x:c r="D143" t="str">
        <x:v>Birtamode</x:v>
      </x:c>
      <x:c r="E143" t="str">
        <x:v>The Underground Cafe &amp; Restaurant</x:v>
      </x:c>
      <x:c r="F143" t="str">
        <x:v>Aalu Jeera</x:v>
      </x:c>
      <x:c r="G143" t="str">
        <x:v>Food</x:v>
      </x:c>
      <x:c r="H143" t="n">
        <x:v>4</x:v>
      </x:c>
      <x:c r="I143" s="14" t="n">
        <x:v>155</x:v>
      </x:c>
      <x:c r="J143" s="14" t="n">
        <x:v>620</x:v>
      </x:c>
      <x:c r="K143" t="str">
        <x:v>DEMO / SIMULATED</x:v>
      </x:c>
    </x:row>
    <x:row r="144">
      <x:c r="A144" t="str">
        <x:v>JFD-20240125-0080</x:v>
      </x:c>
      <x:c r="B144" s="11" t="n">
        <x:v>45316.60972222222</x:v>
      </x:c>
      <x:c r="C144" s="13" t="n">
        <x:v>0.6097222222222223</x:v>
      </x:c>
      <x:c r="D144" t="str">
        <x:v>Birtamode</x:v>
      </x:c>
      <x:c r="E144" t="str">
        <x:v>The Underground Cafe &amp; Restaurant</x:v>
      </x:c>
      <x:c r="F144" t="str">
        <x:v>Veg Pakauda</x:v>
      </x:c>
      <x:c r="G144" t="str">
        <x:v>Food</x:v>
      </x:c>
      <x:c r="H144" t="n">
        <x:v>3</x:v>
      </x:c>
      <x:c r="I144" s="14" t="n">
        <x:v>155</x:v>
      </x:c>
      <x:c r="J144" s="14" t="n">
        <x:v>465</x:v>
      </x:c>
      <x:c r="K144" t="str">
        <x:v>DEMO / SIMULATED</x:v>
      </x:c>
    </x:row>
    <x:row r="145">
      <x:c r="A145" t="str">
        <x:v>JFD-20240125-0080</x:v>
      </x:c>
      <x:c r="B145" s="11" t="n">
        <x:v>45316.74166666667</x:v>
      </x:c>
      <x:c r="C145" s="13" t="n">
        <x:v>0.7416666666666667</x:v>
      </x:c>
      <x:c r="D145" t="str">
        <x:v>Birtamode</x:v>
      </x:c>
      <x:c r="E145" t="str">
        <x:v>The Underground Cafe &amp; Restaurant</x:v>
      </x:c>
      <x:c r="F145" t="str">
        <x:v>Bottled Water 1L</x:v>
      </x:c>
      <x:c r="G145" t="str">
        <x:v>Drink</x:v>
      </x:c>
      <x:c r="H145" t="n">
        <x:v>2</x:v>
      </x:c>
      <x:c r="I145" s="14" t="n">
        <x:v>35</x:v>
      </x:c>
      <x:c r="J145" s="14" t="n">
        <x:v>70</x:v>
      </x:c>
      <x:c r="K145" t="str">
        <x:v>DEMO / SIMULATED</x:v>
      </x:c>
    </x:row>
    <x:row r="146">
      <x:c r="A146" t="str">
        <x:v>JFD-20250122-0081</x:v>
      </x:c>
      <x:c r="B146" s="11" t="n">
        <x:v>45679.82013888889</x:v>
      </x:c>
      <x:c r="C146" s="13" t="n">
        <x:v>0.8201388888888889</x:v>
      </x:c>
      <x:c r="D146" t="str">
        <x:v>Birtamode</x:v>
      </x:c>
      <x:c r="E146" t="str">
        <x:v>The Underground Cafe &amp; Restaurant</x:v>
      </x:c>
      <x:c r="F146" t="str">
        <x:v>Aalu Jeera</x:v>
      </x:c>
      <x:c r="G146" t="str">
        <x:v>Food</x:v>
      </x:c>
      <x:c r="H146" t="n">
        <x:v>2</x:v>
      </x:c>
      <x:c r="I146" s="14" t="n">
        <x:v>145</x:v>
      </x:c>
      <x:c r="J146" s="14" t="n">
        <x:v>290</x:v>
      </x:c>
      <x:c r="K146" t="str">
        <x:v>DEMO / SIMULATED</x:v>
      </x:c>
    </x:row>
    <x:row r="147">
      <x:c r="A147" t="str">
        <x:v>JFD-20250122-0081</x:v>
      </x:c>
      <x:c r="B147" s="11" t="n">
        <x:v>45679.53194444445</x:v>
      </x:c>
      <x:c r="C147" s="13" t="n">
        <x:v>0.5319444444444444</x:v>
      </x:c>
      <x:c r="D147" t="str">
        <x:v>Birtamode</x:v>
      </x:c>
      <x:c r="E147" t="str">
        <x:v>The Underground Cafe &amp; Restaurant</x:v>
      </x:c>
      <x:c r="F147" t="str">
        <x:v>Bottled Water 1L</x:v>
      </x:c>
      <x:c r="G147" t="str">
        <x:v>Drink</x:v>
      </x:c>
      <x:c r="H147" t="n">
        <x:v>3</x:v>
      </x:c>
      <x:c r="I147" s="14" t="n">
        <x:v>40</x:v>
      </x:c>
      <x:c r="J147" s="14" t="n">
        <x:v>120</x:v>
      </x:c>
      <x:c r="K147" t="str">
        <x:v>DEMO / SIMULATED</x:v>
      </x:c>
    </x:row>
    <x:row r="148">
      <x:c r="A148" t="str">
        <x:v>JFD-20260327-0082</x:v>
      </x:c>
      <x:c r="B148" s="11" t="n">
        <x:v>46108.575</x:v>
      </x:c>
      <x:c r="C148" s="13" t="n">
        <x:v>0.575</x:v>
      </x:c>
      <x:c r="D148" t="str">
        <x:v>Damak</x:v>
      </x:c>
      <x:c r="E148" t="str">
        <x:v>Late Night Cravings</x:v>
      </x:c>
      <x:c r="F148" t="str">
        <x:v>Egg Fry Rice</x:v>
      </x:c>
      <x:c r="G148" t="str">
        <x:v>Food</x:v>
      </x:c>
      <x:c r="H148" t="n">
        <x:v>1</x:v>
      </x:c>
      <x:c r="I148" s="14" t="n">
        <x:v>200</x:v>
      </x:c>
      <x:c r="J148" s="14" t="n">
        <x:v>200</x:v>
      </x:c>
      <x:c r="K148" t="str">
        <x:v>DEMO / SIMULATED</x:v>
      </x:c>
    </x:row>
    <x:row r="149">
      <x:c r="A149" t="str">
        <x:v>JFD-20260327-0082</x:v>
      </x:c>
      <x:c r="B149" s="11" t="n">
        <x:v>46108.626388888886</x:v>
      </x:c>
      <x:c r="C149" s="13" t="n">
        <x:v>0.6263888888888889</x:v>
      </x:c>
      <x:c r="D149" t="str">
        <x:v>Damak</x:v>
      </x:c>
      <x:c r="E149" t="str">
        <x:v>Late Night Cravings</x:v>
      </x:c>
      <x:c r="F149" t="str">
        <x:v>Coca-Cola 500ml</x:v>
      </x:c>
      <x:c r="G149" t="str">
        <x:v>Drink</x:v>
      </x:c>
      <x:c r="H149" t="n">
        <x:v>1</x:v>
      </x:c>
      <x:c r="I149" s="14" t="n">
        <x:v>100</x:v>
      </x:c>
      <x:c r="J149" s="14" t="n">
        <x:v>100</x:v>
      </x:c>
      <x:c r="K149" t="str">
        <x:v>DEMO / SIMULATED</x:v>
      </x:c>
    </x:row>
    <x:row r="150">
      <x:c r="A150" t="str">
        <x:v>JFD-20250514-0083</x:v>
      </x:c>
      <x:c r="B150" s="11" t="n">
        <x:v>45791.56875</x:v>
      </x:c>
      <x:c r="C150" s="13" t="n">
        <x:v>0.56875</x:v>
      </x:c>
      <x:c r="D150" t="str">
        <x:v>Birtamode</x:v>
      </x:c>
      <x:c r="E150" t="str">
        <x:v>The Underground Cafe &amp; Restaurant</x:v>
      </x:c>
      <x:c r="F150" t="str">
        <x:v>Paneer Pakauda</x:v>
      </x:c>
      <x:c r="G150" t="str">
        <x:v>Food</x:v>
      </x:c>
      <x:c r="H150" t="n">
        <x:v>2</x:v>
      </x:c>
      <x:c r="I150" s="14" t="n">
        <x:v>210</x:v>
      </x:c>
      <x:c r="J150" s="14" t="n">
        <x:v>420</x:v>
      </x:c>
      <x:c r="K150" t="str">
        <x:v>DEMO / SIMULATED</x:v>
      </x:c>
    </x:row>
    <x:row r="151">
      <x:c r="A151" t="str">
        <x:v>JFD-20250514-0083</x:v>
      </x:c>
      <x:c r="B151" s="11" t="n">
        <x:v>45791.489583333336</x:v>
      </x:c>
      <x:c r="C151" s="13" t="n">
        <x:v>0.4895833333333333</x:v>
      </x:c>
      <x:c r="D151" t="str">
        <x:v>Birtamode</x:v>
      </x:c>
      <x:c r="E151" t="str">
        <x:v>The Underground Cafe &amp; Restaurant</x:v>
      </x:c>
      <x:c r="F151" t="str">
        <x:v>Aalu Jeera</x:v>
      </x:c>
      <x:c r="G151" t="str">
        <x:v>Food</x:v>
      </x:c>
      <x:c r="H151" t="n">
        <x:v>2</x:v>
      </x:c>
      <x:c r="I151" s="14" t="n">
        <x:v>145</x:v>
      </x:c>
      <x:c r="J151" s="14" t="n">
        <x:v>290</x:v>
      </x:c>
      <x:c r="K151" t="str">
        <x:v>DEMO / SIMULATED</x:v>
      </x:c>
    </x:row>
    <x:row r="152">
      <x:c r="A152" t="str">
        <x:v>JFD-20250514-0083</x:v>
      </x:c>
      <x:c r="B152" s="11" t="n">
        <x:v>45791.64027777778</x:v>
      </x:c>
      <x:c r="C152" s="13" t="n">
        <x:v>0.6402777777777777</x:v>
      </x:c>
      <x:c r="D152" t="str">
        <x:v>Birtamode</x:v>
      </x:c>
      <x:c r="E152" t="str">
        <x:v>The Underground Cafe &amp; Restaurant</x:v>
      </x:c>
      <x:c r="F152" t="str">
        <x:v>Veg Pakauda</x:v>
      </x:c>
      <x:c r="G152" t="str">
        <x:v>Food</x:v>
      </x:c>
      <x:c r="H152" t="n">
        <x:v>3</x:v>
      </x:c>
      <x:c r="I152" s="14" t="n">
        <x:v>165</x:v>
      </x:c>
      <x:c r="J152" s="14" t="n">
        <x:v>495</x:v>
      </x:c>
      <x:c r="K152" t="str">
        <x:v>DEMO / SIMULATED</x:v>
      </x:c>
    </x:row>
    <x:row r="153">
      <x:c r="A153" t="str">
        <x:v>JFD-20240707-0084</x:v>
      </x:c>
      <x:c r="B153" s="11" t="n">
        <x:v>45480.82777777778</x:v>
      </x:c>
      <x:c r="C153" s="13" t="n">
        <x:v>0.8277777777777777</x:v>
      </x:c>
      <x:c r="D153" t="str">
        <x:v>Damak</x:v>
      </x:c>
      <x:c r="E153" t="str">
        <x:v>Milan’s Bakery</x:v>
      </x:c>
      <x:c r="F153" t="str">
        <x:v>Chocolate Cake</x:v>
      </x:c>
      <x:c r="G153" t="str">
        <x:v>Food</x:v>
      </x:c>
      <x:c r="H153" t="n">
        <x:v>2</x:v>
      </x:c>
      <x:c r="I153" s="14" t="n">
        <x:v>310</x:v>
      </x:c>
      <x:c r="J153" s="14" t="n">
        <x:v>620</x:v>
      </x:c>
      <x:c r="K153" t="str">
        <x:v>DEMO / SIMULATED</x:v>
      </x:c>
    </x:row>
    <x:row r="154">
      <x:c r="A154" t="str">
        <x:v>JFD-20240707-0084</x:v>
      </x:c>
      <x:c r="B154" s="11" t="n">
        <x:v>45480.54513888889</x:v>
      </x:c>
      <x:c r="C154" s="13" t="n">
        <x:v>0.5451388888888888</x:v>
      </x:c>
      <x:c r="D154" t="str">
        <x:v>Damak</x:v>
      </x:c>
      <x:c r="E154" t="str">
        <x:v>Milan’s Bakery</x:v>
      </x:c>
      <x:c r="F154" t="str">
        <x:v>Black Forest Cake</x:v>
      </x:c>
      <x:c r="G154" t="str">
        <x:v>Food</x:v>
      </x:c>
      <x:c r="H154" t="n">
        <x:v>4</x:v>
      </x:c>
      <x:c r="I154" s="14" t="n">
        <x:v>265</x:v>
      </x:c>
      <x:c r="J154" s="14" t="n">
        <x:v>1060</x:v>
      </x:c>
      <x:c r="K154" t="str">
        <x:v>DEMO / SIMULATED</x:v>
      </x:c>
    </x:row>
    <x:row r="155">
      <x:c r="A155" t="str">
        <x:v>JFD-20250702-0085</x:v>
      </x:c>
      <x:c r="B155" s="11" t="n">
        <x:v>45840.62847222222</x:v>
      </x:c>
      <x:c r="C155" s="13" t="n">
        <x:v>0.6284722222222222</x:v>
      </x:c>
      <x:c r="D155" t="str">
        <x:v>Birtamode</x:v>
      </x:c>
      <x:c r="E155" t="str">
        <x:v>The Underground Cafe &amp; Restaurant</x:v>
      </x:c>
      <x:c r="F155" t="str">
        <x:v>Coca-Cola 500ml</x:v>
      </x:c>
      <x:c r="G155" t="str">
        <x:v>Drink</x:v>
      </x:c>
      <x:c r="H155" t="n">
        <x:v>4</x:v>
      </x:c>
      <x:c r="I155" s="14" t="n">
        <x:v>95</x:v>
      </x:c>
      <x:c r="J155" s="14" t="n">
        <x:v>380</x:v>
      </x:c>
      <x:c r="K155" t="str">
        <x:v>DEMO / SIMULATED</x:v>
      </x:c>
    </x:row>
    <x:row r="156">
      <x:c r="A156" t="str">
        <x:v>JFD-20250702-0085</x:v>
      </x:c>
      <x:c r="B156" s="11" t="n">
        <x:v>45840.53611111111</x:v>
      </x:c>
      <x:c r="C156" s="13" t="n">
        <x:v>0.5361111111111111</x:v>
      </x:c>
      <x:c r="D156" t="str">
        <x:v>Birtamode</x:v>
      </x:c>
      <x:c r="E156" t="str">
        <x:v>The Underground Cafe &amp; Restaurant</x:v>
      </x:c>
      <x:c r="F156" t="str">
        <x:v>Paneer Pakauda</x:v>
      </x:c>
      <x:c r="G156" t="str">
        <x:v>Food</x:v>
      </x:c>
      <x:c r="H156" t="n">
        <x:v>3</x:v>
      </x:c>
      <x:c r="I156" s="14" t="n">
        <x:v>210</x:v>
      </x:c>
      <x:c r="J156" s="14" t="n">
        <x:v>630</x:v>
      </x:c>
      <x:c r="K156" t="str">
        <x:v>DEMO / SIMULATED</x:v>
      </x:c>
    </x:row>
    <x:row r="157">
      <x:c r="A157" t="str">
        <x:v>JFD-20250430-0086</x:v>
      </x:c>
      <x:c r="B157" s="11" t="n">
        <x:v>45777.44930555556</x:v>
      </x:c>
      <x:c r="C157" s="13" t="n">
        <x:v>0.44930555555555557</x:v>
      </x:c>
      <x:c r="D157" t="str">
        <x:v>Damak</x:v>
      </x:c>
      <x:c r="E157" t="str">
        <x:v>Late Night Cravings</x:v>
      </x:c>
      <x:c r="F157" t="str">
        <x:v>Chicken Fry Rice</x:v>
      </x:c>
      <x:c r="G157" t="str">
        <x:v>Food</x:v>
      </x:c>
      <x:c r="H157" t="n">
        <x:v>1</x:v>
      </x:c>
      <x:c r="I157" s="14" t="n">
        <x:v>205</x:v>
      </x:c>
      <x:c r="J157" s="14" t="n">
        <x:v>205</x:v>
      </x:c>
      <x:c r="K157" t="str">
        <x:v>DEMO / SIMULATED</x:v>
      </x:c>
    </x:row>
    <x:row r="158">
      <x:c r="A158" t="str">
        <x:v>JFD-20250430-0086</x:v>
      </x:c>
      <x:c r="B158" s="11" t="n">
        <x:v>45777.64236111111</x:v>
      </x:c>
      <x:c r="C158" s="13" t="n">
        <x:v>0.6423611111111112</x:v>
      </x:c>
      <x:c r="D158" t="str">
        <x:v>Damak</x:v>
      </x:c>
      <x:c r="E158" t="str">
        <x:v>Late Night Cravings</x:v>
      </x:c>
      <x:c r="F158" t="str">
        <x:v>Egg Fry Rice</x:v>
      </x:c>
      <x:c r="G158" t="str">
        <x:v>Food</x:v>
      </x:c>
      <x:c r="H158" t="n">
        <x:v>2</x:v>
      </x:c>
      <x:c r="I158" s="14" t="n">
        <x:v>190</x:v>
      </x:c>
      <x:c r="J158" s="14" t="n">
        <x:v>380</x:v>
      </x:c>
      <x:c r="K158" t="str">
        <x:v>DEMO / SIMULATED</x:v>
      </x:c>
    </x:row>
    <x:row r="159">
      <x:c r="A159" t="str">
        <x:v>JFD-20250329-0087</x:v>
      </x:c>
      <x:c r="B159" s="11" t="n">
        <x:v>45745.69861111111</x:v>
      </x:c>
      <x:c r="C159" s="13" t="n">
        <x:v>0.6986111111111111</x:v>
      </x:c>
      <x:c r="D159" t="str">
        <x:v>Birtamode</x:v>
      </x:c>
      <x:c r="E159" t="str">
        <x:v>The Underground Cafe &amp; Restaurant</x:v>
      </x:c>
      <x:c r="F159" t="str">
        <x:v>Aalu Jeera</x:v>
      </x:c>
      <x:c r="G159" t="str">
        <x:v>Food</x:v>
      </x:c>
      <x:c r="H159" t="n">
        <x:v>4</x:v>
      </x:c>
      <x:c r="I159" s="14" t="n">
        <x:v>145</x:v>
      </x:c>
      <x:c r="J159" s="14" t="n">
        <x:v>580</x:v>
      </x:c>
      <x:c r="K159" t="str">
        <x:v>DEMO / SIMULATED</x:v>
      </x:c>
    </x:row>
    <x:row r="160">
      <x:c r="A160" t="str">
        <x:v>JFD-20250329-0087</x:v>
      </x:c>
      <x:c r="B160" s="11" t="n">
        <x:v>45745.61597222222</x:v>
      </x:c>
      <x:c r="C160" s="13" t="n">
        <x:v>0.6159722222222223</x:v>
      </x:c>
      <x:c r="D160" t="str">
        <x:v>Birtamode</x:v>
      </x:c>
      <x:c r="E160" t="str">
        <x:v>The Underground Cafe &amp; Restaurant</x:v>
      </x:c>
      <x:c r="F160" t="str">
        <x:v>Coca-Cola 500ml</x:v>
      </x:c>
      <x:c r="G160" t="str">
        <x:v>Drink</x:v>
      </x:c>
      <x:c r="H160" t="n">
        <x:v>1</x:v>
      </x:c>
      <x:c r="I160" s="14" t="n">
        <x:v>95</x:v>
      </x:c>
      <x:c r="J160" s="14" t="n">
        <x:v>95</x:v>
      </x:c>
      <x:c r="K160" t="str">
        <x:v>DEMO / SIMULATED</x:v>
      </x:c>
    </x:row>
    <x:row r="161">
      <x:c r="A161" t="str">
        <x:v>JFD-20240724-0088</x:v>
      </x:c>
      <x:c r="B161" s="11" t="n">
        <x:v>45497.84930555556</x:v>
      </x:c>
      <x:c r="C161" s="13" t="n">
        <x:v>0.8493055555555555</x:v>
      </x:c>
      <x:c r="D161" t="str">
        <x:v>Damak</x:v>
      </x:c>
      <x:c r="E161" t="str">
        <x:v>Milan’s Bakery</x:v>
      </x:c>
      <x:c r="F161" t="str">
        <x:v>Black Forest Cake</x:v>
      </x:c>
      <x:c r="G161" t="str">
        <x:v>Food</x:v>
      </x:c>
      <x:c r="H161" t="n">
        <x:v>2</x:v>
      </x:c>
      <x:c r="I161" s="14" t="n">
        <x:v>265</x:v>
      </x:c>
      <x:c r="J161" s="14" t="n">
        <x:v>530</x:v>
      </x:c>
      <x:c r="K161" t="str">
        <x:v>DEMO / SIMULATED</x:v>
      </x:c>
    </x:row>
    <x:row r="162">
      <x:c r="A162" t="str">
        <x:v>JFD-20230708-0089</x:v>
      </x:c>
      <x:c r="B162" s="11" t="n">
        <x:v>45115.66736111111</x:v>
      </x:c>
      <x:c r="C162" s="13" t="n">
        <x:v>0.6673611111111111</x:v>
      </x:c>
      <x:c r="D162" t="str">
        <x:v>Damak</x:v>
      </x:c>
      <x:c r="E162" t="str">
        <x:v>Milan’s Bakery</x:v>
      </x:c>
      <x:c r="F162" t="str">
        <x:v>Vanilla Cake</x:v>
      </x:c>
      <x:c r="G162" t="str">
        <x:v>Food</x:v>
      </x:c>
      <x:c r="H162" t="n">
        <x:v>4</x:v>
      </x:c>
      <x:c r="I162" s="14" t="n">
        <x:v>245</x:v>
      </x:c>
      <x:c r="J162" s="14" t="n">
        <x:v>980</x:v>
      </x:c>
      <x:c r="K162" t="str">
        <x:v>DEMO / SIMULATED</x:v>
      </x:c>
    </x:row>
    <x:row r="163">
      <x:c r="A163" t="str">
        <x:v>JFD-20230708-0089</x:v>
      </x:c>
      <x:c r="B163" s="11" t="n">
        <x:v>45115.46527777778</x:v>
      </x:c>
      <x:c r="C163" s="13" t="n">
        <x:v>0.4652777777777778</x:v>
      </x:c>
      <x:c r="D163" t="str">
        <x:v>Damak</x:v>
      </x:c>
      <x:c r="E163" t="str">
        <x:v>Milan’s Bakery</x:v>
      </x:c>
      <x:c r="F163" t="str">
        <x:v>Bottled Water 1L</x:v>
      </x:c>
      <x:c r="G163" t="str">
        <x:v>Drink</x:v>
      </x:c>
      <x:c r="H163" t="n">
        <x:v>4</x:v>
      </x:c>
      <x:c r="I163" s="14" t="n">
        <x:v>35</x:v>
      </x:c>
      <x:c r="J163" s="14" t="n">
        <x:v>140</x:v>
      </x:c>
      <x:c r="K163" t="str">
        <x:v>DEMO / SIMULATED</x:v>
      </x:c>
    </x:row>
    <x:row r="164">
      <x:c r="A164" t="str">
        <x:v>JFD-20230221-0090</x:v>
      </x:c>
      <x:c r="B164" s="11" t="n">
        <x:v>44978.544444444444</x:v>
      </x:c>
      <x:c r="C164" s="13" t="n">
        <x:v>0.5444444444444444</x:v>
      </x:c>
      <x:c r="D164" t="str">
        <x:v>Damak</x:v>
      </x:c>
      <x:c r="E164" t="str">
        <x:v>Milan’s Bakery</x:v>
      </x:c>
      <x:c r="F164" t="str">
        <x:v>Red Velvet Cake</x:v>
      </x:c>
      <x:c r="G164" t="str">
        <x:v>Food</x:v>
      </x:c>
      <x:c r="H164" t="n">
        <x:v>1</x:v>
      </x:c>
      <x:c r="I164" s="14" t="n">
        <x:v>740</x:v>
      </x:c>
      <x:c r="J164" s="14" t="n">
        <x:v>740</x:v>
      </x:c>
      <x:c r="K164" t="str">
        <x:v>DEMO / SIMULATED</x:v>
      </x:c>
    </x:row>
    <x:row r="165">
      <x:c r="A165" t="str">
        <x:v>JFD-20250804-0091</x:v>
      </x:c>
      <x:c r="B165" s="11" t="n">
        <x:v>45873.654861111114</x:v>
      </x:c>
      <x:c r="C165" s="13" t="n">
        <x:v>0.6548611111111111</x:v>
      </x:c>
      <x:c r="D165" t="str">
        <x:v>Damak</x:v>
      </x:c>
      <x:c r="E165" t="str">
        <x:v>Milan’s Bakery</x:v>
      </x:c>
      <x:c r="F165" t="str">
        <x:v>Vanilla Cake</x:v>
      </x:c>
      <x:c r="G165" t="str">
        <x:v>Food</x:v>
      </x:c>
      <x:c r="H165" t="n">
        <x:v>4</x:v>
      </x:c>
      <x:c r="I165" s="14" t="n">
        <x:v>280</x:v>
      </x:c>
      <x:c r="J165" s="14" t="n">
        <x:v>1120</x:v>
      </x:c>
      <x:c r="K165" t="str">
        <x:v>DEMO / SIMULATED</x:v>
      </x:c>
    </x:row>
    <x:row r="166">
      <x:c r="A166" t="str">
        <x:v>JFD-20250804-0091</x:v>
      </x:c>
      <x:c r="B166" s="11" t="n">
        <x:v>45873.59305555555</x:v>
      </x:c>
      <x:c r="C166" s="13" t="n">
        <x:v>0.5930555555555556</x:v>
      </x:c>
      <x:c r="D166" t="str">
        <x:v>Damak</x:v>
      </x:c>
      <x:c r="E166" t="str">
        <x:v>Milan’s Bakery</x:v>
      </x:c>
      <x:c r="F166" t="str">
        <x:v>Black Forest Cake</x:v>
      </x:c>
      <x:c r="G166" t="str">
        <x:v>Food</x:v>
      </x:c>
      <x:c r="H166" t="n">
        <x:v>3</x:v>
      </x:c>
      <x:c r="I166" s="14" t="n">
        <x:v>280</x:v>
      </x:c>
      <x:c r="J166" s="14" t="n">
        <x:v>840</x:v>
      </x:c>
      <x:c r="K166" t="str">
        <x:v>DEMO / SIMULATED</x:v>
      </x:c>
    </x:row>
    <x:row r="167">
      <x:c r="A167" t="str">
        <x:v>JFD-20250804-0091</x:v>
      </x:c>
      <x:c r="B167" s="11" t="n">
        <x:v>45873.847916666666</x:v>
      </x:c>
      <x:c r="C167" s="13" t="n">
        <x:v>0.8479166666666667</x:v>
      </x:c>
      <x:c r="D167" t="str">
        <x:v>Damak</x:v>
      </x:c>
      <x:c r="E167" t="str">
        <x:v>Milan’s Bakery</x:v>
      </x:c>
      <x:c r="F167" t="str">
        <x:v>Red Velvet Cake</x:v>
      </x:c>
      <x:c r="G167" t="str">
        <x:v>Food</x:v>
      </x:c>
      <x:c r="H167" t="n">
        <x:v>2</x:v>
      </x:c>
      <x:c r="I167" s="14" t="n">
        <x:v>845</x:v>
      </x:c>
      <x:c r="J167" s="14" t="n">
        <x:v>1690</x:v>
      </x:c>
      <x:c r="K167" t="str">
        <x:v>DEMO / SIMULATED</x:v>
      </x:c>
    </x:row>
    <x:row r="168">
      <x:c r="A168" t="str">
        <x:v>JFD-20260804-0092</x:v>
      </x:c>
      <x:c r="B168" s="11" t="n">
        <x:v>46238.60138888889</x:v>
      </x:c>
      <x:c r="C168" s="13" t="n">
        <x:v>0.6013888888888889</x:v>
      </x:c>
      <x:c r="D168" t="str">
        <x:v>Damak</x:v>
      </x:c>
      <x:c r="E168" t="str">
        <x:v>Milan’s Bakery</x:v>
      </x:c>
      <x:c r="F168" t="str">
        <x:v>Black Forest Cake</x:v>
      </x:c>
      <x:c r="G168" t="str">
        <x:v>Food</x:v>
      </x:c>
      <x:c r="H168" t="n">
        <x:v>4</x:v>
      </x:c>
      <x:c r="I168" s="14" t="n">
        <x:v>300</x:v>
      </x:c>
      <x:c r="J168" s="14" t="n">
        <x:v>1200</x:v>
      </x:c>
      <x:c r="K168" t="str">
        <x:v>DEMO / SIMULATED</x:v>
      </x:c>
    </x:row>
    <x:row r="169">
      <x:c r="A169" t="str">
        <x:v>JFD-20260804-0092</x:v>
      </x:c>
      <x:c r="B169" s="11" t="n">
        <x:v>46238.54305555556</x:v>
      </x:c>
      <x:c r="C169" s="13" t="n">
        <x:v>0.5430555555555555</x:v>
      </x:c>
      <x:c r="D169" t="str">
        <x:v>Damak</x:v>
      </x:c>
      <x:c r="E169" t="str">
        <x:v>Milan’s Bakery</x:v>
      </x:c>
      <x:c r="F169" t="str">
        <x:v>Chocolate Cake</x:v>
      </x:c>
      <x:c r="G169" t="str">
        <x:v>Food</x:v>
      </x:c>
      <x:c r="H169" t="n">
        <x:v>1</x:v>
      </x:c>
      <x:c r="I169" s="14" t="n">
        <x:v>350</x:v>
      </x:c>
      <x:c r="J169" s="14" t="n">
        <x:v>350</x:v>
      </x:c>
      <x:c r="K169" t="str">
        <x:v>DEMO / SIMULATED</x:v>
      </x:c>
    </x:row>
    <x:row r="170">
      <x:c r="A170" t="str">
        <x:v>JFD-20250714-0093</x:v>
      </x:c>
      <x:c r="B170" s="11" t="n">
        <x:v>45852.80138888889</x:v>
      </x:c>
      <x:c r="C170" s="13" t="n">
        <x:v>0.8013888888888889</x:v>
      </x:c>
      <x:c r="D170" t="str">
        <x:v>Birtamode</x:v>
      </x:c>
      <x:c r="E170" t="str">
        <x:v>The Underground Cafe &amp; Restaurant</x:v>
      </x:c>
      <x:c r="F170" t="str">
        <x:v>Bottled Water 1L</x:v>
      </x:c>
      <x:c r="G170" t="str">
        <x:v>Drink</x:v>
      </x:c>
      <x:c r="H170" t="n">
        <x:v>4</x:v>
      </x:c>
      <x:c r="I170" s="14" t="n">
        <x:v>40</x:v>
      </x:c>
      <x:c r="J170" s="14" t="n">
        <x:v>160</x:v>
      </x:c>
      <x:c r="K170" t="str">
        <x:v>DEMO / SIMULATED</x:v>
      </x:c>
    </x:row>
    <x:row r="171">
      <x:c r="A171" t="str">
        <x:v>JFD-20230610-0094</x:v>
      </x:c>
      <x:c r="B171" s="11" t="n">
        <x:v>45087.714583333334</x:v>
      </x:c>
      <x:c r="C171" s="13" t="n">
        <x:v>0.7145833333333333</x:v>
      </x:c>
      <x:c r="D171" t="str">
        <x:v>Damak</x:v>
      </x:c>
      <x:c r="E171" t="str">
        <x:v>Late Night Cravings</x:v>
      </x:c>
      <x:c r="F171" t="str">
        <x:v>Chicken Fry Rice</x:v>
      </x:c>
      <x:c r="G171" t="str">
        <x:v>Food</x:v>
      </x:c>
      <x:c r="H171" t="n">
        <x:v>4</x:v>
      </x:c>
      <x:c r="I171" s="14" t="n">
        <x:v>180</x:v>
      </x:c>
      <x:c r="J171" s="14" t="n">
        <x:v>720</x:v>
      </x:c>
      <x:c r="K171" t="str">
        <x:v>DEMO / SIMULATED</x:v>
      </x:c>
    </x:row>
    <x:row r="172">
      <x:c r="A172" t="str">
        <x:v>JFD-20230310-0095</x:v>
      </x:c>
      <x:c r="B172" s="11" t="n">
        <x:v>44995.506944444445</x:v>
      </x:c>
      <x:c r="C172" s="13" t="n">
        <x:v>0.5069444444444444</x:v>
      </x:c>
      <x:c r="D172" t="str">
        <x:v>Damak</x:v>
      </x:c>
      <x:c r="E172" t="str">
        <x:v>Milan’s Bakery</x:v>
      </x:c>
      <x:c r="F172" t="str">
        <x:v>Red Velvet Cake</x:v>
      </x:c>
      <x:c r="G172" t="str">
        <x:v>Food</x:v>
      </x:c>
      <x:c r="H172" t="n">
        <x:v>4</x:v>
      </x:c>
      <x:c r="I172" s="14" t="n">
        <x:v>740</x:v>
      </x:c>
      <x:c r="J172" s="14" t="n">
        <x:v>2960</x:v>
      </x:c>
      <x:c r="K172" t="str">
        <x:v>DEMO / SIMULATED</x:v>
      </x:c>
    </x:row>
    <x:row r="173">
      <x:c r="A173" t="str">
        <x:v>JFD-20250816-0096</x:v>
      </x:c>
      <x:c r="B173" s="11" t="n">
        <x:v>45885.885416666664</x:v>
      </x:c>
      <x:c r="C173" s="13" t="n">
        <x:v>0.8854166666666666</x:v>
      </x:c>
      <x:c r="D173" t="str">
        <x:v>Birtamode</x:v>
      </x:c>
      <x:c r="E173" t="str">
        <x:v>The Underground Cafe &amp; Restaurant</x:v>
      </x:c>
      <x:c r="F173" t="str">
        <x:v>Bottled Water 1L</x:v>
      </x:c>
      <x:c r="G173" t="str">
        <x:v>Drink</x:v>
      </x:c>
      <x:c r="H173" t="n">
        <x:v>2</x:v>
      </x:c>
      <x:c r="I173" s="14" t="n">
        <x:v>40</x:v>
      </x:c>
      <x:c r="J173" s="14" t="n">
        <x:v>80</x:v>
      </x:c>
      <x:c r="K173" t="str">
        <x:v>DEMO / SIMULATED</x:v>
      </x:c>
    </x:row>
    <x:row r="174">
      <x:c r="A174" t="str">
        <x:v>JFD-20240130-0097</x:v>
      </x:c>
      <x:c r="B174" s="11" t="n">
        <x:v>45321.53125</x:v>
      </x:c>
      <x:c r="C174" s="13" t="n">
        <x:v>0.53125</x:v>
      </x:c>
      <x:c r="D174" t="str">
        <x:v>Damak</x:v>
      </x:c>
      <x:c r="E174" t="str">
        <x:v>Milan’s Bakery</x:v>
      </x:c>
      <x:c r="F174" t="str">
        <x:v>Black Forest Cake</x:v>
      </x:c>
      <x:c r="G174" t="str">
        <x:v>Food</x:v>
      </x:c>
      <x:c r="H174" t="n">
        <x:v>1</x:v>
      </x:c>
      <x:c r="I174" s="14" t="n">
        <x:v>265</x:v>
      </x:c>
      <x:c r="J174" s="14" t="n">
        <x:v>265</x:v>
      </x:c>
      <x:c r="K174" t="str">
        <x:v>DEMO / SIMULATED</x:v>
      </x:c>
    </x:row>
    <x:row r="175">
      <x:c r="A175" t="str">
        <x:v>JFD-20240130-0097</x:v>
      </x:c>
      <x:c r="B175" s="11" t="n">
        <x:v>45321.77638888889</x:v>
      </x:c>
      <x:c r="C175" s="13" t="n">
        <x:v>0.7763888888888889</x:v>
      </x:c>
      <x:c r="D175" t="str">
        <x:v>Damak</x:v>
      </x:c>
      <x:c r="E175" t="str">
        <x:v>Milan’s Bakery</x:v>
      </x:c>
      <x:c r="F175" t="str">
        <x:v>Vanilla Cake</x:v>
      </x:c>
      <x:c r="G175" t="str">
        <x:v>Food</x:v>
      </x:c>
      <x:c r="H175" t="n">
        <x:v>1</x:v>
      </x:c>
      <x:c r="I175" s="14" t="n">
        <x:v>265</x:v>
      </x:c>
      <x:c r="J175" s="14" t="n">
        <x:v>265</x:v>
      </x:c>
      <x:c r="K175" t="str">
        <x:v>DEMO / SIMULATED</x:v>
      </x:c>
    </x:row>
    <x:row r="176">
      <x:c r="A176" t="str">
        <x:v>JFD-20240717-0098</x:v>
      </x:c>
      <x:c r="B176" s="11" t="n">
        <x:v>45490.53958333333</x:v>
      </x:c>
      <x:c r="C176" s="13" t="n">
        <x:v>0.5395833333333333</x:v>
      </x:c>
      <x:c r="D176" t="str">
        <x:v>Birtamode</x:v>
      </x:c>
      <x:c r="E176" t="str">
        <x:v>The Underground Cafe &amp; Restaurant</x:v>
      </x:c>
      <x:c r="F176" t="str">
        <x:v>Veg Pakauda</x:v>
      </x:c>
      <x:c r="G176" t="str">
        <x:v>Food</x:v>
      </x:c>
      <x:c r="H176" t="n">
        <x:v>4</x:v>
      </x:c>
      <x:c r="I176" s="14" t="n">
        <x:v>155</x:v>
      </x:c>
      <x:c r="J176" s="14" t="n">
        <x:v>620</x:v>
      </x:c>
      <x:c r="K176" t="str">
        <x:v>DEMO / SIMULATED</x:v>
      </x:c>
    </x:row>
    <x:row r="177">
      <x:c r="A177" t="str">
        <x:v>JFD-20240717-0098</x:v>
      </x:c>
      <x:c r="B177" s="11" t="n">
        <x:v>45490.46666666667</x:v>
      </x:c>
      <x:c r="C177" s="13" t="n">
        <x:v>0.4666666666666667</x:v>
      </x:c>
      <x:c r="D177" t="str">
        <x:v>Birtamode</x:v>
      </x:c>
      <x:c r="E177" t="str">
        <x:v>The Underground Cafe &amp; Restaurant</x:v>
      </x:c>
      <x:c r="F177" t="str">
        <x:v>Bottled Water 1L</x:v>
      </x:c>
      <x:c r="G177" t="str">
        <x:v>Drink</x:v>
      </x:c>
      <x:c r="H177" t="n">
        <x:v>1</x:v>
      </x:c>
      <x:c r="I177" s="14" t="n">
        <x:v>35</x:v>
      </x:c>
      <x:c r="J177" s="14" t="n">
        <x:v>35</x:v>
      </x:c>
      <x:c r="K177" t="str">
        <x:v>DEMO / SIMULATED</x:v>
      </x:c>
    </x:row>
    <x:row r="178">
      <x:c r="A178" t="str">
        <x:v>JFD-20250329-0099</x:v>
      </x:c>
      <x:c r="B178" s="11" t="n">
        <x:v>45745.70416666667</x:v>
      </x:c>
      <x:c r="C178" s="13" t="n">
        <x:v>0.7041666666666667</x:v>
      </x:c>
      <x:c r="D178" t="str">
        <x:v>Damak</x:v>
      </x:c>
      <x:c r="E178" t="str">
        <x:v>Late Night Cravings</x:v>
      </x:c>
      <x:c r="F178" t="str">
        <x:v>Mix Fry Rice</x:v>
      </x:c>
      <x:c r="G178" t="str">
        <x:v>Food</x:v>
      </x:c>
      <x:c r="H178" t="n">
        <x:v>4</x:v>
      </x:c>
      <x:c r="I178" s="14" t="n">
        <x:v>265</x:v>
      </x:c>
      <x:c r="J178" s="14" t="n">
        <x:v>1060</x:v>
      </x:c>
      <x:c r="K178" t="str">
        <x:v>DEMO / SIMULATED</x:v>
      </x:c>
    </x:row>
    <x:row r="179">
      <x:c r="A179" t="str">
        <x:v>JFD-20240619-0100</x:v>
      </x:c>
      <x:c r="B179" s="11" t="n">
        <x:v>45462.86736111111</x:v>
      </x:c>
      <x:c r="C179" s="13" t="n">
        <x:v>0.8673611111111111</x:v>
      </x:c>
      <x:c r="D179" t="str">
        <x:v>Damak</x:v>
      </x:c>
      <x:c r="E179" t="str">
        <x:v>Milan’s Bakery</x:v>
      </x:c>
      <x:c r="F179" t="str">
        <x:v>Bottled Water 1L</x:v>
      </x:c>
      <x:c r="G179" t="str">
        <x:v>Drink</x:v>
      </x:c>
      <x:c r="H179" t="n">
        <x:v>1</x:v>
      </x:c>
      <x:c r="I179" s="14" t="n">
        <x:v>35</x:v>
      </x:c>
      <x:c r="J179" s="14" t="n">
        <x:v>35</x:v>
      </x:c>
      <x:c r="K179" t="str">
        <x:v>DEMO / SIMULATED</x:v>
      </x:c>
    </x:row>
    <x:row r="180">
      <x:c r="A180" t="str">
        <x:v>JFD-20240619-0100</x:v>
      </x:c>
      <x:c r="B180" s="11" t="n">
        <x:v>45462.498611111114</x:v>
      </x:c>
      <x:c r="C180" s="13" t="n">
        <x:v>0.4986111111111111</x:v>
      </x:c>
      <x:c r="D180" t="str">
        <x:v>Damak</x:v>
      </x:c>
      <x:c r="E180" t="str">
        <x:v>Milan’s Bakery</x:v>
      </x:c>
      <x:c r="F180" t="str">
        <x:v>Red Velvet Cake</x:v>
      </x:c>
      <x:c r="G180" t="str">
        <x:v>Food</x:v>
      </x:c>
      <x:c r="H180" t="n">
        <x:v>3</x:v>
      </x:c>
      <x:c r="I180" s="14" t="n">
        <x:v>790</x:v>
      </x:c>
      <x:c r="J180" s="14" t="n">
        <x:v>2370</x:v>
      </x:c>
      <x:c r="K180" t="str">
        <x:v>DEMO / SIMULATED</x:v>
      </x:c>
    </x:row>
    <x:row r="181">
      <x:c r="A181" t="str">
        <x:v>JFD-20241006-0101</x:v>
      </x:c>
      <x:c r="B181" s="11" t="n">
        <x:v>45571.79583333333</x:v>
      </x:c>
      <x:c r="C181" s="13" t="n">
        <x:v>0.7958333333333333</x:v>
      </x:c>
      <x:c r="D181" t="str">
        <x:v>Damak</x:v>
      </x:c>
      <x:c r="E181" t="str">
        <x:v>Late Night Cravings</x:v>
      </x:c>
      <x:c r="F181" t="str">
        <x:v>Egg Fry Rice</x:v>
      </x:c>
      <x:c r="G181" t="str">
        <x:v>Food</x:v>
      </x:c>
      <x:c r="H181" t="n">
        <x:v>1</x:v>
      </x:c>
      <x:c r="I181" s="14" t="n">
        <x:v>175</x:v>
      </x:c>
      <x:c r="J181" s="14" t="n">
        <x:v>175</x:v>
      </x:c>
      <x:c r="K181" t="str">
        <x:v>DEMO / SIMULATED</x:v>
      </x:c>
    </x:row>
    <x:row r="182">
      <x:c r="A182" t="str">
        <x:v>JFD-20241006-0101</x:v>
      </x:c>
      <x:c r="B182" s="11" t="n">
        <x:v>45571.739583333336</x:v>
      </x:c>
      <x:c r="C182" s="13" t="n">
        <x:v>0.7395833333333334</x:v>
      </x:c>
      <x:c r="D182" t="str">
        <x:v>Damak</x:v>
      </x:c>
      <x:c r="E182" t="str">
        <x:v>Late Night Cravings</x:v>
      </x:c>
      <x:c r="F182" t="str">
        <x:v>Veg Fry Rice</x:v>
      </x:c>
      <x:c r="G182" t="str">
        <x:v>Food</x:v>
      </x:c>
      <x:c r="H182" t="n">
        <x:v>1</x:v>
      </x:c>
      <x:c r="I182" s="14" t="n">
        <x:v>140</x:v>
      </x:c>
      <x:c r="J182" s="14" t="n">
        <x:v>140</x:v>
      </x:c>
      <x:c r="K182" t="str">
        <x:v>DEMO / SIMULATED</x:v>
      </x:c>
    </x:row>
    <x:row r="183">
      <x:c r="A183" t="str">
        <x:v>JFD-20260926-0102</x:v>
      </x:c>
      <x:c r="B183" s="11" t="n">
        <x:v>46291.458333333336</x:v>
      </x:c>
      <x:c r="C183" s="13" t="n">
        <x:v>0.4583333333333333</x:v>
      </x:c>
      <x:c r="D183" t="str">
        <x:v>Birtamode</x:v>
      </x:c>
      <x:c r="E183" t="str">
        <x:v>The Underground Cafe &amp; Restaurant</x:v>
      </x:c>
      <x:c r="F183" t="str">
        <x:v>Veg Pakauda</x:v>
      </x:c>
      <x:c r="G183" t="str">
        <x:v>Food</x:v>
      </x:c>
      <x:c r="H183" t="n">
        <x:v>3</x:v>
      </x:c>
      <x:c r="I183" s="14" t="n">
        <x:v>175</x:v>
      </x:c>
      <x:c r="J183" s="14" t="n">
        <x:v>525</x:v>
      </x:c>
      <x:c r="K183" t="str">
        <x:v>DEMO / SIMULATED</x:v>
      </x:c>
    </x:row>
    <x:row r="184">
      <x:c r="A184" t="str">
        <x:v>JFD-20250412-0103</x:v>
      </x:c>
      <x:c r="B184" s="11" t="n">
        <x:v>45759.85486111111</x:v>
      </x:c>
      <x:c r="C184" s="13" t="n">
        <x:v>0.8548611111111111</x:v>
      </x:c>
      <x:c r="D184" t="str">
        <x:v>Birtamode</x:v>
      </x:c>
      <x:c r="E184" t="str">
        <x:v>Pizza Ghar</x:v>
      </x:c>
      <x:c r="F184" t="str">
        <x:v>Chicken Fried Rice</x:v>
      </x:c>
      <x:c r="G184" t="str">
        <x:v>Food</x:v>
      </x:c>
      <x:c r="H184" t="n">
        <x:v>3</x:v>
      </x:c>
      <x:c r="I184" s="14" t="n">
        <x:v>280</x:v>
      </x:c>
      <x:c r="J184" s="14" t="n">
        <x:v>840</x:v>
      </x:c>
      <x:c r="K184" t="str">
        <x:v>DEMO / SIMULATED</x:v>
      </x:c>
    </x:row>
    <x:row r="185">
      <x:c r="A185" t="str">
        <x:v>JFD-20250412-0103</x:v>
      </x:c>
      <x:c r="B185" s="11" t="n">
        <x:v>45759.759722222225</x:v>
      </x:c>
      <x:c r="C185" s="13" t="n">
        <x:v>0.7597222222222222</x:v>
      </x:c>
      <x:c r="D185" t="str">
        <x:v>Birtamode</x:v>
      </x:c>
      <x:c r="E185" t="str">
        <x:v>Pizza Ghar</x:v>
      </x:c>
      <x:c r="F185" t="str">
        <x:v>Veg Fried Rice</x:v>
      </x:c>
      <x:c r="G185" t="str">
        <x:v>Food</x:v>
      </x:c>
      <x:c r="H185" t="n">
        <x:v>4</x:v>
      </x:c>
      <x:c r="I185" s="14" t="n">
        <x:v>205</x:v>
      </x:c>
      <x:c r="J185" s="14" t="n">
        <x:v>820</x:v>
      </x:c>
      <x:c r="K185" t="str">
        <x:v>DEMO / SIMULATED</x:v>
      </x:c>
    </x:row>
    <x:row r="186">
      <x:c r="A186" t="str">
        <x:v>JFD-20240903-0104</x:v>
      </x:c>
      <x:c r="B186" s="11" t="n">
        <x:v>45538.73333333333</x:v>
      </x:c>
      <x:c r="C186" s="13" t="n">
        <x:v>0.7333333333333333</x:v>
      </x:c>
      <x:c r="D186" t="str">
        <x:v>Birtamode</x:v>
      </x:c>
      <x:c r="E186" t="str">
        <x:v>The Underground Cafe &amp; Restaurant</x:v>
      </x:c>
      <x:c r="F186" t="str">
        <x:v>Aalu Jeera</x:v>
      </x:c>
      <x:c r="G186" t="str">
        <x:v>Food</x:v>
      </x:c>
      <x:c r="H186" t="n">
        <x:v>4</x:v>
      </x:c>
      <x:c r="I186" s="14" t="n">
        <x:v>135</x:v>
      </x:c>
      <x:c r="J186" s="14" t="n">
        <x:v>540</x:v>
      </x:c>
      <x:c r="K186" t="str">
        <x:v>DEMO / SIMULATED</x:v>
      </x:c>
    </x:row>
    <x:row r="187">
      <x:c r="A187" t="str">
        <x:v>JFD-20240825-0105</x:v>
      </x:c>
      <x:c r="B187" s="11" t="n">
        <x:v>45529.89722222222</x:v>
      </x:c>
      <x:c r="C187" s="13" t="n">
        <x:v>0.8972222222222223</x:v>
      </x:c>
      <x:c r="D187" t="str">
        <x:v>Damak</x:v>
      </x:c>
      <x:c r="E187" t="str">
        <x:v>Late Night Cravings</x:v>
      </x:c>
      <x:c r="F187" t="str">
        <x:v>Veg Fry Rice</x:v>
      </x:c>
      <x:c r="G187" t="str">
        <x:v>Food</x:v>
      </x:c>
      <x:c r="H187" t="n">
        <x:v>1</x:v>
      </x:c>
      <x:c r="I187" s="14" t="n">
        <x:v>140</x:v>
      </x:c>
      <x:c r="J187" s="14" t="n">
        <x:v>140</x:v>
      </x:c>
      <x:c r="K187" t="str">
        <x:v>DEMO / SIMULATED</x:v>
      </x:c>
    </x:row>
    <x:row r="188">
      <x:c r="A188" t="str">
        <x:v>JFD-20240825-0105</x:v>
      </x:c>
      <x:c r="B188" s="11" t="n">
        <x:v>45529.82361111111</x:v>
      </x:c>
      <x:c r="C188" s="13" t="n">
        <x:v>0.8236111111111111</x:v>
      </x:c>
      <x:c r="D188" t="str">
        <x:v>Damak</x:v>
      </x:c>
      <x:c r="E188" t="str">
        <x:v>Late Night Cravings</x:v>
      </x:c>
      <x:c r="F188" t="str">
        <x:v>Coca-Cola 500ml</x:v>
      </x:c>
      <x:c r="G188" t="str">
        <x:v>Drink</x:v>
      </x:c>
      <x:c r="H188" t="n">
        <x:v>1</x:v>
      </x:c>
      <x:c r="I188" s="14" t="n">
        <x:v>90</x:v>
      </x:c>
      <x:c r="J188" s="14" t="n">
        <x:v>90</x:v>
      </x:c>
      <x:c r="K188" t="str">
        <x:v>DEMO / SIMULATED</x:v>
      </x:c>
    </x:row>
    <x:row r="189">
      <x:c r="A189" t="str">
        <x:v>JFD-20240101-0106</x:v>
      </x:c>
      <x:c r="B189" s="11" t="n">
        <x:v>45292.78958333333</x:v>
      </x:c>
      <x:c r="C189" s="13" t="n">
        <x:v>0.7895833333333333</x:v>
      </x:c>
      <x:c r="D189" t="str">
        <x:v>Damak</x:v>
      </x:c>
      <x:c r="E189" t="str">
        <x:v>Late Night Cravings</x:v>
      </x:c>
      <x:c r="F189" t="str">
        <x:v>Coca-Cola 500ml</x:v>
      </x:c>
      <x:c r="G189" t="str">
        <x:v>Drink</x:v>
      </x:c>
      <x:c r="H189" t="n">
        <x:v>3</x:v>
      </x:c>
      <x:c r="I189" s="14" t="n">
        <x:v>90</x:v>
      </x:c>
      <x:c r="J189" s="14" t="n">
        <x:v>270</x:v>
      </x:c>
      <x:c r="K189" t="str">
        <x:v>DEMO / SIMULATED</x:v>
      </x:c>
    </x:row>
    <x:row r="190">
      <x:c r="A190" t="str">
        <x:v>JFD-20240101-0106</x:v>
      </x:c>
      <x:c r="B190" s="11" t="n">
        <x:v>45292.54305555556</x:v>
      </x:c>
      <x:c r="C190" s="13" t="n">
        <x:v>0.5430555555555555</x:v>
      </x:c>
      <x:c r="D190" t="str">
        <x:v>Damak</x:v>
      </x:c>
      <x:c r="E190" t="str">
        <x:v>Late Night Cravings</x:v>
      </x:c>
      <x:c r="F190" t="str">
        <x:v>Veg Fry Rice</x:v>
      </x:c>
      <x:c r="G190" t="str">
        <x:v>Food</x:v>
      </x:c>
      <x:c r="H190" t="n">
        <x:v>3</x:v>
      </x:c>
      <x:c r="I190" s="14" t="n">
        <x:v>140</x:v>
      </x:c>
      <x:c r="J190" s="14" t="n">
        <x:v>420</x:v>
      </x:c>
      <x:c r="K190" t="str">
        <x:v>DEMO / SIMULATED</x:v>
      </x:c>
    </x:row>
    <x:row r="191">
      <x:c r="A191" t="str">
        <x:v>JFD-20240101-0106</x:v>
      </x:c>
      <x:c r="B191" s="11" t="n">
        <x:v>45292.604166666664</x:v>
      </x:c>
      <x:c r="C191" s="13" t="n">
        <x:v>0.6041666666666666</x:v>
      </x:c>
      <x:c r="D191" t="str">
        <x:v>Damak</x:v>
      </x:c>
      <x:c r="E191" t="str">
        <x:v>Late Night Cravings</x:v>
      </x:c>
      <x:c r="F191" t="str">
        <x:v>Bottled Water 1L</x:v>
      </x:c>
      <x:c r="G191" t="str">
        <x:v>Drink</x:v>
      </x:c>
      <x:c r="H191" t="n">
        <x:v>1</x:v>
      </x:c>
      <x:c r="I191" s="14" t="n">
        <x:v>35</x:v>
      </x:c>
      <x:c r="J191" s="14" t="n">
        <x:v>35</x:v>
      </x:c>
      <x:c r="K191" t="str">
        <x:v>DEMO / SIMULATED</x:v>
      </x:c>
    </x:row>
    <x:row r="192">
      <x:c r="A192" t="str">
        <x:v>JFD-20250421-0107</x:v>
      </x:c>
      <x:c r="B192" s="11" t="n">
        <x:v>45768.475</x:v>
      </x:c>
      <x:c r="C192" s="13" t="n">
        <x:v>0.475</x:v>
      </x:c>
      <x:c r="D192" t="str">
        <x:v>Damak</x:v>
      </x:c>
      <x:c r="E192" t="str">
        <x:v>Late Night Cravings</x:v>
      </x:c>
      <x:c r="F192" t="str">
        <x:v>Egg Fry Rice</x:v>
      </x:c>
      <x:c r="G192" t="str">
        <x:v>Food</x:v>
      </x:c>
      <x:c r="H192" t="n">
        <x:v>3</x:v>
      </x:c>
      <x:c r="I192" s="14" t="n">
        <x:v>190</x:v>
      </x:c>
      <x:c r="J192" s="14" t="n">
        <x:v>570</x:v>
      </x:c>
      <x:c r="K192" t="str">
        <x:v>DEMO / SIMULATED</x:v>
      </x:c>
    </x:row>
    <x:row r="193">
      <x:c r="A193" t="str">
        <x:v>JFD-20260713-0108</x:v>
      </x:c>
      <x:c r="B193" s="11" t="n">
        <x:v>46216.70138888889</x:v>
      </x:c>
      <x:c r="C193" s="13" t="n">
        <x:v>0.7013888888888888</x:v>
      </x:c>
      <x:c r="D193" t="str">
        <x:v>Damak</x:v>
      </x:c>
      <x:c r="E193" t="str">
        <x:v>Late Night Cravings</x:v>
      </x:c>
      <x:c r="F193" t="str">
        <x:v>Bottled Water 1L</x:v>
      </x:c>
      <x:c r="G193" t="str">
        <x:v>Drink</x:v>
      </x:c>
      <x:c r="H193" t="n">
        <x:v>2</x:v>
      </x:c>
      <x:c r="I193" s="14" t="n">
        <x:v>40</x:v>
      </x:c>
      <x:c r="J193" s="14" t="n">
        <x:v>80</x:v>
      </x:c>
      <x:c r="K193" t="str">
        <x:v>DEMO / SIMULATED</x:v>
      </x:c>
    </x:row>
    <x:row r="194">
      <x:c r="A194" t="str">
        <x:v>JFD-20241129-0109</x:v>
      </x:c>
      <x:c r="B194" s="11" t="n">
        <x:v>45625.64722222222</x:v>
      </x:c>
      <x:c r="C194" s="13" t="n">
        <x:v>0.6472222222222223</x:v>
      </x:c>
      <x:c r="D194" t="str">
        <x:v>Damak</x:v>
      </x:c>
      <x:c r="E194" t="str">
        <x:v>Milan’s Bakery</x:v>
      </x:c>
      <x:c r="F194" t="str">
        <x:v>Chocolate Cake</x:v>
      </x:c>
      <x:c r="G194" t="str">
        <x:v>Food</x:v>
      </x:c>
      <x:c r="H194" t="n">
        <x:v>3</x:v>
      </x:c>
      <x:c r="I194" s="14" t="n">
        <x:v>310</x:v>
      </x:c>
      <x:c r="J194" s="14" t="n">
        <x:v>930</x:v>
      </x:c>
      <x:c r="K194" t="str">
        <x:v>DEMO / SIMULATED</x:v>
      </x:c>
    </x:row>
    <x:row r="195">
      <x:c r="A195" t="str">
        <x:v>JFD-20241129-0109</x:v>
      </x:c>
      <x:c r="B195" s="11" t="n">
        <x:v>45625.472916666666</x:v>
      </x:c>
      <x:c r="C195" s="13" t="n">
        <x:v>0.47291666666666665</x:v>
      </x:c>
      <x:c r="D195" t="str">
        <x:v>Damak</x:v>
      </x:c>
      <x:c r="E195" t="str">
        <x:v>Milan’s Bakery</x:v>
      </x:c>
      <x:c r="F195" t="str">
        <x:v>Red Velvet Cake</x:v>
      </x:c>
      <x:c r="G195" t="str">
        <x:v>Food</x:v>
      </x:c>
      <x:c r="H195" t="n">
        <x:v>4</x:v>
      </x:c>
      <x:c r="I195" s="14" t="n">
        <x:v>790</x:v>
      </x:c>
      <x:c r="J195" s="14" t="n">
        <x:v>3160</x:v>
      </x:c>
      <x:c r="K195" t="str">
        <x:v>DEMO / SIMULATED</x:v>
      </x:c>
    </x:row>
    <x:row r="196">
      <x:c r="A196" t="str">
        <x:v>JFD-20230204-0110</x:v>
      </x:c>
      <x:c r="B196" s="11" t="n">
        <x:v>44961.572222222225</x:v>
      </x:c>
      <x:c r="C196" s="13" t="n">
        <x:v>0.5722222222222222</x:v>
      </x:c>
      <x:c r="D196" t="str">
        <x:v>Damak</x:v>
      </x:c>
      <x:c r="E196" t="str">
        <x:v>Late Night Cravings</x:v>
      </x:c>
      <x:c r="F196" t="str">
        <x:v>Chicken Fry Rice</x:v>
      </x:c>
      <x:c r="G196" t="str">
        <x:v>Food</x:v>
      </x:c>
      <x:c r="H196" t="n">
        <x:v>3</x:v>
      </x:c>
      <x:c r="I196" s="14" t="n">
        <x:v>180</x:v>
      </x:c>
      <x:c r="J196" s="14" t="n">
        <x:v>540</x:v>
      </x:c>
      <x:c r="K196" t="str">
        <x:v>DEMO / SIMULATED</x:v>
      </x:c>
    </x:row>
    <x:row r="197">
      <x:c r="A197" t="str">
        <x:v>JFD-20230204-0110</x:v>
      </x:c>
      <x:c r="B197" s="11" t="n">
        <x:v>44961.53888888889</x:v>
      </x:c>
      <x:c r="C197" s="13" t="n">
        <x:v>0.5388888888888889</x:v>
      </x:c>
      <x:c r="D197" t="str">
        <x:v>Damak</x:v>
      </x:c>
      <x:c r="E197" t="str">
        <x:v>Late Night Cravings</x:v>
      </x:c>
      <x:c r="F197" t="str">
        <x:v>Mix Fry Rice</x:v>
      </x:c>
      <x:c r="G197" t="str">
        <x:v>Food</x:v>
      </x:c>
      <x:c r="H197" t="n">
        <x:v>1</x:v>
      </x:c>
      <x:c r="I197" s="14" t="n">
        <x:v>230</x:v>
      </x:c>
      <x:c r="J197" s="14" t="n">
        <x:v>230</x:v>
      </x:c>
      <x:c r="K197" t="str">
        <x:v>DEMO / SIMULATED</x:v>
      </x:c>
    </x:row>
    <x:row r="198">
      <x:c r="A198" t="str">
        <x:v>JFD-20230204-0110</x:v>
      </x:c>
      <x:c r="B198" s="11" t="n">
        <x:v>44961.55763888889</x:v>
      </x:c>
      <x:c r="C198" s="13" t="n">
        <x:v>0.5576388888888889</x:v>
      </x:c>
      <x:c r="D198" t="str">
        <x:v>Damak</x:v>
      </x:c>
      <x:c r="E198" t="str">
        <x:v>Late Night Cravings</x:v>
      </x:c>
      <x:c r="F198" t="str">
        <x:v>Coca-Cola 500ml</x:v>
      </x:c>
      <x:c r="G198" t="str">
        <x:v>Drink</x:v>
      </x:c>
      <x:c r="H198" t="n">
        <x:v>3</x:v>
      </x:c>
      <x:c r="I198" s="14" t="n">
        <x:v>80</x:v>
      </x:c>
      <x:c r="J198" s="14" t="n">
        <x:v>240</x:v>
      </x:c>
      <x:c r="K198" t="str">
        <x:v>DEMO / SIMULATED</x:v>
      </x:c>
    </x:row>
    <x:row r="199">
      <x:c r="A199" t="str">
        <x:v>JFD-20251216-0111</x:v>
      </x:c>
      <x:c r="B199" s="11" t="n">
        <x:v>46007.72361111111</x:v>
      </x:c>
      <x:c r="C199" s="13" t="n">
        <x:v>0.7236111111111111</x:v>
      </x:c>
      <x:c r="D199" t="str">
        <x:v>Damak</x:v>
      </x:c>
      <x:c r="E199" t="str">
        <x:v>Milan’s Bakery</x:v>
      </x:c>
      <x:c r="F199" t="str">
        <x:v>Bottled Water 1L</x:v>
      </x:c>
      <x:c r="G199" t="str">
        <x:v>Drink</x:v>
      </x:c>
      <x:c r="H199" t="n">
        <x:v>2</x:v>
      </x:c>
      <x:c r="I199" s="14" t="n">
        <x:v>40</x:v>
      </x:c>
      <x:c r="J199" s="14" t="n">
        <x:v>80</x:v>
      </x:c>
      <x:c r="K199" t="str">
        <x:v>DEMO / SIMULATED</x:v>
      </x:c>
    </x:row>
    <x:row r="200">
      <x:c r="A200" t="str">
        <x:v>JFD-20251216-0111</x:v>
      </x:c>
      <x:c r="B200" s="11" t="n">
        <x:v>46007.52777777778</x:v>
      </x:c>
      <x:c r="C200" s="13" t="n">
        <x:v>0.5277777777777778</x:v>
      </x:c>
      <x:c r="D200" t="str">
        <x:v>Damak</x:v>
      </x:c>
      <x:c r="E200" t="str">
        <x:v>Milan’s Bakery</x:v>
      </x:c>
      <x:c r="F200" t="str">
        <x:v>Coca-Cola 500ml</x:v>
      </x:c>
      <x:c r="G200" t="str">
        <x:v>Drink</x:v>
      </x:c>
      <x:c r="H200" t="n">
        <x:v>4</x:v>
      </x:c>
      <x:c r="I200" s="14" t="n">
        <x:v>95</x:v>
      </x:c>
      <x:c r="J200" s="14" t="n">
        <x:v>380</x:v>
      </x:c>
      <x:c r="K200" t="str">
        <x:v>DEMO / SIMULATED</x:v>
      </x:c>
    </x:row>
    <x:row r="201">
      <x:c r="A201" t="str">
        <x:v>JFD-20251216-0111</x:v>
      </x:c>
      <x:c r="B201" s="11" t="n">
        <x:v>46007.85486111111</x:v>
      </x:c>
      <x:c r="C201" s="13" t="n">
        <x:v>0.8548611111111111</x:v>
      </x:c>
      <x:c r="D201" t="str">
        <x:v>Damak</x:v>
      </x:c>
      <x:c r="E201" t="str">
        <x:v>Milan’s Bakery</x:v>
      </x:c>
      <x:c r="F201" t="str">
        <x:v>Chocolate Cake</x:v>
      </x:c>
      <x:c r="G201" t="str">
        <x:v>Food</x:v>
      </x:c>
      <x:c r="H201" t="n">
        <x:v>4</x:v>
      </x:c>
      <x:c r="I201" s="14" t="n">
        <x:v>330</x:v>
      </x:c>
      <x:c r="J201" s="14" t="n">
        <x:v>1320</x:v>
      </x:c>
      <x:c r="K201" t="str">
        <x:v>DEMO / SIMULATED</x:v>
      </x:c>
    </x:row>
    <x:row r="202">
      <x:c r="A202" t="str">
        <x:v>JFD-20250125-0112</x:v>
      </x:c>
      <x:c r="B202" s="11" t="n">
        <x:v>45682.8375</x:v>
      </x:c>
      <x:c r="C202" s="13" t="n">
        <x:v>0.8375</x:v>
      </x:c>
      <x:c r="D202" t="str">
        <x:v>Damak</x:v>
      </x:c>
      <x:c r="E202" t="str">
        <x:v>Late Night Cravings</x:v>
      </x:c>
      <x:c r="F202" t="str">
        <x:v>Bottled Water 1L</x:v>
      </x:c>
      <x:c r="G202" t="str">
        <x:v>Drink</x:v>
      </x:c>
      <x:c r="H202" t="n">
        <x:v>4</x:v>
      </x:c>
      <x:c r="I202" s="14" t="n">
        <x:v>40</x:v>
      </x:c>
      <x:c r="J202" s="14" t="n">
        <x:v>160</x:v>
      </x:c>
      <x:c r="K202" t="str">
        <x:v>DEMO / SIMULATED</x:v>
      </x:c>
    </x:row>
    <x:row r="203">
      <x:c r="A203" t="str">
        <x:v>JFD-20250125-0112</x:v>
      </x:c>
      <x:c r="B203" s="11" t="n">
        <x:v>45682.65833333333</x:v>
      </x:c>
      <x:c r="C203" s="13" t="n">
        <x:v>0.6583333333333333</x:v>
      </x:c>
      <x:c r="D203" t="str">
        <x:v>Damak</x:v>
      </x:c>
      <x:c r="E203" t="str">
        <x:v>Late Night Cravings</x:v>
      </x:c>
      <x:c r="F203" t="str">
        <x:v>Veg Fry Rice</x:v>
      </x:c>
      <x:c r="G203" t="str">
        <x:v>Food</x:v>
      </x:c>
      <x:c r="H203" t="n">
        <x:v>3</x:v>
      </x:c>
      <x:c r="I203" s="14" t="n">
        <x:v>150</x:v>
      </x:c>
      <x:c r="J203" s="14" t="n">
        <x:v>450</x:v>
      </x:c>
      <x:c r="K203" t="str">
        <x:v>DEMO / SIMULATED</x:v>
      </x:c>
    </x:row>
    <x:row r="204">
      <x:c r="A204" t="str">
        <x:v>JFD-20250526-0113</x:v>
      </x:c>
      <x:c r="B204" s="11" t="n">
        <x:v>45803.74097222222</x:v>
      </x:c>
      <x:c r="C204" s="13" t="n">
        <x:v>0.7409722222222223</x:v>
      </x:c>
      <x:c r="D204" t="str">
        <x:v>Damak</x:v>
      </x:c>
      <x:c r="E204" t="str">
        <x:v>Milan’s Bakery</x:v>
      </x:c>
      <x:c r="F204" t="str">
        <x:v>Red Velvet Cake</x:v>
      </x:c>
      <x:c r="G204" t="str">
        <x:v>Food</x:v>
      </x:c>
      <x:c r="H204" t="n">
        <x:v>3</x:v>
      </x:c>
      <x:c r="I204" s="14" t="n">
        <x:v>845</x:v>
      </x:c>
      <x:c r="J204" s="14" t="n">
        <x:v>2535</x:v>
      </x:c>
      <x:c r="K204" t="str">
        <x:v>DEMO / SIMULATED</x:v>
      </x:c>
    </x:row>
    <x:row r="205">
      <x:c r="A205" t="str">
        <x:v>JFD-20250526-0113</x:v>
      </x:c>
      <x:c r="B205" s="11" t="n">
        <x:v>45803.48888888889</x:v>
      </x:c>
      <x:c r="C205" s="13" t="n">
        <x:v>0.4888888888888889</x:v>
      </x:c>
      <x:c r="D205" t="str">
        <x:v>Damak</x:v>
      </x:c>
      <x:c r="E205" t="str">
        <x:v>Milan’s Bakery</x:v>
      </x:c>
      <x:c r="F205" t="str">
        <x:v>Vanilla Cake</x:v>
      </x:c>
      <x:c r="G205" t="str">
        <x:v>Food</x:v>
      </x:c>
      <x:c r="H205" t="n">
        <x:v>1</x:v>
      </x:c>
      <x:c r="I205" s="14" t="n">
        <x:v>280</x:v>
      </x:c>
      <x:c r="J205" s="14" t="n">
        <x:v>280</x:v>
      </x:c>
      <x:c r="K205" t="str">
        <x:v>DEMO / SIMULATED</x:v>
      </x:c>
    </x:row>
    <x:row r="206">
      <x:c r="A206" t="str">
        <x:v>JFD-20250907-0114</x:v>
      </x:c>
      <x:c r="B206" s="11" t="n">
        <x:v>45907.63333333333</x:v>
      </x:c>
      <x:c r="C206" s="13" t="n">
        <x:v>0.6333333333333333</x:v>
      </x:c>
      <x:c r="D206" t="str">
        <x:v>Birtamode</x:v>
      </x:c>
      <x:c r="E206" t="str">
        <x:v>The Underground Cafe &amp; Restaurant</x:v>
      </x:c>
      <x:c r="F206" t="str">
        <x:v>Veg Pakauda</x:v>
      </x:c>
      <x:c r="G206" t="str">
        <x:v>Food</x:v>
      </x:c>
      <x:c r="H206" t="n">
        <x:v>2</x:v>
      </x:c>
      <x:c r="I206" s="14" t="n">
        <x:v>165</x:v>
      </x:c>
      <x:c r="J206" s="14" t="n">
        <x:v>330</x:v>
      </x:c>
      <x:c r="K206" t="str">
        <x:v>DEMO / SIMULATED</x:v>
      </x:c>
    </x:row>
    <x:row r="207">
      <x:c r="A207" t="str">
        <x:v>JFD-20250907-0114</x:v>
      </x:c>
      <x:c r="B207" s="11" t="n">
        <x:v>45907.84722222222</x:v>
      </x:c>
      <x:c r="C207" s="13" t="n">
        <x:v>0.8472222222222222</x:v>
      </x:c>
      <x:c r="D207" t="str">
        <x:v>Birtamode</x:v>
      </x:c>
      <x:c r="E207" t="str">
        <x:v>The Underground Cafe &amp; Restaurant</x:v>
      </x:c>
      <x:c r="F207" t="str">
        <x:v>Aalu Jeera</x:v>
      </x:c>
      <x:c r="G207" t="str">
        <x:v>Food</x:v>
      </x:c>
      <x:c r="H207" t="n">
        <x:v>2</x:v>
      </x:c>
      <x:c r="I207" s="14" t="n">
        <x:v>145</x:v>
      </x:c>
      <x:c r="J207" s="14" t="n">
        <x:v>290</x:v>
      </x:c>
      <x:c r="K207" t="str">
        <x:v>DEMO / SIMULATED</x:v>
      </x:c>
    </x:row>
    <x:row r="208">
      <x:c r="A208" t="str">
        <x:v>JFD-20250907-0114</x:v>
      </x:c>
      <x:c r="B208" s="11" t="n">
        <x:v>45907.575694444444</x:v>
      </x:c>
      <x:c r="C208" s="13" t="n">
        <x:v>0.5756944444444444</x:v>
      </x:c>
      <x:c r="D208" t="str">
        <x:v>Birtamode</x:v>
      </x:c>
      <x:c r="E208" t="str">
        <x:v>The Underground Cafe &amp; Restaurant</x:v>
      </x:c>
      <x:c r="F208" t="str">
        <x:v>Coca-Cola 500ml</x:v>
      </x:c>
      <x:c r="G208" t="str">
        <x:v>Drink</x:v>
      </x:c>
      <x:c r="H208" t="n">
        <x:v>4</x:v>
      </x:c>
      <x:c r="I208" s="14" t="n">
        <x:v>95</x:v>
      </x:c>
      <x:c r="J208" s="14" t="n">
        <x:v>380</x:v>
      </x:c>
      <x:c r="K208" t="str">
        <x:v>DEMO / SIMULATED</x:v>
      </x:c>
    </x:row>
    <x:row r="209">
      <x:c r="A209" t="str">
        <x:v>JFD-20260701-0115</x:v>
      </x:c>
      <x:c r="B209" s="11" t="n">
        <x:v>46204.73055555556</x:v>
      </x:c>
      <x:c r="C209" s="13" t="n">
        <x:v>0.7305555555555555</x:v>
      </x:c>
      <x:c r="D209" t="str">
        <x:v>Birtamode</x:v>
      </x:c>
      <x:c r="E209" t="str">
        <x:v>Pizza Ghar</x:v>
      </x:c>
      <x:c r="F209" t="str">
        <x:v>Coca-Cola 500ml</x:v>
      </x:c>
      <x:c r="G209" t="str">
        <x:v>Drink</x:v>
      </x:c>
      <x:c r="H209" t="n">
        <x:v>2</x:v>
      </x:c>
      <x:c r="I209" s="14" t="n">
        <x:v>100</x:v>
      </x:c>
      <x:c r="J209" s="14" t="n">
        <x:v>200</x:v>
      </x:c>
      <x:c r="K209" t="str">
        <x:v>DEMO / SIMULATED</x:v>
      </x:c>
    </x:row>
    <x:row r="210">
      <x:c r="A210" t="str">
        <x:v>JFD-20260701-0115</x:v>
      </x:c>
      <x:c r="B210" s="11" t="n">
        <x:v>46204.5375</x:v>
      </x:c>
      <x:c r="C210" s="13" t="n">
        <x:v>0.5375</x:v>
      </x:c>
      <x:c r="D210" t="str">
        <x:v>Birtamode</x:v>
      </x:c>
      <x:c r="E210" t="str">
        <x:v>Pizza Ghar</x:v>
      </x:c>
      <x:c r="F210" t="str">
        <x:v>Chicken BBQ Feast Pizza</x:v>
      </x:c>
      <x:c r="G210" t="str">
        <x:v>Food</x:v>
      </x:c>
      <x:c r="H210" t="n">
        <x:v>1</x:v>
      </x:c>
      <x:c r="I210" s="14" t="n">
        <x:v>580</x:v>
      </x:c>
      <x:c r="J210" s="14" t="n">
        <x:v>580</x:v>
      </x:c>
      <x:c r="K210" t="str">
        <x:v>DEMO / SIMULATED</x:v>
      </x:c>
    </x:row>
    <x:row r="211">
      <x:c r="A211" t="str">
        <x:v>JFD-20260701-0115</x:v>
      </x:c>
      <x:c r="B211" s="11" t="n">
        <x:v>46204.58888888889</x:v>
      </x:c>
      <x:c r="C211" s="13" t="n">
        <x:v>0.5888888888888889</x:v>
      </x:c>
      <x:c r="D211" t="str">
        <x:v>Birtamode</x:v>
      </x:c>
      <x:c r="E211" t="str">
        <x:v>Pizza Ghar</x:v>
      </x:c>
      <x:c r="F211" t="str">
        <x:v>Chicken Fried Rice</x:v>
      </x:c>
      <x:c r="G211" t="str">
        <x:v>Food</x:v>
      </x:c>
      <x:c r="H211" t="n">
        <x:v>3</x:v>
      </x:c>
      <x:c r="I211" s="14" t="n">
        <x:v>300</x:v>
      </x:c>
      <x:c r="J211" s="14" t="n">
        <x:v>900</x:v>
      </x:c>
      <x:c r="K211" t="str">
        <x:v>DEMO / SIMULATED</x:v>
      </x:c>
    </x:row>
    <x:row r="212">
      <x:c r="A212" t="str">
        <x:v>JFD-20240401-0116</x:v>
      </x:c>
      <x:c r="B212" s="11" t="n">
        <x:v>45383.50763888889</x:v>
      </x:c>
      <x:c r="C212" s="13" t="n">
        <x:v>0.5076388888888889</x:v>
      </x:c>
      <x:c r="D212" t="str">
        <x:v>Birtamode</x:v>
      </x:c>
      <x:c r="E212" t="str">
        <x:v>Pizza Ghar</x:v>
      </x:c>
      <x:c r="F212" t="str">
        <x:v>Veg Fried Rice</x:v>
      </x:c>
      <x:c r="G212" t="str">
        <x:v>Food</x:v>
      </x:c>
      <x:c r="H212" t="n">
        <x:v>3</x:v>
      </x:c>
      <x:c r="I212" s="14" t="n">
        <x:v>195</x:v>
      </x:c>
      <x:c r="J212" s="14" t="n">
        <x:v>585</x:v>
      </x:c>
      <x:c r="K212" t="str">
        <x:v>DEMO / SIMULATED</x:v>
      </x:c>
    </x:row>
    <x:row r="213">
      <x:c r="A213" t="str">
        <x:v>JFD-20240401-0116</x:v>
      </x:c>
      <x:c r="B213" s="11" t="n">
        <x:v>45383.552083333336</x:v>
      </x:c>
      <x:c r="C213" s="13" t="n">
        <x:v>0.5520833333333334</x:v>
      </x:c>
      <x:c r="D213" t="str">
        <x:v>Birtamode</x:v>
      </x:c>
      <x:c r="E213" t="str">
        <x:v>Pizza Ghar</x:v>
      </x:c>
      <x:c r="F213" t="str">
        <x:v>Bottled Water 1L</x:v>
      </x:c>
      <x:c r="G213" t="str">
        <x:v>Drink</x:v>
      </x:c>
      <x:c r="H213" t="n">
        <x:v>3</x:v>
      </x:c>
      <x:c r="I213" s="14" t="n">
        <x:v>35</x:v>
      </x:c>
      <x:c r="J213" s="14" t="n">
        <x:v>105</x:v>
      </x:c>
      <x:c r="K213" t="str">
        <x:v>DEMO / SIMULATED</x:v>
      </x:c>
    </x:row>
    <x:row r="214">
      <x:c r="A214" t="str">
        <x:v>JFD-20260313-0117</x:v>
      </x:c>
      <x:c r="B214" s="11" t="n">
        <x:v>46094.80694444444</x:v>
      </x:c>
      <x:c r="C214" s="13" t="n">
        <x:v>0.8069444444444445</x:v>
      </x:c>
      <x:c r="D214" t="str">
        <x:v>Damak</x:v>
      </x:c>
      <x:c r="E214" t="str">
        <x:v>Milan’s Bakery</x:v>
      </x:c>
      <x:c r="F214" t="str">
        <x:v>Red Velvet Cake</x:v>
      </x:c>
      <x:c r="G214" t="str">
        <x:v>Food</x:v>
      </x:c>
      <x:c r="H214" t="n">
        <x:v>1</x:v>
      </x:c>
      <x:c r="I214" s="14" t="n">
        <x:v>900</x:v>
      </x:c>
      <x:c r="J214" s="14" t="n">
        <x:v>900</x:v>
      </x:c>
      <x:c r="K214" t="str">
        <x:v>DEMO / SIMULATED</x:v>
      </x:c>
    </x:row>
    <x:row r="215">
      <x:c r="A215" t="str">
        <x:v>JFD-20231231-0118</x:v>
      </x:c>
      <x:c r="B215" s="11" t="n">
        <x:v>45291.62013888889</x:v>
      </x:c>
      <x:c r="C215" s="13" t="n">
        <x:v>0.6201388888888889</x:v>
      </x:c>
      <x:c r="D215" t="str">
        <x:v>Birtamode</x:v>
      </x:c>
      <x:c r="E215" t="str">
        <x:v>Pizza Ghar</x:v>
      </x:c>
      <x:c r="F215" t="str">
        <x:v>Veg Fried Rice</x:v>
      </x:c>
      <x:c r="G215" t="str">
        <x:v>Food</x:v>
      </x:c>
      <x:c r="H215" t="n">
        <x:v>1</x:v>
      </x:c>
      <x:c r="I215" s="14" t="n">
        <x:v>180</x:v>
      </x:c>
      <x:c r="J215" s="14" t="n">
        <x:v>180</x:v>
      </x:c>
      <x:c r="K215" t="str">
        <x:v>DEMO / SIMULATED</x:v>
      </x:c>
    </x:row>
    <x:row r="216">
      <x:c r="A216" t="str">
        <x:v>JFD-20230302-0119</x:v>
      </x:c>
      <x:c r="B216" s="11" t="n">
        <x:v>44987.884722222225</x:v>
      </x:c>
      <x:c r="C216" s="13" t="n">
        <x:v>0.8847222222222222</x:v>
      </x:c>
      <x:c r="D216" t="str">
        <x:v>Birtamode</x:v>
      </x:c>
      <x:c r="E216" t="str">
        <x:v>Pizza Ghar</x:v>
      </x:c>
      <x:c r="F216" t="str">
        <x:v>Coca-Cola 500ml</x:v>
      </x:c>
      <x:c r="G216" t="str">
        <x:v>Drink</x:v>
      </x:c>
      <x:c r="H216" t="n">
        <x:v>3</x:v>
      </x:c>
      <x:c r="I216" s="14" t="n">
        <x:v>80</x:v>
      </x:c>
      <x:c r="J216" s="14" t="n">
        <x:v>240</x:v>
      </x:c>
      <x:c r="K216" t="str">
        <x:v>DEMO / SIMULATED</x:v>
      </x:c>
    </x:row>
    <x:row r="217">
      <x:c r="A217" t="str">
        <x:v>JFD-20230313-0120</x:v>
      </x:c>
      <x:c r="B217" s="11" t="n">
        <x:v>44998.90972222222</x:v>
      </x:c>
      <x:c r="C217" s="13" t="n">
        <x:v>0.9097222222222222</x:v>
      </x:c>
      <x:c r="D217" t="str">
        <x:v>Birtamode</x:v>
      </x:c>
      <x:c r="E217" t="str">
        <x:v>Pizza Ghar</x:v>
      </x:c>
      <x:c r="F217" t="str">
        <x:v>Coca-Cola 500ml</x:v>
      </x:c>
      <x:c r="G217" t="str">
        <x:v>Drink</x:v>
      </x:c>
      <x:c r="H217" t="n">
        <x:v>4</x:v>
      </x:c>
      <x:c r="I217" s="14" t="n">
        <x:v>80</x:v>
      </x:c>
      <x:c r="J217" s="14" t="n">
        <x:v>320</x:v>
      </x:c>
      <x:c r="K217" t="str">
        <x:v>DEMO / SIMULATED</x:v>
      </x:c>
    </x:row>
    <x:row r="218">
      <x:c r="A218" t="str">
        <x:v>JFD-20250113-0121</x:v>
      </x:c>
      <x:c r="B218" s="11" t="n">
        <x:v>45670.76388888889</x:v>
      </x:c>
      <x:c r="C218" s="13" t="n">
        <x:v>0.7638888888888888</x:v>
      </x:c>
      <x:c r="D218" t="str">
        <x:v>Damak</x:v>
      </x:c>
      <x:c r="E218" t="str">
        <x:v>Late Night Cravings</x:v>
      </x:c>
      <x:c r="F218" t="str">
        <x:v>Bottled Water 1L</x:v>
      </x:c>
      <x:c r="G218" t="str">
        <x:v>Drink</x:v>
      </x:c>
      <x:c r="H218" t="n">
        <x:v>3</x:v>
      </x:c>
      <x:c r="I218" s="14" t="n">
        <x:v>40</x:v>
      </x:c>
      <x:c r="J218" s="14" t="n">
        <x:v>120</x:v>
      </x:c>
      <x:c r="K218" t="str">
        <x:v>DEMO / SIMULATED</x:v>
      </x:c>
    </x:row>
    <x:row r="219">
      <x:c r="A219" t="str">
        <x:v>JFD-20230830-0122</x:v>
      </x:c>
      <x:c r="B219" s="11" t="n">
        <x:v>45168.71875</x:v>
      </x:c>
      <x:c r="C219" s="13" t="n">
        <x:v>0.71875</x:v>
      </x:c>
      <x:c r="D219" t="str">
        <x:v>Birtamode</x:v>
      </x:c>
      <x:c r="E219" t="str">
        <x:v>Pizza Ghar</x:v>
      </x:c>
      <x:c r="F219" t="str">
        <x:v>Chicken Fried Rice</x:v>
      </x:c>
      <x:c r="G219" t="str">
        <x:v>Food</x:v>
      </x:c>
      <x:c r="H219" t="n">
        <x:v>1</x:v>
      </x:c>
      <x:c r="I219" s="14" t="n">
        <x:v>245</x:v>
      </x:c>
      <x:c r="J219" s="14" t="n">
        <x:v>245</x:v>
      </x:c>
      <x:c r="K219" t="str">
        <x:v>DEMO / SIMULATED</x:v>
      </x:c>
    </x:row>
    <x:row r="220">
      <x:c r="A220" t="str">
        <x:v>JFD-20250125-0123</x:v>
      </x:c>
      <x:c r="B220" s="11" t="n">
        <x:v>45682.524305555555</x:v>
      </x:c>
      <x:c r="C220" s="13" t="n">
        <x:v>0.5243055555555556</x:v>
      </x:c>
      <x:c r="D220" t="str">
        <x:v>Birtamode</x:v>
      </x:c>
      <x:c r="E220" t="str">
        <x:v>The Underground Cafe &amp; Restaurant</x:v>
      </x:c>
      <x:c r="F220" t="str">
        <x:v>Coca-Cola 500ml</x:v>
      </x:c>
      <x:c r="G220" t="str">
        <x:v>Drink</x:v>
      </x:c>
      <x:c r="H220" t="n">
        <x:v>2</x:v>
      </x:c>
      <x:c r="I220" s="14" t="n">
        <x:v>95</x:v>
      </x:c>
      <x:c r="J220" s="14" t="n">
        <x:v>190</x:v>
      </x:c>
      <x:c r="K220" t="str">
        <x:v>DEMO / SIMULATED</x:v>
      </x:c>
    </x:row>
    <x:row r="221">
      <x:c r="A221" t="str">
        <x:v>JFD-20250125-0123</x:v>
      </x:c>
      <x:c r="B221" s="11" t="n">
        <x:v>45682.88263888889</x:v>
      </x:c>
      <x:c r="C221" s="13" t="n">
        <x:v>0.8826388888888889</x:v>
      </x:c>
      <x:c r="D221" t="str">
        <x:v>Birtamode</x:v>
      </x:c>
      <x:c r="E221" t="str">
        <x:v>The Underground Cafe &amp; Restaurant</x:v>
      </x:c>
      <x:c r="F221" t="str">
        <x:v>Veg Pakauda</x:v>
      </x:c>
      <x:c r="G221" t="str">
        <x:v>Food</x:v>
      </x:c>
      <x:c r="H221" t="n">
        <x:v>2</x:v>
      </x:c>
      <x:c r="I221" s="14" t="n">
        <x:v>165</x:v>
      </x:c>
      <x:c r="J221" s="14" t="n">
        <x:v>330</x:v>
      </x:c>
      <x:c r="K221" t="str">
        <x:v>DEMO / SIMULATED</x:v>
      </x:c>
    </x:row>
    <x:row r="222">
      <x:c r="A222" t="str">
        <x:v>JFD-20231209-0124</x:v>
      </x:c>
      <x:c r="B222" s="11" t="n">
        <x:v>45269.416666666664</x:v>
      </x:c>
      <x:c r="C222" s="13" t="n">
        <x:v>0.4166666666666667</x:v>
      </x:c>
      <x:c r="D222" t="str">
        <x:v>Damak</x:v>
      </x:c>
      <x:c r="E222" t="str">
        <x:v>Late Night Cravings</x:v>
      </x:c>
      <x:c r="F222" t="str">
        <x:v>Mix Fry Rice</x:v>
      </x:c>
      <x:c r="G222" t="str">
        <x:v>Food</x:v>
      </x:c>
      <x:c r="H222" t="n">
        <x:v>2</x:v>
      </x:c>
      <x:c r="I222" s="14" t="n">
        <x:v>230</x:v>
      </x:c>
      <x:c r="J222" s="14" t="n">
        <x:v>460</x:v>
      </x:c>
      <x:c r="K222" t="str">
        <x:v>DEMO / SIMULATED</x:v>
      </x:c>
    </x:row>
    <x:row r="223">
      <x:c r="A223" t="str">
        <x:v>JFD-20260906-0125</x:v>
      </x:c>
      <x:c r="B223" s="11" t="n">
        <x:v>46271.759722222225</x:v>
      </x:c>
      <x:c r="C223" s="13" t="n">
        <x:v>0.7597222222222222</x:v>
      </x:c>
      <x:c r="D223" t="str">
        <x:v>Birtamode</x:v>
      </x:c>
      <x:c r="E223" t="str">
        <x:v>The Underground Cafe &amp; Restaurant</x:v>
      </x:c>
      <x:c r="F223" t="str">
        <x:v>Aalu Jeera</x:v>
      </x:c>
      <x:c r="G223" t="str">
        <x:v>Food</x:v>
      </x:c>
      <x:c r="H223" t="n">
        <x:v>1</x:v>
      </x:c>
      <x:c r="I223" s="14" t="n">
        <x:v>155</x:v>
      </x:c>
      <x:c r="J223" s="14" t="n">
        <x:v>155</x:v>
      </x:c>
      <x:c r="K223" t="str">
        <x:v>DEMO / SIMULATED</x:v>
      </x:c>
    </x:row>
    <x:row r="224">
      <x:c r="A224" t="str">
        <x:v>JFD-20230901-0126</x:v>
      </x:c>
      <x:c r="B224" s="11" t="n">
        <x:v>45170.5875</x:v>
      </x:c>
      <x:c r="C224" s="13" t="n">
        <x:v>0.5875</x:v>
      </x:c>
      <x:c r="D224" t="str">
        <x:v>Damak</x:v>
      </x:c>
      <x:c r="E224" t="str">
        <x:v>Milan’s Bakery</x:v>
      </x:c>
      <x:c r="F224" t="str">
        <x:v>Chocolate Cake</x:v>
      </x:c>
      <x:c r="G224" t="str">
        <x:v>Food</x:v>
      </x:c>
      <x:c r="H224" t="n">
        <x:v>3</x:v>
      </x:c>
      <x:c r="I224" s="14" t="n">
        <x:v>285</x:v>
      </x:c>
      <x:c r="J224" s="14" t="n">
        <x:v>855</x:v>
      </x:c>
      <x:c r="K224" t="str">
        <x:v>DEMO / SIMULATED</x:v>
      </x:c>
    </x:row>
    <x:row r="225">
      <x:c r="A225" t="str">
        <x:v>JFD-20230901-0126</x:v>
      </x:c>
      <x:c r="B225" s="11" t="n">
        <x:v>45170.822916666664</x:v>
      </x:c>
      <x:c r="C225" s="13" t="n">
        <x:v>0.8229166666666666</x:v>
      </x:c>
      <x:c r="D225" t="str">
        <x:v>Damak</x:v>
      </x:c>
      <x:c r="E225" t="str">
        <x:v>Milan’s Bakery</x:v>
      </x:c>
      <x:c r="F225" t="str">
        <x:v>Vanilla Cake</x:v>
      </x:c>
      <x:c r="G225" t="str">
        <x:v>Food</x:v>
      </x:c>
      <x:c r="H225" t="n">
        <x:v>4</x:v>
      </x:c>
      <x:c r="I225" s="14" t="n">
        <x:v>245</x:v>
      </x:c>
      <x:c r="J225" s="14" t="n">
        <x:v>980</x:v>
      </x:c>
      <x:c r="K225" t="str">
        <x:v>DEMO / SIMULATED</x:v>
      </x:c>
    </x:row>
    <x:row r="226">
      <x:c r="A226" t="str">
        <x:v>JFD-20251111-0127</x:v>
      </x:c>
      <x:c r="B226" s="11" t="n">
        <x:v>45972.527083333334</x:v>
      </x:c>
      <x:c r="C226" s="13" t="n">
        <x:v>0.5270833333333333</x:v>
      </x:c>
      <x:c r="D226" t="str">
        <x:v>Damak</x:v>
      </x:c>
      <x:c r="E226" t="str">
        <x:v>Milan’s Bakery</x:v>
      </x:c>
      <x:c r="F226" t="str">
        <x:v>Chocolate Cake</x:v>
      </x:c>
      <x:c r="G226" t="str">
        <x:v>Food</x:v>
      </x:c>
      <x:c r="H226" t="n">
        <x:v>1</x:v>
      </x:c>
      <x:c r="I226" s="14" t="n">
        <x:v>330</x:v>
      </x:c>
      <x:c r="J226" s="14" t="n">
        <x:v>330</x:v>
      </x:c>
      <x:c r="K226" t="str">
        <x:v>DEMO / SIMULATED</x:v>
      </x:c>
    </x:row>
    <x:row r="227">
      <x:c r="A227" t="str">
        <x:v>JFD-20251111-0127</x:v>
      </x:c>
      <x:c r="B227" s="11" t="n">
        <x:v>45972.60555555556</x:v>
      </x:c>
      <x:c r="C227" s="13" t="n">
        <x:v>0.6055555555555555</x:v>
      </x:c>
      <x:c r="D227" t="str">
        <x:v>Damak</x:v>
      </x:c>
      <x:c r="E227" t="str">
        <x:v>Milan’s Bakery</x:v>
      </x:c>
      <x:c r="F227" t="str">
        <x:v>Coca-Cola 500ml</x:v>
      </x:c>
      <x:c r="G227" t="str">
        <x:v>Drink</x:v>
      </x:c>
      <x:c r="H227" t="n">
        <x:v>1</x:v>
      </x:c>
      <x:c r="I227" s="14" t="n">
        <x:v>95</x:v>
      </x:c>
      <x:c r="J227" s="14" t="n">
        <x:v>95</x:v>
      </x:c>
      <x:c r="K227" t="str">
        <x:v>DEMO / SIMULATED</x:v>
      </x:c>
    </x:row>
    <x:row r="228">
      <x:c r="A228" t="str">
        <x:v>JFD-20240224-0128</x:v>
      </x:c>
      <x:c r="B228" s="11" t="n">
        <x:v>45346.63958333333</x:v>
      </x:c>
      <x:c r="C228" s="13" t="n">
        <x:v>0.6395833333333333</x:v>
      </x:c>
      <x:c r="D228" t="str">
        <x:v>Damak</x:v>
      </x:c>
      <x:c r="E228" t="str">
        <x:v>Milan’s Bakery</x:v>
      </x:c>
      <x:c r="F228" t="str">
        <x:v>Red Velvet Cake</x:v>
      </x:c>
      <x:c r="G228" t="str">
        <x:v>Food</x:v>
      </x:c>
      <x:c r="H228" t="n">
        <x:v>3</x:v>
      </x:c>
      <x:c r="I228" s="14" t="n">
        <x:v>790</x:v>
      </x:c>
      <x:c r="J228" s="14" t="n">
        <x:v>2370</x:v>
      </x:c>
      <x:c r="K228" t="str">
        <x:v>DEMO / SIMULATED</x:v>
      </x:c>
    </x:row>
    <x:row r="229">
      <x:c r="A229" t="str">
        <x:v>JFD-20260220-0129</x:v>
      </x:c>
      <x:c r="B229" s="11" t="n">
        <x:v>46073.895833333336</x:v>
      </x:c>
      <x:c r="C229" s="13" t="n">
        <x:v>0.8958333333333334</x:v>
      </x:c>
      <x:c r="D229" t="str">
        <x:v>Damak</x:v>
      </x:c>
      <x:c r="E229" t="str">
        <x:v>Late Night Cravings</x:v>
      </x:c>
      <x:c r="F229" t="str">
        <x:v>Chicken Fry Rice</x:v>
      </x:c>
      <x:c r="G229" t="str">
        <x:v>Food</x:v>
      </x:c>
      <x:c r="H229" t="n">
        <x:v>3</x:v>
      </x:c>
      <x:c r="I229" s="14" t="n">
        <x:v>220</x:v>
      </x:c>
      <x:c r="J229" s="14" t="n">
        <x:v>660</x:v>
      </x:c>
      <x:c r="K229" t="str">
        <x:v>DEMO / SIMULATED</x:v>
      </x:c>
    </x:row>
    <x:row r="230">
      <x:c r="A230" t="str">
        <x:v>JFD-20260220-0129</x:v>
      </x:c>
      <x:c r="B230" s="11" t="n">
        <x:v>46073.584027777775</x:v>
      </x:c>
      <x:c r="C230" s="13" t="n">
        <x:v>0.5840277777777778</x:v>
      </x:c>
      <x:c r="D230" t="str">
        <x:v>Damak</x:v>
      </x:c>
      <x:c r="E230" t="str">
        <x:v>Late Night Cravings</x:v>
      </x:c>
      <x:c r="F230" t="str">
        <x:v>Bottled Water 1L</x:v>
      </x:c>
      <x:c r="G230" t="str">
        <x:v>Drink</x:v>
      </x:c>
      <x:c r="H230" t="n">
        <x:v>3</x:v>
      </x:c>
      <x:c r="I230" s="14" t="n">
        <x:v>40</x:v>
      </x:c>
      <x:c r="J230" s="14" t="n">
        <x:v>120</x:v>
      </x:c>
      <x:c r="K230" t="str">
        <x:v>DEMO / SIMULATED</x:v>
      </x:c>
    </x:row>
    <x:row r="231">
      <x:c r="A231" t="str">
        <x:v>JFD-20260325-0130</x:v>
      </x:c>
      <x:c r="B231" s="11" t="n">
        <x:v>46106.64444444444</x:v>
      </x:c>
      <x:c r="C231" s="13" t="n">
        <x:v>0.6444444444444445</x:v>
      </x:c>
      <x:c r="D231" t="str">
        <x:v>Damak</x:v>
      </x:c>
      <x:c r="E231" t="str">
        <x:v>Late Night Cravings</x:v>
      </x:c>
      <x:c r="F231" t="str">
        <x:v>Mix Fry Rice</x:v>
      </x:c>
      <x:c r="G231" t="str">
        <x:v>Food</x:v>
      </x:c>
      <x:c r="H231" t="n">
        <x:v>3</x:v>
      </x:c>
      <x:c r="I231" s="14" t="n">
        <x:v>280</x:v>
      </x:c>
      <x:c r="J231" s="14" t="n">
        <x:v>840</x:v>
      </x:c>
      <x:c r="K231" t="str">
        <x:v>DEMO / SIMULATED</x:v>
      </x:c>
    </x:row>
    <x:row r="232">
      <x:c r="A232" t="str">
        <x:v>JFD-20240325-0131</x:v>
      </x:c>
      <x:c r="B232" s="11" t="n">
        <x:v>45376.54861111111</x:v>
      </x:c>
      <x:c r="C232" s="13" t="n">
        <x:v>0.5486111111111112</x:v>
      </x:c>
      <x:c r="D232" t="str">
        <x:v>Damak</x:v>
      </x:c>
      <x:c r="E232" t="str">
        <x:v>Late Night Cravings</x:v>
      </x:c>
      <x:c r="F232" t="str">
        <x:v>Egg Fry Rice</x:v>
      </x:c>
      <x:c r="G232" t="str">
        <x:v>Food</x:v>
      </x:c>
      <x:c r="H232" t="n">
        <x:v>4</x:v>
      </x:c>
      <x:c r="I232" s="14" t="n">
        <x:v>175</x:v>
      </x:c>
      <x:c r="J232" s="14" t="n">
        <x:v>700</x:v>
      </x:c>
      <x:c r="K232" t="str">
        <x:v>DEMO / SIMULATED</x:v>
      </x:c>
    </x:row>
    <x:row r="233">
      <x:c r="A233" t="str">
        <x:v>JFD-20240325-0131</x:v>
      </x:c>
      <x:c r="B233" s="11" t="n">
        <x:v>45376.569444444445</x:v>
      </x:c>
      <x:c r="C233" s="13" t="n">
        <x:v>0.5694444444444444</x:v>
      </x:c>
      <x:c r="D233" t="str">
        <x:v>Damak</x:v>
      </x:c>
      <x:c r="E233" t="str">
        <x:v>Late Night Cravings</x:v>
      </x:c>
      <x:c r="F233" t="str">
        <x:v>Bottled Water 1L</x:v>
      </x:c>
      <x:c r="G233" t="str">
        <x:v>Drink</x:v>
      </x:c>
      <x:c r="H233" t="n">
        <x:v>1</x:v>
      </x:c>
      <x:c r="I233" s="14" t="n">
        <x:v>35</x:v>
      </x:c>
      <x:c r="J233" s="14" t="n">
        <x:v>35</x:v>
      </x:c>
      <x:c r="K233" t="str">
        <x:v>DEMO / SIMULATED</x:v>
      </x:c>
    </x:row>
    <x:row r="234">
      <x:c r="A234" t="str">
        <x:v>JFD-20250601-0132</x:v>
      </x:c>
      <x:c r="B234" s="11" t="n">
        <x:v>45809.63680555556</x:v>
      </x:c>
      <x:c r="C234" s="13" t="n">
        <x:v>0.6368055555555555</x:v>
      </x:c>
      <x:c r="D234" t="str">
        <x:v>Damak</x:v>
      </x:c>
      <x:c r="E234" t="str">
        <x:v>Milan’s Bakery</x:v>
      </x:c>
      <x:c r="F234" t="str">
        <x:v>Chocolate Cake</x:v>
      </x:c>
      <x:c r="G234" t="str">
        <x:v>Food</x:v>
      </x:c>
      <x:c r="H234" t="n">
        <x:v>2</x:v>
      </x:c>
      <x:c r="I234" s="14" t="n">
        <x:v>330</x:v>
      </x:c>
      <x:c r="J234" s="14" t="n">
        <x:v>660</x:v>
      </x:c>
      <x:c r="K234" t="str">
        <x:v>DEMO / SIMULATED</x:v>
      </x:c>
    </x:row>
    <x:row r="235">
      <x:c r="A235" t="str">
        <x:v>JFD-20250601-0132</x:v>
      </x:c>
      <x:c r="B235" s="11" t="n">
        <x:v>45809.56527777778</x:v>
      </x:c>
      <x:c r="C235" s="13" t="n">
        <x:v>0.5652777777777778</x:v>
      </x:c>
      <x:c r="D235" t="str">
        <x:v>Damak</x:v>
      </x:c>
      <x:c r="E235" t="str">
        <x:v>Milan’s Bakery</x:v>
      </x:c>
      <x:c r="F235" t="str">
        <x:v>Red Velvet Cake</x:v>
      </x:c>
      <x:c r="G235" t="str">
        <x:v>Food</x:v>
      </x:c>
      <x:c r="H235" t="n">
        <x:v>1</x:v>
      </x:c>
      <x:c r="I235" s="14" t="n">
        <x:v>845</x:v>
      </x:c>
      <x:c r="J235" s="14" t="n">
        <x:v>845</x:v>
      </x:c>
      <x:c r="K235" t="str">
        <x:v>DEMO / SIMULATED</x:v>
      </x:c>
    </x:row>
    <x:row r="236">
      <x:c r="A236" t="str">
        <x:v>JFD-20250710-0133</x:v>
      </x:c>
      <x:c r="B236" s="11" t="n">
        <x:v>45848.60486111111</x:v>
      </x:c>
      <x:c r="C236" s="13" t="n">
        <x:v>0.6048611111111111</x:v>
      </x:c>
      <x:c r="D236" t="str">
        <x:v>Damak</x:v>
      </x:c>
      <x:c r="E236" t="str">
        <x:v>Late Night Cravings</x:v>
      </x:c>
      <x:c r="F236" t="str">
        <x:v>Chicken Fry Rice</x:v>
      </x:c>
      <x:c r="G236" t="str">
        <x:v>Food</x:v>
      </x:c>
      <x:c r="H236" t="n">
        <x:v>2</x:v>
      </x:c>
      <x:c r="I236" s="14" t="n">
        <x:v>205</x:v>
      </x:c>
      <x:c r="J236" s="14" t="n">
        <x:v>410</x:v>
      </x:c>
      <x:c r="K236" t="str">
        <x:v>DEMO / SIMULATED</x:v>
      </x:c>
    </x:row>
    <x:row r="237">
      <x:c r="A237" t="str">
        <x:v>JFD-20250710-0133</x:v>
      </x:c>
      <x:c r="B237" s="11" t="n">
        <x:v>45848.51597222222</x:v>
      </x:c>
      <x:c r="C237" s="13" t="n">
        <x:v>0.5159722222222223</x:v>
      </x:c>
      <x:c r="D237" t="str">
        <x:v>Damak</x:v>
      </x:c>
      <x:c r="E237" t="str">
        <x:v>Late Night Cravings</x:v>
      </x:c>
      <x:c r="F237" t="str">
        <x:v>Egg Fry Rice</x:v>
      </x:c>
      <x:c r="G237" t="str">
        <x:v>Food</x:v>
      </x:c>
      <x:c r="H237" t="n">
        <x:v>1</x:v>
      </x:c>
      <x:c r="I237" s="14" t="n">
        <x:v>190</x:v>
      </x:c>
      <x:c r="J237" s="14" t="n">
        <x:v>190</x:v>
      </x:c>
      <x:c r="K237" t="str">
        <x:v>DEMO / SIMULATED</x:v>
      </x:c>
    </x:row>
    <x:row r="238">
      <x:c r="A238" t="str">
        <x:v>JFD-20250710-0133</x:v>
      </x:c>
      <x:c r="B238" s="11" t="n">
        <x:v>45848.55694444444</x:v>
      </x:c>
      <x:c r="C238" s="13" t="n">
        <x:v>0.5569444444444445</x:v>
      </x:c>
      <x:c r="D238" t="str">
        <x:v>Damak</x:v>
      </x:c>
      <x:c r="E238" t="str">
        <x:v>Late Night Cravings</x:v>
      </x:c>
      <x:c r="F238" t="str">
        <x:v>Veg Fry Rice</x:v>
      </x:c>
      <x:c r="G238" t="str">
        <x:v>Food</x:v>
      </x:c>
      <x:c r="H238" t="n">
        <x:v>2</x:v>
      </x:c>
      <x:c r="I238" s="14" t="n">
        <x:v>150</x:v>
      </x:c>
      <x:c r="J238" s="14" t="n">
        <x:v>300</x:v>
      </x:c>
      <x:c r="K238" t="str">
        <x:v>DEMO / SIMULATED</x:v>
      </x:c>
    </x:row>
    <x:row r="239">
      <x:c r="A239" t="str">
        <x:v>JFD-20250120-0134</x:v>
      </x:c>
      <x:c r="B239" s="11" t="n">
        <x:v>45677.79583333333</x:v>
      </x:c>
      <x:c r="C239" s="13" t="n">
        <x:v>0.7958333333333333</x:v>
      </x:c>
      <x:c r="D239" t="str">
        <x:v>Damak</x:v>
      </x:c>
      <x:c r="E239" t="str">
        <x:v>Milan’s Bakery</x:v>
      </x:c>
      <x:c r="F239" t="str">
        <x:v>Vanilla Cake</x:v>
      </x:c>
      <x:c r="G239" t="str">
        <x:v>Food</x:v>
      </x:c>
      <x:c r="H239" t="n">
        <x:v>4</x:v>
      </x:c>
      <x:c r="I239" s="14" t="n">
        <x:v>280</x:v>
      </x:c>
      <x:c r="J239" s="14" t="n">
        <x:v>1120</x:v>
      </x:c>
      <x:c r="K239" t="str">
        <x:v>DEMO / SIMULATED</x:v>
      </x:c>
    </x:row>
    <x:row r="240">
      <x:c r="A240" t="str">
        <x:v>JFD-20250120-0134</x:v>
      </x:c>
      <x:c r="B240" s="11" t="n">
        <x:v>45677.78888888889</x:v>
      </x:c>
      <x:c r="C240" s="13" t="n">
        <x:v>0.7888888888888889</x:v>
      </x:c>
      <x:c r="D240" t="str">
        <x:v>Damak</x:v>
      </x:c>
      <x:c r="E240" t="str">
        <x:v>Milan’s Bakery</x:v>
      </x:c>
      <x:c r="F240" t="str">
        <x:v>Chocolate Cake</x:v>
      </x:c>
      <x:c r="G240" t="str">
        <x:v>Food</x:v>
      </x:c>
      <x:c r="H240" t="n">
        <x:v>4</x:v>
      </x:c>
      <x:c r="I240" s="14" t="n">
        <x:v>330</x:v>
      </x:c>
      <x:c r="J240" s="14" t="n">
        <x:v>1320</x:v>
      </x:c>
      <x:c r="K240" t="str">
        <x:v>DEMO / SIMULATED</x:v>
      </x:c>
    </x:row>
    <x:row r="241">
      <x:c r="A241" t="str">
        <x:v>JFD-20241207-0135</x:v>
      </x:c>
      <x:c r="B241" s="11" t="n">
        <x:v>45633.84305555555</x:v>
      </x:c>
      <x:c r="C241" s="13" t="n">
        <x:v>0.8430555555555556</x:v>
      </x:c>
      <x:c r="D241" t="str">
        <x:v>Birtamode</x:v>
      </x:c>
      <x:c r="E241" t="str">
        <x:v>The Underground Cafe &amp; Restaurant</x:v>
      </x:c>
      <x:c r="F241" t="str">
        <x:v>Veg Pakauda</x:v>
      </x:c>
      <x:c r="G241" t="str">
        <x:v>Food</x:v>
      </x:c>
      <x:c r="H241" t="n">
        <x:v>2</x:v>
      </x:c>
      <x:c r="I241" s="14" t="n">
        <x:v>155</x:v>
      </x:c>
      <x:c r="J241" s="14" t="n">
        <x:v>310</x:v>
      </x:c>
      <x:c r="K241" t="str">
        <x:v>DEMO / SIMULATED</x:v>
      </x:c>
    </x:row>
    <x:row r="242">
      <x:c r="A242" t="str">
        <x:v>JFD-20230904-0136</x:v>
      </x:c>
      <x:c r="B242" s="11" t="n">
        <x:v>45173.424305555556</x:v>
      </x:c>
      <x:c r="C242" s="13" t="n">
        <x:v>0.42430555555555555</x:v>
      </x:c>
      <x:c r="D242" t="str">
        <x:v>Birtamode</x:v>
      </x:c>
      <x:c r="E242" t="str">
        <x:v>Pizza Ghar</x:v>
      </x:c>
      <x:c r="F242" t="str">
        <x:v>Coca-Cola 500ml</x:v>
      </x:c>
      <x:c r="G242" t="str">
        <x:v>Drink</x:v>
      </x:c>
      <x:c r="H242" t="n">
        <x:v>3</x:v>
      </x:c>
      <x:c r="I242" s="14" t="n">
        <x:v>80</x:v>
      </x:c>
      <x:c r="J242" s="14" t="n">
        <x:v>240</x:v>
      </x:c>
      <x:c r="K242" t="str">
        <x:v>DEMO / SIMULATED</x:v>
      </x:c>
    </x:row>
    <x:row r="243">
      <x:c r="A243" t="str">
        <x:v>JFD-20230904-0136</x:v>
      </x:c>
      <x:c r="B243" s="11" t="n">
        <x:v>45173.600694444445</x:v>
      </x:c>
      <x:c r="C243" s="13" t="n">
        <x:v>0.6006944444444444</x:v>
      </x:c>
      <x:c r="D243" t="str">
        <x:v>Birtamode</x:v>
      </x:c>
      <x:c r="E243" t="str">
        <x:v>Pizza Ghar</x:v>
      </x:c>
      <x:c r="F243" t="str">
        <x:v>Veg Fried Rice</x:v>
      </x:c>
      <x:c r="G243" t="str">
        <x:v>Food</x:v>
      </x:c>
      <x:c r="H243" t="n">
        <x:v>3</x:v>
      </x:c>
      <x:c r="I243" s="14" t="n">
        <x:v>180</x:v>
      </x:c>
      <x:c r="J243" s="14" t="n">
        <x:v>540</x:v>
      </x:c>
      <x:c r="K243" t="str">
        <x:v>DEMO / SIMULATED</x:v>
      </x:c>
    </x:row>
    <x:row r="244">
      <x:c r="A244" t="str">
        <x:v>JFD-20240129-0137</x:v>
      </x:c>
      <x:c r="B244" s="11" t="n">
        <x:v>45320.811111111114</x:v>
      </x:c>
      <x:c r="C244" s="13" t="n">
        <x:v>0.8111111111111111</x:v>
      </x:c>
      <x:c r="D244" t="str">
        <x:v>Birtamode</x:v>
      </x:c>
      <x:c r="E244" t="str">
        <x:v>The Underground Cafe &amp; Restaurant</x:v>
      </x:c>
      <x:c r="F244" t="str">
        <x:v>Veg Pakauda</x:v>
      </x:c>
      <x:c r="G244" t="str">
        <x:v>Food</x:v>
      </x:c>
      <x:c r="H244" t="n">
        <x:v>2</x:v>
      </x:c>
      <x:c r="I244" s="14" t="n">
        <x:v>155</x:v>
      </x:c>
      <x:c r="J244" s="14" t="n">
        <x:v>310</x:v>
      </x:c>
      <x:c r="K244" t="str">
        <x:v>DEMO / SIMULATED</x:v>
      </x:c>
    </x:row>
    <x:row r="245">
      <x:c r="A245" t="str">
        <x:v>JFD-20230512-0138</x:v>
      </x:c>
      <x:c r="B245" s="11" t="n">
        <x:v>45058.80625</x:v>
      </x:c>
      <x:c r="C245" s="13" t="n">
        <x:v>0.80625</x:v>
      </x:c>
      <x:c r="D245" t="str">
        <x:v>Damak</x:v>
      </x:c>
      <x:c r="E245" t="str">
        <x:v>Late Night Cravings</x:v>
      </x:c>
      <x:c r="F245" t="str">
        <x:v>Egg Fry Rice</x:v>
      </x:c>
      <x:c r="G245" t="str">
        <x:v>Food</x:v>
      </x:c>
      <x:c r="H245" t="n">
        <x:v>4</x:v>
      </x:c>
      <x:c r="I245" s="14" t="n">
        <x:v>165</x:v>
      </x:c>
      <x:c r="J245" s="14" t="n">
        <x:v>660</x:v>
      </x:c>
      <x:c r="K245" t="str">
        <x:v>DEMO / SIMULATED</x:v>
      </x:c>
    </x:row>
    <x:row r="246">
      <x:c r="A246" t="str">
        <x:v>JFD-20230210-0139</x:v>
      </x:c>
      <x:c r="B246" s="11" t="n">
        <x:v>44967.57986111111</x:v>
      </x:c>
      <x:c r="C246" s="13" t="n">
        <x:v>0.5798611111111112</x:v>
      </x:c>
      <x:c r="D246" t="str">
        <x:v>Birtamode</x:v>
      </x:c>
      <x:c r="E246" t="str">
        <x:v>The Underground Cafe &amp; Restaurant</x:v>
      </x:c>
      <x:c r="F246" t="str">
        <x:v>Veg Pakauda</x:v>
      </x:c>
      <x:c r="G246" t="str">
        <x:v>Food</x:v>
      </x:c>
      <x:c r="H246" t="n">
        <x:v>4</x:v>
      </x:c>
      <x:c r="I246" s="14" t="n">
        <x:v>145</x:v>
      </x:c>
      <x:c r="J246" s="14" t="n">
        <x:v>580</x:v>
      </x:c>
      <x:c r="K246" t="str">
        <x:v>DEMO / SIMULATED</x:v>
      </x:c>
    </x:row>
    <x:row r="247">
      <x:c r="A247" t="str">
        <x:v>JFD-20230210-0139</x:v>
      </x:c>
      <x:c r="B247" s="11" t="n">
        <x:v>44967.83541666667</x:v>
      </x:c>
      <x:c r="C247" s="13" t="n">
        <x:v>0.8354166666666667</x:v>
      </x:c>
      <x:c r="D247" t="str">
        <x:v>Birtamode</x:v>
      </x:c>
      <x:c r="E247" t="str">
        <x:v>The Underground Cafe &amp; Restaurant</x:v>
      </x:c>
      <x:c r="F247" t="str">
        <x:v>Paneer Pakauda</x:v>
      </x:c>
      <x:c r="G247" t="str">
        <x:v>Food</x:v>
      </x:c>
      <x:c r="H247" t="n">
        <x:v>3</x:v>
      </x:c>
      <x:c r="I247" s="14" t="n">
        <x:v>185</x:v>
      </x:c>
      <x:c r="J247" s="14" t="n">
        <x:v>555</x:v>
      </x:c>
      <x:c r="K247" t="str">
        <x:v>DEMO / SIMULATED</x:v>
      </x:c>
    </x:row>
    <x:row r="248">
      <x:c r="A248" t="str">
        <x:v>JFD-20250521-0140</x:v>
      </x:c>
      <x:c r="B248" s="11" t="n">
        <x:v>45798.8625</x:v>
      </x:c>
      <x:c r="C248" s="13" t="n">
        <x:v>0.8625</x:v>
      </x:c>
      <x:c r="D248" t="str">
        <x:v>Birtamode</x:v>
      </x:c>
      <x:c r="E248" t="str">
        <x:v>Pizza Ghar</x:v>
      </x:c>
      <x:c r="F248" t="str">
        <x:v>Chicken BBQ Feast Pizza</x:v>
      </x:c>
      <x:c r="G248" t="str">
        <x:v>Food</x:v>
      </x:c>
      <x:c r="H248" t="n">
        <x:v>4</x:v>
      </x:c>
      <x:c r="I248" s="14" t="n">
        <x:v>545</x:v>
      </x:c>
      <x:c r="J248" s="14" t="n">
        <x:v>2180</x:v>
      </x:c>
      <x:c r="K248" t="str">
        <x:v>DEMO / SIMULATED</x:v>
      </x:c>
    </x:row>
    <x:row r="249">
      <x:c r="A249" t="str">
        <x:v>JFD-20241024-0141</x:v>
      </x:c>
      <x:c r="B249" s="11" t="n">
        <x:v>45589.544444444444</x:v>
      </x:c>
      <x:c r="C249" s="13" t="n">
        <x:v>0.5444444444444444</x:v>
      </x:c>
      <x:c r="D249" t="str">
        <x:v>Birtamode</x:v>
      </x:c>
      <x:c r="E249" t="str">
        <x:v>The Underground Cafe &amp; Restaurant</x:v>
      </x:c>
      <x:c r="F249" t="str">
        <x:v>Coca-Cola 500ml</x:v>
      </x:c>
      <x:c r="G249" t="str">
        <x:v>Drink</x:v>
      </x:c>
      <x:c r="H249" t="n">
        <x:v>2</x:v>
      </x:c>
      <x:c r="I249" s="14" t="n">
        <x:v>90</x:v>
      </x:c>
      <x:c r="J249" s="14" t="n">
        <x:v>180</x:v>
      </x:c>
      <x:c r="K249" t="str">
        <x:v>DEMO / SIMULATED</x:v>
      </x:c>
    </x:row>
    <x:row r="250">
      <x:c r="A250" t="str">
        <x:v>JFD-20241024-0141</x:v>
      </x:c>
      <x:c r="B250" s="11" t="n">
        <x:v>45589.57708333333</x:v>
      </x:c>
      <x:c r="C250" s="13" t="n">
        <x:v>0.5770833333333333</x:v>
      </x:c>
      <x:c r="D250" t="str">
        <x:v>Birtamode</x:v>
      </x:c>
      <x:c r="E250" t="str">
        <x:v>The Underground Cafe &amp; Restaurant</x:v>
      </x:c>
      <x:c r="F250" t="str">
        <x:v>Veg Pakauda</x:v>
      </x:c>
      <x:c r="G250" t="str">
        <x:v>Food</x:v>
      </x:c>
      <x:c r="H250" t="n">
        <x:v>1</x:v>
      </x:c>
      <x:c r="I250" s="14" t="n">
        <x:v>155</x:v>
      </x:c>
      <x:c r="J250" s="14" t="n">
        <x:v>155</x:v>
      </x:c>
      <x:c r="K250" t="str">
        <x:v>DEMO / SIMULATED</x:v>
      </x:c>
    </x:row>
    <x:row r="251">
      <x:c r="A251" t="str">
        <x:v>JFD-20251022-0142</x:v>
      </x:c>
      <x:c r="B251" s="11" t="n">
        <x:v>45952.845138888886</x:v>
      </x:c>
      <x:c r="C251" s="13" t="n">
        <x:v>0.8451388888888889</x:v>
      </x:c>
      <x:c r="D251" t="str">
        <x:v>Damak</x:v>
      </x:c>
      <x:c r="E251" t="str">
        <x:v>Late Night Cravings</x:v>
      </x:c>
      <x:c r="F251" t="str">
        <x:v>Chicken Fry Rice</x:v>
      </x:c>
      <x:c r="G251" t="str">
        <x:v>Food</x:v>
      </x:c>
      <x:c r="H251" t="n">
        <x:v>2</x:v>
      </x:c>
      <x:c r="I251" s="14" t="n">
        <x:v>205</x:v>
      </x:c>
      <x:c r="J251" s="14" t="n">
        <x:v>410</x:v>
      </x:c>
      <x:c r="K251" t="str">
        <x:v>DEMO / SIMULATED</x:v>
      </x:c>
    </x:row>
    <x:row r="252">
      <x:c r="A252" t="str">
        <x:v>JFD-20250521-0143</x:v>
      </x:c>
      <x:c r="B252" s="11" t="n">
        <x:v>45798.53125</x:v>
      </x:c>
      <x:c r="C252" s="13" t="n">
        <x:v>0.53125</x:v>
      </x:c>
      <x:c r="D252" t="str">
        <x:v>Damak</x:v>
      </x:c>
      <x:c r="E252" t="str">
        <x:v>Milan’s Bakery</x:v>
      </x:c>
      <x:c r="F252" t="str">
        <x:v>Bottled Water 1L</x:v>
      </x:c>
      <x:c r="G252" t="str">
        <x:v>Drink</x:v>
      </x:c>
      <x:c r="H252" t="n">
        <x:v>4</x:v>
      </x:c>
      <x:c r="I252" s="14" t="n">
        <x:v>40</x:v>
      </x:c>
      <x:c r="J252" s="14" t="n">
        <x:v>160</x:v>
      </x:c>
      <x:c r="K252" t="str">
        <x:v>DEMO / SIMULATED</x:v>
      </x:c>
    </x:row>
    <x:row r="253">
      <x:c r="A253" t="str">
        <x:v>JFD-20250521-0143</x:v>
      </x:c>
      <x:c r="B253" s="11" t="n">
        <x:v>45798.45763888889</x:v>
      </x:c>
      <x:c r="C253" s="13" t="n">
        <x:v>0.4576388888888889</x:v>
      </x:c>
      <x:c r="D253" t="str">
        <x:v>Damak</x:v>
      </x:c>
      <x:c r="E253" t="str">
        <x:v>Milan’s Bakery</x:v>
      </x:c>
      <x:c r="F253" t="str">
        <x:v>Vanilla Cake</x:v>
      </x:c>
      <x:c r="G253" t="str">
        <x:v>Food</x:v>
      </x:c>
      <x:c r="H253" t="n">
        <x:v>1</x:v>
      </x:c>
      <x:c r="I253" s="14" t="n">
        <x:v>280</x:v>
      </x:c>
      <x:c r="J253" s="14" t="n">
        <x:v>280</x:v>
      </x:c>
      <x:c r="K253" t="str">
        <x:v>DEMO / SIMULATED</x:v>
      </x:c>
    </x:row>
    <x:row r="254">
      <x:c r="A254" t="str">
        <x:v>JFD-20260407-0144</x:v>
      </x:c>
      <x:c r="B254" s="11" t="n">
        <x:v>46119.586805555555</x:v>
      </x:c>
      <x:c r="C254" s="13" t="n">
        <x:v>0.5868055555555556</x:v>
      </x:c>
      <x:c r="D254" t="str">
        <x:v>Damak</x:v>
      </x:c>
      <x:c r="E254" t="str">
        <x:v>Milan’s Bakery</x:v>
      </x:c>
      <x:c r="F254" t="str">
        <x:v>Chocolate Cake</x:v>
      </x:c>
      <x:c r="G254" t="str">
        <x:v>Food</x:v>
      </x:c>
      <x:c r="H254" t="n">
        <x:v>2</x:v>
      </x:c>
      <x:c r="I254" s="14" t="n">
        <x:v>350</x:v>
      </x:c>
      <x:c r="J254" s="14" t="n">
        <x:v>700</x:v>
      </x:c>
      <x:c r="K254" t="str">
        <x:v>DEMO / SIMULATED</x:v>
      </x:c>
    </x:row>
    <x:row r="255">
      <x:c r="A255" t="str">
        <x:v>JFD-20241217-0145</x:v>
      </x:c>
      <x:c r="B255" s="11" t="n">
        <x:v>45643.59444444445</x:v>
      </x:c>
      <x:c r="C255" s="13" t="n">
        <x:v>0.5944444444444444</x:v>
      </x:c>
      <x:c r="D255" t="str">
        <x:v>Birtamode</x:v>
      </x:c>
      <x:c r="E255" t="str">
        <x:v>Pizza Ghar</x:v>
      </x:c>
      <x:c r="F255" t="str">
        <x:v>Veg Fried Rice</x:v>
      </x:c>
      <x:c r="G255" t="str">
        <x:v>Food</x:v>
      </x:c>
      <x:c r="H255" t="n">
        <x:v>2</x:v>
      </x:c>
      <x:c r="I255" s="14" t="n">
        <x:v>195</x:v>
      </x:c>
      <x:c r="J255" s="14" t="n">
        <x:v>390</x:v>
      </x:c>
      <x:c r="K255" t="str">
        <x:v>DEMO / SIMULATED</x:v>
      </x:c>
    </x:row>
    <x:row r="256">
      <x:c r="A256" t="str">
        <x:v>JFD-20241217-0145</x:v>
      </x:c>
      <x:c r="B256" s="11" t="n">
        <x:v>45643.85833333333</x:v>
      </x:c>
      <x:c r="C256" s="13" t="n">
        <x:v>0.8583333333333333</x:v>
      </x:c>
      <x:c r="D256" t="str">
        <x:v>Birtamode</x:v>
      </x:c>
      <x:c r="E256" t="str">
        <x:v>Pizza Ghar</x:v>
      </x:c>
      <x:c r="F256" t="str">
        <x:v>Chicken BBQ Feast Pizza</x:v>
      </x:c>
      <x:c r="G256" t="str">
        <x:v>Food</x:v>
      </x:c>
      <x:c r="H256" t="n">
        <x:v>4</x:v>
      </x:c>
      <x:c r="I256" s="14" t="n">
        <x:v>510</x:v>
      </x:c>
      <x:c r="J256" s="14" t="n">
        <x:v>2040</x:v>
      </x:c>
      <x:c r="K256" t="str">
        <x:v>DEMO / SIMULATED</x:v>
      </x:c>
    </x:row>
    <x:row r="257">
      <x:c r="A257" t="str">
        <x:v>JFD-20250120-0146</x:v>
      </x:c>
      <x:c r="B257" s="11" t="n">
        <x:v>45677.71388888889</x:v>
      </x:c>
      <x:c r="C257" s="13" t="n">
        <x:v>0.7138888888888889</x:v>
      </x:c>
      <x:c r="D257" t="str">
        <x:v>Birtamode</x:v>
      </x:c>
      <x:c r="E257" t="str">
        <x:v>The Underground Cafe &amp; Restaurant</x:v>
      </x:c>
      <x:c r="F257" t="str">
        <x:v>Aalu Jeera</x:v>
      </x:c>
      <x:c r="G257" t="str">
        <x:v>Food</x:v>
      </x:c>
      <x:c r="H257" t="n">
        <x:v>2</x:v>
      </x:c>
      <x:c r="I257" s="14" t="n">
        <x:v>145</x:v>
      </x:c>
      <x:c r="J257" s="14" t="n">
        <x:v>290</x:v>
      </x:c>
      <x:c r="K257" t="str">
        <x:v>DEMO / SIMULATED</x:v>
      </x:c>
    </x:row>
    <x:row r="258">
      <x:c r="A258" t="str">
        <x:v>JFD-20260516-0147</x:v>
      </x:c>
      <x:c r="B258" s="11" t="n">
        <x:v>46158.63958333333</x:v>
      </x:c>
      <x:c r="C258" s="13" t="n">
        <x:v>0.6395833333333333</x:v>
      </x:c>
      <x:c r="D258" t="str">
        <x:v>Birtamode</x:v>
      </x:c>
      <x:c r="E258" t="str">
        <x:v>The Underground Cafe &amp; Restaurant</x:v>
      </x:c>
      <x:c r="F258" t="str">
        <x:v>Bottled Water 1L</x:v>
      </x:c>
      <x:c r="G258" t="str">
        <x:v>Drink</x:v>
      </x:c>
      <x:c r="H258" t="n">
        <x:v>2</x:v>
      </x:c>
      <x:c r="I258" s="14" t="n">
        <x:v>40</x:v>
      </x:c>
      <x:c r="J258" s="14" t="n">
        <x:v>80</x:v>
      </x:c>
      <x:c r="K258" t="str">
        <x:v>DEMO / SIMULATED</x:v>
      </x:c>
    </x:row>
    <x:row r="259">
      <x:c r="A259" t="str">
        <x:v>JFD-20260516-0147</x:v>
      </x:c>
      <x:c r="B259" s="11" t="n">
        <x:v>46158.697222222225</x:v>
      </x:c>
      <x:c r="C259" s="13" t="n">
        <x:v>0.6972222222222222</x:v>
      </x:c>
      <x:c r="D259" t="str">
        <x:v>Birtamode</x:v>
      </x:c>
      <x:c r="E259" t="str">
        <x:v>The Underground Cafe &amp; Restaurant</x:v>
      </x:c>
      <x:c r="F259" t="str">
        <x:v>Paneer Pakauda</x:v>
      </x:c>
      <x:c r="G259" t="str">
        <x:v>Food</x:v>
      </x:c>
      <x:c r="H259" t="n">
        <x:v>2</x:v>
      </x:c>
      <x:c r="I259" s="14" t="n">
        <x:v>225</x:v>
      </x:c>
      <x:c r="J259" s="14" t="n">
        <x:v>450</x:v>
      </x:c>
      <x:c r="K259" t="str">
        <x:v>DEMO / SIMULATED</x:v>
      </x:c>
    </x:row>
    <x:row r="260">
      <x:c r="A260" t="str">
        <x:v>JFD-20260516-0147</x:v>
      </x:c>
      <x:c r="B260" s="11" t="n">
        <x:v>46158.82361111111</x:v>
      </x:c>
      <x:c r="C260" s="13" t="n">
        <x:v>0.8236111111111111</x:v>
      </x:c>
      <x:c r="D260" t="str">
        <x:v>Birtamode</x:v>
      </x:c>
      <x:c r="E260" t="str">
        <x:v>The Underground Cafe &amp; Restaurant</x:v>
      </x:c>
      <x:c r="F260" t="str">
        <x:v>Veg Pakauda</x:v>
      </x:c>
      <x:c r="G260" t="str">
        <x:v>Food</x:v>
      </x:c>
      <x:c r="H260" t="n">
        <x:v>4</x:v>
      </x:c>
      <x:c r="I260" s="14" t="n">
        <x:v>175</x:v>
      </x:c>
      <x:c r="J260" s="14" t="n">
        <x:v>700</x:v>
      </x:c>
      <x:c r="K260" t="str">
        <x:v>DEMO / SIMULATED</x:v>
      </x:c>
    </x:row>
    <x:row r="261">
      <x:c r="A261" t="str">
        <x:v>JFD-20240201-0148</x:v>
      </x:c>
      <x:c r="B261" s="11" t="n">
        <x:v>45323.708333333336</x:v>
      </x:c>
      <x:c r="C261" s="13" t="n">
        <x:v>0.7083333333333334</x:v>
      </x:c>
      <x:c r="D261" t="str">
        <x:v>Birtamode</x:v>
      </x:c>
      <x:c r="E261" t="str">
        <x:v>The Underground Cafe &amp; Restaurant</x:v>
      </x:c>
      <x:c r="F261" t="str">
        <x:v>Veg Pakauda</x:v>
      </x:c>
      <x:c r="G261" t="str">
        <x:v>Food</x:v>
      </x:c>
      <x:c r="H261" t="n">
        <x:v>2</x:v>
      </x:c>
      <x:c r="I261" s="14" t="n">
        <x:v>155</x:v>
      </x:c>
      <x:c r="J261" s="14" t="n">
        <x:v>310</x:v>
      </x:c>
      <x:c r="K261" t="str">
        <x:v>DEMO / SIMULATED</x:v>
      </x:c>
    </x:row>
    <x:row r="262">
      <x:c r="A262" t="str">
        <x:v>JFD-20240201-0148</x:v>
      </x:c>
      <x:c r="B262" s="11" t="n">
        <x:v>45323.44375</x:v>
      </x:c>
      <x:c r="C262" s="13" t="n">
        <x:v>0.44375</x:v>
      </x:c>
      <x:c r="D262" t="str">
        <x:v>Birtamode</x:v>
      </x:c>
      <x:c r="E262" t="str">
        <x:v>The Underground Cafe &amp; Restaurant</x:v>
      </x:c>
      <x:c r="F262" t="str">
        <x:v>Bottled Water 1L</x:v>
      </x:c>
      <x:c r="G262" t="str">
        <x:v>Drink</x:v>
      </x:c>
      <x:c r="H262" t="n">
        <x:v>3</x:v>
      </x:c>
      <x:c r="I262" s="14" t="n">
        <x:v>35</x:v>
      </x:c>
      <x:c r="J262" s="14" t="n">
        <x:v>105</x:v>
      </x:c>
      <x:c r="K262" t="str">
        <x:v>DEMO / SIMULATED</x:v>
      </x:c>
    </x:row>
    <x:row r="263">
      <x:c r="A263" t="str">
        <x:v>JFD-20240914-0149</x:v>
      </x:c>
      <x:c r="B263" s="11" t="n">
        <x:v>45549.834027777775</x:v>
      </x:c>
      <x:c r="C263" s="13" t="n">
        <x:v>0.8340277777777778</x:v>
      </x:c>
      <x:c r="D263" t="str">
        <x:v>Birtamode</x:v>
      </x:c>
      <x:c r="E263" t="str">
        <x:v>Pizza Ghar</x:v>
      </x:c>
      <x:c r="F263" t="str">
        <x:v>Chicken Fried Rice</x:v>
      </x:c>
      <x:c r="G263" t="str">
        <x:v>Food</x:v>
      </x:c>
      <x:c r="H263" t="n">
        <x:v>2</x:v>
      </x:c>
      <x:c r="I263" s="14" t="n">
        <x:v>265</x:v>
      </x:c>
      <x:c r="J263" s="14" t="n">
        <x:v>530</x:v>
      </x:c>
      <x:c r="K263" t="str">
        <x:v>DEMO / SIMULATED</x:v>
      </x:c>
    </x:row>
    <x:row r="264">
      <x:c r="A264" t="str">
        <x:v>JFD-20240914-0149</x:v>
      </x:c>
      <x:c r="B264" s="11" t="n">
        <x:v>45549.80972222222</x:v>
      </x:c>
      <x:c r="C264" s="13" t="n">
        <x:v>0.8097222222222222</x:v>
      </x:c>
      <x:c r="D264" t="str">
        <x:v>Birtamode</x:v>
      </x:c>
      <x:c r="E264" t="str">
        <x:v>Pizza Ghar</x:v>
      </x:c>
      <x:c r="F264" t="str">
        <x:v>Coca-Cola 500ml</x:v>
      </x:c>
      <x:c r="G264" t="str">
        <x:v>Drink</x:v>
      </x:c>
      <x:c r="H264" t="n">
        <x:v>1</x:v>
      </x:c>
      <x:c r="I264" s="14" t="n">
        <x:v>90</x:v>
      </x:c>
      <x:c r="J264" s="14" t="n">
        <x:v>90</x:v>
      </x:c>
      <x:c r="K264" t="str">
        <x:v>DEMO / SIMULATED</x:v>
      </x:c>
    </x:row>
    <x:row r="265">
      <x:c r="A265" t="str">
        <x:v>JFD-20251120-0150</x:v>
      </x:c>
      <x:c r="B265" s="11" t="n">
        <x:v>45981.69375</x:v>
      </x:c>
      <x:c r="C265" s="13" t="n">
        <x:v>0.69375</x:v>
      </x:c>
      <x:c r="D265" t="str">
        <x:v>Damak</x:v>
      </x:c>
      <x:c r="E265" t="str">
        <x:v>Milan’s Bakery</x:v>
      </x:c>
      <x:c r="F265" t="str">
        <x:v>Bottled Water 1L</x:v>
      </x:c>
      <x:c r="G265" t="str">
        <x:v>Drink</x:v>
      </x:c>
      <x:c r="H265" t="n">
        <x:v>4</x:v>
      </x:c>
      <x:c r="I265" s="14" t="n">
        <x:v>40</x:v>
      </x:c>
      <x:c r="J265" s="14" t="n">
        <x:v>160</x:v>
      </x:c>
      <x:c r="K265" t="str">
        <x:v>DEMO / SIMULATED</x:v>
      </x:c>
    </x:row>
    <x:row r="266">
      <x:c r="A266" t="str">
        <x:v>JFD-20230126-0151</x:v>
      </x:c>
      <x:c r="B266" s="11" t="n">
        <x:v>44952.62777777778</x:v>
      </x:c>
      <x:c r="C266" s="13" t="n">
        <x:v>0.6277777777777778</x:v>
      </x:c>
      <x:c r="D266" t="str">
        <x:v>Damak</x:v>
      </x:c>
      <x:c r="E266" t="str">
        <x:v>Late Night Cravings</x:v>
      </x:c>
      <x:c r="F266" t="str">
        <x:v>Mix Fry Rice</x:v>
      </x:c>
      <x:c r="G266" t="str">
        <x:v>Food</x:v>
      </x:c>
      <x:c r="H266" t="n">
        <x:v>1</x:v>
      </x:c>
      <x:c r="I266" s="14" t="n">
        <x:v>230</x:v>
      </x:c>
      <x:c r="J266" s="14" t="n">
        <x:v>230</x:v>
      </x:c>
      <x:c r="K266" t="str">
        <x:v>DEMO / SIMULATED</x:v>
      </x:c>
    </x:row>
    <x:row r="267">
      <x:c r="A267" t="str">
        <x:v>JFD-20230408-0152</x:v>
      </x:c>
      <x:c r="B267" s="11" t="n">
        <x:v>45024.42083333333</x:v>
      </x:c>
      <x:c r="C267" s="13" t="n">
        <x:v>0.42083333333333334</x:v>
      </x:c>
      <x:c r="D267" t="str">
        <x:v>Birtamode</x:v>
      </x:c>
      <x:c r="E267" t="str">
        <x:v>Pizza Ghar</x:v>
      </x:c>
      <x:c r="F267" t="str">
        <x:v>Egg Fried Rice</x:v>
      </x:c>
      <x:c r="G267" t="str">
        <x:v>Food</x:v>
      </x:c>
      <x:c r="H267" t="n">
        <x:v>3</x:v>
      </x:c>
      <x:c r="I267" s="14" t="n">
        <x:v>220</x:v>
      </x:c>
      <x:c r="J267" s="14" t="n">
        <x:v>660</x:v>
      </x:c>
      <x:c r="K267" t="str">
        <x:v>DEMO / SIMULATED</x:v>
      </x:c>
    </x:row>
    <x:row r="268">
      <x:c r="A268" t="str">
        <x:v>JFD-20240710-0153</x:v>
      </x:c>
      <x:c r="B268" s="11" t="n">
        <x:v>45484</x:v>
      </x:c>
      <x:c r="C268" s="13" t="n">
        <x:v>0.7604166666666666</x:v>
      </x:c>
      <x:c r="D268" t="str">
        <x:v>Damak</x:v>
      </x:c>
      <x:c r="E268" t="str">
        <x:v>Late Night Cravings</x:v>
      </x:c>
      <x:c r="F268" t="str">
        <x:v>Bottled Water 1L</x:v>
      </x:c>
      <x:c r="G268" t="str">
        <x:v>Drink</x:v>
      </x:c>
      <x:c r="H268" t="n">
        <x:v>4</x:v>
      </x:c>
      <x:c r="I268" s="14" t="n">
        <x:v>35</x:v>
      </x:c>
      <x:c r="J268" s="14" t="n">
        <x:v>140</x:v>
      </x:c>
      <x:c r="K268" t="str">
        <x:v>DEMO / SIMULATED</x:v>
      </x:c>
    </x:row>
    <x:row r="269">
      <x:c r="A269" t="str">
        <x:v>JFD-20240710-0153</x:v>
      </x:c>
      <x:c r="B269" s="11" t="n">
        <x:v>45483.663194444445</x:v>
      </x:c>
      <x:c r="C269" s="13" t="n">
        <x:v>0.6631944444444444</x:v>
      </x:c>
      <x:c r="D269" t="str">
        <x:v>Damak</x:v>
      </x:c>
      <x:c r="E269" t="str">
        <x:v>Late Night Cravings</x:v>
      </x:c>
      <x:c r="F269" t="str">
        <x:v>Chicken Fry Rice</x:v>
      </x:c>
      <x:c r="G269" t="str">
        <x:v>Food</x:v>
      </x:c>
      <x:c r="H269" t="n">
        <x:v>2</x:v>
      </x:c>
      <x:c r="I269" s="14" t="n">
        <x:v>195</x:v>
      </x:c>
      <x:c r="J269" s="14" t="n">
        <x:v>390</x:v>
      </x:c>
      <x:c r="K269" t="str">
        <x:v>DEMO / SIMULATED</x:v>
      </x:c>
    </x:row>
    <x:row r="270">
      <x:c r="A270" t="str">
        <x:v>JFD-20260329-0154</x:v>
      </x:c>
      <x:c r="B270" s="11" t="n">
        <x:v>46110.527083333334</x:v>
      </x:c>
      <x:c r="C270" s="13" t="n">
        <x:v>0.5270833333333333</x:v>
      </x:c>
      <x:c r="D270" t="str">
        <x:v>Birtamode</x:v>
      </x:c>
      <x:c r="E270" t="str">
        <x:v>The Underground Cafe &amp; Restaurant</x:v>
      </x:c>
      <x:c r="F270" t="str">
        <x:v>Aalu Jeera</x:v>
      </x:c>
      <x:c r="G270" t="str">
        <x:v>Food</x:v>
      </x:c>
      <x:c r="H270" t="n">
        <x:v>3</x:v>
      </x:c>
      <x:c r="I270" s="14" t="n">
        <x:v>155</x:v>
      </x:c>
      <x:c r="J270" s="14" t="n">
        <x:v>465</x:v>
      </x:c>
      <x:c r="K270" t="str">
        <x:v>DEMO / SIMULATED</x:v>
      </x:c>
    </x:row>
    <x:row r="271">
      <x:c r="A271" t="str">
        <x:v>JFD-20260329-0154</x:v>
      </x:c>
      <x:c r="B271" s="11" t="n">
        <x:v>46110.6375</x:v>
      </x:c>
      <x:c r="C271" s="13" t="n">
        <x:v>0.6375</x:v>
      </x:c>
      <x:c r="D271" t="str">
        <x:v>Birtamode</x:v>
      </x:c>
      <x:c r="E271" t="str">
        <x:v>The Underground Cafe &amp; Restaurant</x:v>
      </x:c>
      <x:c r="F271" t="str">
        <x:v>Veg Pakauda</x:v>
      </x:c>
      <x:c r="G271" t="str">
        <x:v>Food</x:v>
      </x:c>
      <x:c r="H271" t="n">
        <x:v>3</x:v>
      </x:c>
      <x:c r="I271" s="14" t="n">
        <x:v>175</x:v>
      </x:c>
      <x:c r="J271" s="14" t="n">
        <x:v>525</x:v>
      </x:c>
      <x:c r="K271" t="str">
        <x:v>DEMO / SIMULATED</x:v>
      </x:c>
    </x:row>
    <x:row r="272">
      <x:c r="A272" t="str">
        <x:v>JFD-20230105-0155</x:v>
      </x:c>
      <x:c r="B272" s="11" t="n">
        <x:v>44931.873611111114</x:v>
      </x:c>
      <x:c r="C272" s="13" t="n">
        <x:v>0.8736111111111111</x:v>
      </x:c>
      <x:c r="D272" t="str">
        <x:v>Birtamode</x:v>
      </x:c>
      <x:c r="E272" t="str">
        <x:v>The Underground Cafe &amp; Restaurant</x:v>
      </x:c>
      <x:c r="F272" t="str">
        <x:v>Aalu Jeera</x:v>
      </x:c>
      <x:c r="G272" t="str">
        <x:v>Food</x:v>
      </x:c>
      <x:c r="H272" t="n">
        <x:v>2</x:v>
      </x:c>
      <x:c r="I272" s="14" t="n">
        <x:v>125</x:v>
      </x:c>
      <x:c r="J272" s="14" t="n">
        <x:v>250</x:v>
      </x:c>
      <x:c r="K272" t="str">
        <x:v>DEMO / SIMULATED</x:v>
      </x:c>
    </x:row>
    <x:row r="273">
      <x:c r="A273" t="str">
        <x:v>JFD-20230105-0155</x:v>
      </x:c>
      <x:c r="B273" s="11" t="n">
        <x:v>44931.50347222222</x:v>
      </x:c>
      <x:c r="C273" s="13" t="n">
        <x:v>0.5034722222222222</x:v>
      </x:c>
      <x:c r="D273" t="str">
        <x:v>Birtamode</x:v>
      </x:c>
      <x:c r="E273" t="str">
        <x:v>The Underground Cafe &amp; Restaurant</x:v>
      </x:c>
      <x:c r="F273" t="str">
        <x:v>Coca-Cola 500ml</x:v>
      </x:c>
      <x:c r="G273" t="str">
        <x:v>Drink</x:v>
      </x:c>
      <x:c r="H273" t="n">
        <x:v>2</x:v>
      </x:c>
      <x:c r="I273" s="14" t="n">
        <x:v>80</x:v>
      </x:c>
      <x:c r="J273" s="14" t="n">
        <x:v>160</x:v>
      </x:c>
      <x:c r="K273" t="str">
        <x:v>DEMO / SIMULATED</x:v>
      </x:c>
    </x:row>
    <x:row r="274">
      <x:c r="A274" t="str">
        <x:v>JFD-20230105-0155</x:v>
      </x:c>
      <x:c r="B274" s="11" t="n">
        <x:v>44931.51111111111</x:v>
      </x:c>
      <x:c r="C274" s="13" t="n">
        <x:v>0.5111111111111111</x:v>
      </x:c>
      <x:c r="D274" t="str">
        <x:v>Birtamode</x:v>
      </x:c>
      <x:c r="E274" t="str">
        <x:v>The Underground Cafe &amp; Restaurant</x:v>
      </x:c>
      <x:c r="F274" t="str">
        <x:v>Bottled Water 1L</x:v>
      </x:c>
      <x:c r="G274" t="str">
        <x:v>Drink</x:v>
      </x:c>
      <x:c r="H274" t="n">
        <x:v>2</x:v>
      </x:c>
      <x:c r="I274" s="14" t="n">
        <x:v>35</x:v>
      </x:c>
      <x:c r="J274" s="14" t="n">
        <x:v>70</x:v>
      </x:c>
      <x:c r="K274" t="str">
        <x:v>DEMO / SIMULATED</x:v>
      </x:c>
    </x:row>
    <x:row r="275">
      <x:c r="A275" t="str">
        <x:v>JFD-20240226-0156</x:v>
      </x:c>
      <x:c r="B275" s="11" t="n">
        <x:v>45348.51875</x:v>
      </x:c>
      <x:c r="C275" s="13" t="n">
        <x:v>0.51875</x:v>
      </x:c>
      <x:c r="D275" t="str">
        <x:v>Birtamode</x:v>
      </x:c>
      <x:c r="E275" t="str">
        <x:v>Pizza Ghar</x:v>
      </x:c>
      <x:c r="F275" t="str">
        <x:v>Veg Fried Rice</x:v>
      </x:c>
      <x:c r="G275" t="str">
        <x:v>Food</x:v>
      </x:c>
      <x:c r="H275" t="n">
        <x:v>2</x:v>
      </x:c>
      <x:c r="I275" s="14" t="n">
        <x:v>195</x:v>
      </x:c>
      <x:c r="J275" s="14" t="n">
        <x:v>390</x:v>
      </x:c>
      <x:c r="K275" t="str">
        <x:v>DEMO / SIMULATED</x:v>
      </x:c>
    </x:row>
    <x:row r="276">
      <x:c r="A276" t="str">
        <x:v>JFD-20230125-0157</x:v>
      </x:c>
      <x:c r="B276" s="11" t="n">
        <x:v>44951.90694444445</x:v>
      </x:c>
      <x:c r="C276" s="13" t="n">
        <x:v>0.9069444444444444</x:v>
      </x:c>
      <x:c r="D276" t="str">
        <x:v>Damak</x:v>
      </x:c>
      <x:c r="E276" t="str">
        <x:v>Milan’s Bakery</x:v>
      </x:c>
      <x:c r="F276" t="str">
        <x:v>Red Velvet Cake</x:v>
      </x:c>
      <x:c r="G276" t="str">
        <x:v>Food</x:v>
      </x:c>
      <x:c r="H276" t="n">
        <x:v>3</x:v>
      </x:c>
      <x:c r="I276" s="14" t="n">
        <x:v>740</x:v>
      </x:c>
      <x:c r="J276" s="14" t="n">
        <x:v>2220</x:v>
      </x:c>
      <x:c r="K276" t="str">
        <x:v>DEMO / SIMULATED</x:v>
      </x:c>
    </x:row>
    <x:row r="277">
      <x:c r="A277" t="str">
        <x:v>JFD-20230125-0157</x:v>
      </x:c>
      <x:c r="B277" s="11" t="n">
        <x:v>44951.70416666667</x:v>
      </x:c>
      <x:c r="C277" s="13" t="n">
        <x:v>0.7041666666666667</x:v>
      </x:c>
      <x:c r="D277" t="str">
        <x:v>Damak</x:v>
      </x:c>
      <x:c r="E277" t="str">
        <x:v>Milan’s Bakery</x:v>
      </x:c>
      <x:c r="F277" t="str">
        <x:v>Black Forest Cake</x:v>
      </x:c>
      <x:c r="G277" t="str">
        <x:v>Food</x:v>
      </x:c>
      <x:c r="H277" t="n">
        <x:v>1</x:v>
      </x:c>
      <x:c r="I277" s="14" t="n">
        <x:v>245</x:v>
      </x:c>
      <x:c r="J277" s="14" t="n">
        <x:v>245</x:v>
      </x:c>
      <x:c r="K277" t="str">
        <x:v>DEMO / SIMULATED</x:v>
      </x:c>
    </x:row>
    <x:row r="278">
      <x:c r="A278" t="str">
        <x:v>JFD-20230923-0158</x:v>
      </x:c>
      <x:c r="B278" s="11" t="n">
        <x:v>45192.506944444445</x:v>
      </x:c>
      <x:c r="C278" s="13" t="n">
        <x:v>0.5069444444444444</x:v>
      </x:c>
      <x:c r="D278" t="str">
        <x:v>Birtamode</x:v>
      </x:c>
      <x:c r="E278" t="str">
        <x:v>The Underground Cafe &amp; Restaurant</x:v>
      </x:c>
      <x:c r="F278" t="str">
        <x:v>Aalu Jeera</x:v>
      </x:c>
      <x:c r="G278" t="str">
        <x:v>Food</x:v>
      </x:c>
      <x:c r="H278" t="n">
        <x:v>4</x:v>
      </x:c>
      <x:c r="I278" s="14" t="n">
        <x:v>125</x:v>
      </x:c>
      <x:c r="J278" s="14" t="n">
        <x:v>500</x:v>
      </x:c>
      <x:c r="K278" t="str">
        <x:v>DEMO / SIMULATED</x:v>
      </x:c>
    </x:row>
    <x:row r="279">
      <x:c r="A279" t="str">
        <x:v>JFD-20230923-0158</x:v>
      </x:c>
      <x:c r="B279" s="11" t="n">
        <x:v>45192.81597222222</x:v>
      </x:c>
      <x:c r="C279" s="13" t="n">
        <x:v>0.8159722222222222</x:v>
      </x:c>
      <x:c r="D279" t="str">
        <x:v>Birtamode</x:v>
      </x:c>
      <x:c r="E279" t="str">
        <x:v>The Underground Cafe &amp; Restaurant</x:v>
      </x:c>
      <x:c r="F279" t="str">
        <x:v>Paneer Pakauda</x:v>
      </x:c>
      <x:c r="G279" t="str">
        <x:v>Food</x:v>
      </x:c>
      <x:c r="H279" t="n">
        <x:v>2</x:v>
      </x:c>
      <x:c r="I279" s="14" t="n">
        <x:v>185</x:v>
      </x:c>
      <x:c r="J279" s="14" t="n">
        <x:v>370</x:v>
      </x:c>
      <x:c r="K279" t="str">
        <x:v>DEMO / SIMULATED</x:v>
      </x:c>
    </x:row>
    <x:row r="280">
      <x:c r="A280" t="str">
        <x:v>JFD-20230923-0158</x:v>
      </x:c>
      <x:c r="B280" s="11" t="n">
        <x:v>45192.76527777778</x:v>
      </x:c>
      <x:c r="C280" s="13" t="n">
        <x:v>0.7652777777777777</x:v>
      </x:c>
      <x:c r="D280" t="str">
        <x:v>Birtamode</x:v>
      </x:c>
      <x:c r="E280" t="str">
        <x:v>The Underground Cafe &amp; Restaurant</x:v>
      </x:c>
      <x:c r="F280" t="str">
        <x:v>Veg Pakauda</x:v>
      </x:c>
      <x:c r="G280" t="str">
        <x:v>Food</x:v>
      </x:c>
      <x:c r="H280" t="n">
        <x:v>1</x:v>
      </x:c>
      <x:c r="I280" s="14" t="n">
        <x:v>145</x:v>
      </x:c>
      <x:c r="J280" s="14" t="n">
        <x:v>145</x:v>
      </x:c>
      <x:c r="K280" t="str">
        <x:v>DEMO / SIMULATED</x:v>
      </x:c>
    </x:row>
    <x:row r="281">
      <x:c r="A281" t="str">
        <x:v>JFD-20231017-0159</x:v>
      </x:c>
      <x:c r="B281" s="11" t="n">
        <x:v>45216.634722222225</x:v>
      </x:c>
      <x:c r="C281" s="13" t="n">
        <x:v>0.6347222222222222</x:v>
      </x:c>
      <x:c r="D281" t="str">
        <x:v>Birtamode</x:v>
      </x:c>
      <x:c r="E281" t="str">
        <x:v>The Underground Cafe &amp; Restaurant</x:v>
      </x:c>
      <x:c r="F281" t="str">
        <x:v>Paneer Pakauda</x:v>
      </x:c>
      <x:c r="G281" t="str">
        <x:v>Food</x:v>
      </x:c>
      <x:c r="H281" t="n">
        <x:v>1</x:v>
      </x:c>
      <x:c r="I281" s="14" t="n">
        <x:v>185</x:v>
      </x:c>
      <x:c r="J281" s="14" t="n">
        <x:v>185</x:v>
      </x:c>
      <x:c r="K281" t="str">
        <x:v>DEMO / SIMULATED</x:v>
      </x:c>
    </x:row>
    <x:row r="282">
      <x:c r="A282" t="str">
        <x:v>JFD-20251216-0160</x:v>
      </x:c>
      <x:c r="B282" s="11" t="n">
        <x:v>46007.73888888889</x:v>
      </x:c>
      <x:c r="C282" s="13" t="n">
        <x:v>0.7388888888888889</x:v>
      </x:c>
      <x:c r="D282" t="str">
        <x:v>Birtamode</x:v>
      </x:c>
      <x:c r="E282" t="str">
        <x:v>Pizza Ghar</x:v>
      </x:c>
      <x:c r="F282" t="str">
        <x:v>Bottled Water 1L</x:v>
      </x:c>
      <x:c r="G282" t="str">
        <x:v>Drink</x:v>
      </x:c>
      <x:c r="H282" t="n">
        <x:v>2</x:v>
      </x:c>
      <x:c r="I282" s="14" t="n">
        <x:v>40</x:v>
      </x:c>
      <x:c r="J282" s="14" t="n">
        <x:v>80</x:v>
      </x:c>
      <x:c r="K282" t="str">
        <x:v>DEMO / SIMULATED</x:v>
      </x:c>
    </x:row>
    <x:row r="283">
      <x:c r="A283" t="str">
        <x:v>JFD-20251216-0160</x:v>
      </x:c>
      <x:c r="B283" s="11" t="n">
        <x:v>46007.72430555556</x:v>
      </x:c>
      <x:c r="C283" s="13" t="n">
        <x:v>0.7243055555555555</x:v>
      </x:c>
      <x:c r="D283" t="str">
        <x:v>Birtamode</x:v>
      </x:c>
      <x:c r="E283" t="str">
        <x:v>Pizza Ghar</x:v>
      </x:c>
      <x:c r="F283" t="str">
        <x:v>Chicken Fried Rice</x:v>
      </x:c>
      <x:c r="G283" t="str">
        <x:v>Food</x:v>
      </x:c>
      <x:c r="H283" t="n">
        <x:v>2</x:v>
      </x:c>
      <x:c r="I283" s="14" t="n">
        <x:v>280</x:v>
      </x:c>
      <x:c r="J283" s="14" t="n">
        <x:v>560</x:v>
      </x:c>
      <x:c r="K283" t="str">
        <x:v>DEMO / SIMULATED</x:v>
      </x:c>
    </x:row>
    <x:row r="284">
      <x:c r="A284" t="str">
        <x:v>JFD-20251216-0160</x:v>
      </x:c>
      <x:c r="B284" s="11" t="n">
        <x:v>46007.78125</x:v>
      </x:c>
      <x:c r="C284" s="13" t="n">
        <x:v>0.78125</x:v>
      </x:c>
      <x:c r="D284" t="str">
        <x:v>Birtamode</x:v>
      </x:c>
      <x:c r="E284" t="str">
        <x:v>Pizza Ghar</x:v>
      </x:c>
      <x:c r="F284" t="str">
        <x:v>Veg Fried Rice</x:v>
      </x:c>
      <x:c r="G284" t="str">
        <x:v>Food</x:v>
      </x:c>
      <x:c r="H284" t="n">
        <x:v>3</x:v>
      </x:c>
      <x:c r="I284" s="14" t="n">
        <x:v>205</x:v>
      </x:c>
      <x:c r="J284" s="14" t="n">
        <x:v>615</x:v>
      </x:c>
      <x:c r="K284" t="str">
        <x:v>DEMO / SIMULATED</x:v>
      </x:c>
    </x:row>
    <x:row r="285">
      <x:c r="A285" t="str">
        <x:v>JFD-20240914-0161</x:v>
      </x:c>
      <x:c r="B285" s="11" t="n">
        <x:v>45549.63125</x:v>
      </x:c>
      <x:c r="C285" s="13" t="n">
        <x:v>0.63125</x:v>
      </x:c>
      <x:c r="D285" t="str">
        <x:v>Birtamode</x:v>
      </x:c>
      <x:c r="E285" t="str">
        <x:v>The Underground Cafe &amp; Restaurant</x:v>
      </x:c>
      <x:c r="F285" t="str">
        <x:v>Aalu Jeera</x:v>
      </x:c>
      <x:c r="G285" t="str">
        <x:v>Food</x:v>
      </x:c>
      <x:c r="H285" t="n">
        <x:v>1</x:v>
      </x:c>
      <x:c r="I285" s="14" t="n">
        <x:v>135</x:v>
      </x:c>
      <x:c r="J285" s="14" t="n">
        <x:v>135</x:v>
      </x:c>
      <x:c r="K285" t="str">
        <x:v>DEMO / SIMULATED</x:v>
      </x:c>
    </x:row>
    <x:row r="286">
      <x:c r="A286" t="str">
        <x:v>JFD-20240914-0161</x:v>
      </x:c>
      <x:c r="B286" s="11" t="n">
        <x:v>45549.728472222225</x:v>
      </x:c>
      <x:c r="C286" s="13" t="n">
        <x:v>0.7284722222222222</x:v>
      </x:c>
      <x:c r="D286" t="str">
        <x:v>Birtamode</x:v>
      </x:c>
      <x:c r="E286" t="str">
        <x:v>The Underground Cafe &amp; Restaurant</x:v>
      </x:c>
      <x:c r="F286" t="str">
        <x:v>Paneer Pakauda</x:v>
      </x:c>
      <x:c r="G286" t="str">
        <x:v>Food</x:v>
      </x:c>
      <x:c r="H286" t="n">
        <x:v>3</x:v>
      </x:c>
      <x:c r="I286" s="14" t="n">
        <x:v>200</x:v>
      </x:c>
      <x:c r="J286" s="14" t="n">
        <x:v>600</x:v>
      </x:c>
      <x:c r="K286" t="str">
        <x:v>DEMO / SIMULATED</x:v>
      </x:c>
    </x:row>
    <x:row r="287">
      <x:c r="A287" t="str">
        <x:v>JFD-20250919-0162</x:v>
      </x:c>
      <x:c r="B287" s="11" t="n">
        <x:v>45919.54027777778</x:v>
      </x:c>
      <x:c r="C287" s="13" t="n">
        <x:v>0.5402777777777777</x:v>
      </x:c>
      <x:c r="D287" t="str">
        <x:v>Damak</x:v>
      </x:c>
      <x:c r="E287" t="str">
        <x:v>Milan’s Bakery</x:v>
      </x:c>
      <x:c r="F287" t="str">
        <x:v>Chocolate Cake</x:v>
      </x:c>
      <x:c r="G287" t="str">
        <x:v>Food</x:v>
      </x:c>
      <x:c r="H287" t="n">
        <x:v>4</x:v>
      </x:c>
      <x:c r="I287" s="14" t="n">
        <x:v>330</x:v>
      </x:c>
      <x:c r="J287" s="14" t="n">
        <x:v>1320</x:v>
      </x:c>
      <x:c r="K287" t="str">
        <x:v>DEMO / SIMULATED</x:v>
      </x:c>
    </x:row>
    <x:row r="288">
      <x:c r="A288" t="str">
        <x:v>JFD-20230105-0163</x:v>
      </x:c>
      <x:c r="B288" s="11" t="n">
        <x:v>44931.49930555555</x:v>
      </x:c>
      <x:c r="C288" s="13" t="n">
        <x:v>0.49930555555555556</x:v>
      </x:c>
      <x:c r="D288" t="str">
        <x:v>Damak</x:v>
      </x:c>
      <x:c r="E288" t="str">
        <x:v>Milan’s Bakery</x:v>
      </x:c>
      <x:c r="F288" t="str">
        <x:v>Coca-Cola 500ml</x:v>
      </x:c>
      <x:c r="G288" t="str">
        <x:v>Drink</x:v>
      </x:c>
      <x:c r="H288" t="n">
        <x:v>4</x:v>
      </x:c>
      <x:c r="I288" s="14" t="n">
        <x:v>80</x:v>
      </x:c>
      <x:c r="J288" s="14" t="n">
        <x:v>320</x:v>
      </x:c>
      <x:c r="K288" t="str">
        <x:v>DEMO / SIMULATED</x:v>
      </x:c>
    </x:row>
    <x:row r="289">
      <x:c r="A289" t="str">
        <x:v>JFD-20250918-0164</x:v>
      </x:c>
      <x:c r="B289" s="11" t="n">
        <x:v>45918.538194444445</x:v>
      </x:c>
      <x:c r="C289" s="13" t="n">
        <x:v>0.5381944444444444</x:v>
      </x:c>
      <x:c r="D289" t="str">
        <x:v>Damak</x:v>
      </x:c>
      <x:c r="E289" t="str">
        <x:v>Late Night Cravings</x:v>
      </x:c>
      <x:c r="F289" t="str">
        <x:v>Chicken Fry Rice</x:v>
      </x:c>
      <x:c r="G289" t="str">
        <x:v>Food</x:v>
      </x:c>
      <x:c r="H289" t="n">
        <x:v>4</x:v>
      </x:c>
      <x:c r="I289" s="14" t="n">
        <x:v>205</x:v>
      </x:c>
      <x:c r="J289" s="14" t="n">
        <x:v>820</x:v>
      </x:c>
      <x:c r="K289" t="str">
        <x:v>DEMO / SIMULATED</x:v>
      </x:c>
    </x:row>
    <x:row r="290">
      <x:c r="A290" t="str">
        <x:v>JFD-20230208-0165</x:v>
      </x:c>
      <x:c r="B290" s="11" t="n">
        <x:v>44965.90833333333</x:v>
      </x:c>
      <x:c r="C290" s="13" t="n">
        <x:v>0.9083333333333333</x:v>
      </x:c>
      <x:c r="D290" t="str">
        <x:v>Damak</x:v>
      </x:c>
      <x:c r="E290" t="str">
        <x:v>Milan’s Bakery</x:v>
      </x:c>
      <x:c r="F290" t="str">
        <x:v>Black Forest Cake</x:v>
      </x:c>
      <x:c r="G290" t="str">
        <x:v>Food</x:v>
      </x:c>
      <x:c r="H290" t="n">
        <x:v>2</x:v>
      </x:c>
      <x:c r="I290" s="14" t="n">
        <x:v>245</x:v>
      </x:c>
      <x:c r="J290" s="14" t="n">
        <x:v>490</x:v>
      </x:c>
      <x:c r="K290" t="str">
        <x:v>DEMO / SIMULATED</x:v>
      </x:c>
    </x:row>
    <x:row r="291">
      <x:c r="A291" t="str">
        <x:v>JFD-20230208-0165</x:v>
      </x:c>
      <x:c r="B291" s="11" t="n">
        <x:v>44965.70208333333</x:v>
      </x:c>
      <x:c r="C291" s="13" t="n">
        <x:v>0.7020833333333333</x:v>
      </x:c>
      <x:c r="D291" t="str">
        <x:v>Damak</x:v>
      </x:c>
      <x:c r="E291" t="str">
        <x:v>Milan’s Bakery</x:v>
      </x:c>
      <x:c r="F291" t="str">
        <x:v>Coca-Cola 500ml</x:v>
      </x:c>
      <x:c r="G291" t="str">
        <x:v>Drink</x:v>
      </x:c>
      <x:c r="H291" t="n">
        <x:v>3</x:v>
      </x:c>
      <x:c r="I291" s="14" t="n">
        <x:v>80</x:v>
      </x:c>
      <x:c r="J291" s="14" t="n">
        <x:v>240</x:v>
      </x:c>
      <x:c r="K291" t="str">
        <x:v>DEMO / SIMULATED</x:v>
      </x:c>
    </x:row>
    <x:row r="292">
      <x:c r="A292" t="str">
        <x:v>JFD-20230208-0165</x:v>
      </x:c>
      <x:c r="B292" s="11" t="n">
        <x:v>44965.75</x:v>
      </x:c>
      <x:c r="C292" s="13" t="n">
        <x:v>0.75</x:v>
      </x:c>
      <x:c r="D292" t="str">
        <x:v>Damak</x:v>
      </x:c>
      <x:c r="E292" t="str">
        <x:v>Milan’s Bakery</x:v>
      </x:c>
      <x:c r="F292" t="str">
        <x:v>Vanilla Cake</x:v>
      </x:c>
      <x:c r="G292" t="str">
        <x:v>Food</x:v>
      </x:c>
      <x:c r="H292" t="n">
        <x:v>1</x:v>
      </x:c>
      <x:c r="I292" s="14" t="n">
        <x:v>245</x:v>
      </x:c>
      <x:c r="J292" s="14" t="n">
        <x:v>245</x:v>
      </x:c>
      <x:c r="K292" t="str">
        <x:v>DEMO / SIMULATED</x:v>
      </x:c>
    </x:row>
    <x:row r="293">
      <x:c r="A293" t="str">
        <x:v>JFD-20251017-0166</x:v>
      </x:c>
      <x:c r="B293" s="11" t="n">
        <x:v>45947.83125</x:v>
      </x:c>
      <x:c r="C293" s="13" t="n">
        <x:v>0.83125</x:v>
      </x:c>
      <x:c r="D293" t="str">
        <x:v>Birtamode</x:v>
      </x:c>
      <x:c r="E293" t="str">
        <x:v>The Underground Cafe &amp; Restaurant</x:v>
      </x:c>
      <x:c r="F293" t="str">
        <x:v>Bottled Water 1L</x:v>
      </x:c>
      <x:c r="G293" t="str">
        <x:v>Drink</x:v>
      </x:c>
      <x:c r="H293" t="n">
        <x:v>3</x:v>
      </x:c>
      <x:c r="I293" s="14" t="n">
        <x:v>40</x:v>
      </x:c>
      <x:c r="J293" s="14" t="n">
        <x:v>120</x:v>
      </x:c>
      <x:c r="K293" t="str">
        <x:v>DEMO / SIMULATED</x:v>
      </x:c>
    </x:row>
    <x:row r="294">
      <x:c r="A294" t="str">
        <x:v>JFD-20250912-0167</x:v>
      </x:c>
      <x:c r="B294" s="11" t="n">
        <x:v>45912.44375</x:v>
      </x:c>
      <x:c r="C294" s="13" t="n">
        <x:v>0.44375</x:v>
      </x:c>
      <x:c r="D294" t="str">
        <x:v>Damak</x:v>
      </x:c>
      <x:c r="E294" t="str">
        <x:v>Late Night Cravings</x:v>
      </x:c>
      <x:c r="F294" t="str">
        <x:v>Egg Fry Rice</x:v>
      </x:c>
      <x:c r="G294" t="str">
        <x:v>Food</x:v>
      </x:c>
      <x:c r="H294" t="n">
        <x:v>2</x:v>
      </x:c>
      <x:c r="I294" s="14" t="n">
        <x:v>190</x:v>
      </x:c>
      <x:c r="J294" s="14" t="n">
        <x:v>380</x:v>
      </x:c>
      <x:c r="K294" t="str">
        <x:v>DEMO / SIMULATED</x:v>
      </x:c>
    </x:row>
    <x:row r="295">
      <x:c r="A295" t="str">
        <x:v>JFD-20241106-0168</x:v>
      </x:c>
      <x:c r="B295" s="11" t="n">
        <x:v>45602.65277777778</x:v>
      </x:c>
      <x:c r="C295" s="13" t="n">
        <x:v>0.6527777777777778</x:v>
      </x:c>
      <x:c r="D295" t="str">
        <x:v>Birtamode</x:v>
      </x:c>
      <x:c r="E295" t="str">
        <x:v>Pizza Ghar</x:v>
      </x:c>
      <x:c r="F295" t="str">
        <x:v>Bottled Water 1L</x:v>
      </x:c>
      <x:c r="G295" t="str">
        <x:v>Drink</x:v>
      </x:c>
      <x:c r="H295" t="n">
        <x:v>1</x:v>
      </x:c>
      <x:c r="I295" s="14" t="n">
        <x:v>35</x:v>
      </x:c>
      <x:c r="J295" s="14" t="n">
        <x:v>35</x:v>
      </x:c>
      <x:c r="K295" t="str">
        <x:v>DEMO / SIMULATED</x:v>
      </x:c>
    </x:row>
    <x:row r="296">
      <x:c r="A296" t="str">
        <x:v>JFD-20241106-0168</x:v>
      </x:c>
      <x:c r="B296" s="11" t="n">
        <x:v>45602.84305555555</x:v>
      </x:c>
      <x:c r="C296" s="13" t="n">
        <x:v>0.8430555555555556</x:v>
      </x:c>
      <x:c r="D296" t="str">
        <x:v>Birtamode</x:v>
      </x:c>
      <x:c r="E296" t="str">
        <x:v>Pizza Ghar</x:v>
      </x:c>
      <x:c r="F296" t="str">
        <x:v>Veg Fried Rice</x:v>
      </x:c>
      <x:c r="G296" t="str">
        <x:v>Food</x:v>
      </x:c>
      <x:c r="H296" t="n">
        <x:v>3</x:v>
      </x:c>
      <x:c r="I296" s="14" t="n">
        <x:v>195</x:v>
      </x:c>
      <x:c r="J296" s="14" t="n">
        <x:v>585</x:v>
      </x:c>
      <x:c r="K296" t="str">
        <x:v>DEMO / SIMULATED</x:v>
      </x:c>
    </x:row>
    <x:row r="297">
      <x:c r="A297" t="str">
        <x:v>JFD-20240229-0169</x:v>
      </x:c>
      <x:c r="B297" s="11" t="n">
        <x:v>45351.46597222222</x:v>
      </x:c>
      <x:c r="C297" s="13" t="n">
        <x:v>0.46597222222222223</x:v>
      </x:c>
      <x:c r="D297" t="str">
        <x:v>Damak</x:v>
      </x:c>
      <x:c r="E297" t="str">
        <x:v>Milan’s Bakery</x:v>
      </x:c>
      <x:c r="F297" t="str">
        <x:v>Red Velvet Cake</x:v>
      </x:c>
      <x:c r="G297" t="str">
        <x:v>Food</x:v>
      </x:c>
      <x:c r="H297" t="n">
        <x:v>4</x:v>
      </x:c>
      <x:c r="I297" s="14" t="n">
        <x:v>790</x:v>
      </x:c>
      <x:c r="J297" s="14" t="n">
        <x:v>3160</x:v>
      </x:c>
      <x:c r="K297" t="str">
        <x:v>DEMO / SIMULATED</x:v>
      </x:c>
    </x:row>
    <x:row r="298">
      <x:c r="A298" t="str">
        <x:v>JFD-20231202-0170</x:v>
      </x:c>
      <x:c r="B298" s="11" t="n">
        <x:v>45262.85138888889</x:v>
      </x:c>
      <x:c r="C298" s="13" t="n">
        <x:v>0.8513888888888889</x:v>
      </x:c>
      <x:c r="D298" t="str">
        <x:v>Damak</x:v>
      </x:c>
      <x:c r="E298" t="str">
        <x:v>Late Night Cravings</x:v>
      </x:c>
      <x:c r="F298" t="str">
        <x:v>Coca-Cola 500ml</x:v>
      </x:c>
      <x:c r="G298" t="str">
        <x:v>Drink</x:v>
      </x:c>
      <x:c r="H298" t="n">
        <x:v>1</x:v>
      </x:c>
      <x:c r="I298" s="14" t="n">
        <x:v>80</x:v>
      </x:c>
      <x:c r="J298" s="14" t="n">
        <x:v>80</x:v>
      </x:c>
      <x:c r="K298" t="str">
        <x:v>DEMO / SIMULATED</x:v>
      </x:c>
    </x:row>
    <x:row r="299">
      <x:c r="A299" t="str">
        <x:v>JFD-20230508-0171</x:v>
      </x:c>
      <x:c r="B299" s="11" t="n">
        <x:v>45054.64027777778</x:v>
      </x:c>
      <x:c r="C299" s="13" t="n">
        <x:v>0.6402777777777777</x:v>
      </x:c>
      <x:c r="D299" t="str">
        <x:v>Damak</x:v>
      </x:c>
      <x:c r="E299" t="str">
        <x:v>Late Night Cravings</x:v>
      </x:c>
      <x:c r="F299" t="str">
        <x:v>Veg Fry Rice</x:v>
      </x:c>
      <x:c r="G299" t="str">
        <x:v>Food</x:v>
      </x:c>
      <x:c r="H299" t="n">
        <x:v>3</x:v>
      </x:c>
      <x:c r="I299" s="14" t="n">
        <x:v>130</x:v>
      </x:c>
      <x:c r="J299" s="14" t="n">
        <x:v>390</x:v>
      </x:c>
      <x:c r="K299" t="str">
        <x:v>DEMO / SIMULATED</x:v>
      </x:c>
    </x:row>
    <x:row r="300">
      <x:c r="A300" t="str">
        <x:v>JFD-20230125-0172</x:v>
      </x:c>
      <x:c r="B300" s="11" t="n">
        <x:v>44951.833333333336</x:v>
      </x:c>
      <x:c r="C300" s="13" t="n">
        <x:v>0.8333333333333334</x:v>
      </x:c>
      <x:c r="D300" t="str">
        <x:v>Birtamode</x:v>
      </x:c>
      <x:c r="E300" t="str">
        <x:v>Pizza Ghar</x:v>
      </x:c>
      <x:c r="F300" t="str">
        <x:v>Veg Fried Rice</x:v>
      </x:c>
      <x:c r="G300" t="str">
        <x:v>Food</x:v>
      </x:c>
      <x:c r="H300" t="n">
        <x:v>3</x:v>
      </x:c>
      <x:c r="I300" s="14" t="n">
        <x:v>180</x:v>
      </x:c>
      <x:c r="J300" s="14" t="n">
        <x:v>540</x:v>
      </x:c>
      <x:c r="K300" t="str">
        <x:v>DEMO / SIMULATED</x:v>
      </x:c>
    </x:row>
    <x:row r="301">
      <x:c r="A301" t="str">
        <x:v>JFD-20230125-0172</x:v>
      </x:c>
      <x:c r="B301" s="11" t="n">
        <x:v>44951.424305555556</x:v>
      </x:c>
      <x:c r="C301" s="13" t="n">
        <x:v>0.42430555555555555</x:v>
      </x:c>
      <x:c r="D301" t="str">
        <x:v>Birtamode</x:v>
      </x:c>
      <x:c r="E301" t="str">
        <x:v>Pizza Ghar</x:v>
      </x:c>
      <x:c r="F301" t="str">
        <x:v>Coca-Cola 500ml</x:v>
      </x:c>
      <x:c r="G301" t="str">
        <x:v>Drink</x:v>
      </x:c>
      <x:c r="H301" t="n">
        <x:v>4</x:v>
      </x:c>
      <x:c r="I301" s="14" t="n">
        <x:v>80</x:v>
      </x:c>
      <x:c r="J301" s="14" t="n">
        <x:v>320</x:v>
      </x:c>
      <x:c r="K301" t="str">
        <x:v>DEMO / SIMULATED</x:v>
      </x:c>
    </x:row>
    <x:row r="302">
      <x:c r="A302" t="str">
        <x:v>JFD-20260329-0173</x:v>
      </x:c>
      <x:c r="B302" s="11" t="n">
        <x:v>46110.566666666666</x:v>
      </x:c>
      <x:c r="C302" s="13" t="n">
        <x:v>0.5666666666666667</x:v>
      </x:c>
      <x:c r="D302" t="str">
        <x:v>Damak</x:v>
      </x:c>
      <x:c r="E302" t="str">
        <x:v>Milan’s Bakery</x:v>
      </x:c>
      <x:c r="F302" t="str">
        <x:v>Vanilla Cake</x:v>
      </x:c>
      <x:c r="G302" t="str">
        <x:v>Food</x:v>
      </x:c>
      <x:c r="H302" t="n">
        <x:v>1</x:v>
      </x:c>
      <x:c r="I302" s="14" t="n">
        <x:v>300</x:v>
      </x:c>
      <x:c r="J302" s="14" t="n">
        <x:v>300</x:v>
      </x:c>
      <x:c r="K302" t="str">
        <x:v>DEMO / SIMULATED</x:v>
      </x:c>
    </x:row>
    <x:row r="303">
      <x:c r="A303" t="str">
        <x:v>JFD-20231220-0174</x:v>
      </x:c>
      <x:c r="B303" s="11" t="n">
        <x:v>45280.48402777778</x:v>
      </x:c>
      <x:c r="C303" s="13" t="n">
        <x:v>0.4840277777777778</x:v>
      </x:c>
      <x:c r="D303" t="str">
        <x:v>Birtamode</x:v>
      </x:c>
      <x:c r="E303" t="str">
        <x:v>Pizza Ghar</x:v>
      </x:c>
      <x:c r="F303" t="str">
        <x:v>Chicken BBQ Feast Pizza</x:v>
      </x:c>
      <x:c r="G303" t="str">
        <x:v>Food</x:v>
      </x:c>
      <x:c r="H303" t="n">
        <x:v>4</x:v>
      </x:c>
      <x:c r="I303" s="14" t="n">
        <x:v>475</x:v>
      </x:c>
      <x:c r="J303" s="14" t="n">
        <x:v>1900</x:v>
      </x:c>
      <x:c r="K303" t="str">
        <x:v>DEMO / SIMULATED</x:v>
      </x:c>
    </x:row>
    <x:row r="304">
      <x:c r="A304" t="str">
        <x:v>JFD-20241203-0175</x:v>
      </x:c>
      <x:c r="B304" s="11" t="n">
        <x:v>45629.64513888889</x:v>
      </x:c>
      <x:c r="C304" s="13" t="n">
        <x:v>0.6451388888888889</x:v>
      </x:c>
      <x:c r="D304" t="str">
        <x:v>Birtamode</x:v>
      </x:c>
      <x:c r="E304" t="str">
        <x:v>The Underground Cafe &amp; Restaurant</x:v>
      </x:c>
      <x:c r="F304" t="str">
        <x:v>Aalu Jeera</x:v>
      </x:c>
      <x:c r="G304" t="str">
        <x:v>Food</x:v>
      </x:c>
      <x:c r="H304" t="n">
        <x:v>3</x:v>
      </x:c>
      <x:c r="I304" s="14" t="n">
        <x:v>135</x:v>
      </x:c>
      <x:c r="J304" s="14" t="n">
        <x:v>405</x:v>
      </x:c>
      <x:c r="K304" t="str">
        <x:v>DEMO / SIMULATED</x:v>
      </x:c>
    </x:row>
    <x:row r="305">
      <x:c r="A305" t="str">
        <x:v>JFD-20241203-0175</x:v>
      </x:c>
      <x:c r="B305" s="11" t="n">
        <x:v>45629.84583333333</x:v>
      </x:c>
      <x:c r="C305" s="13" t="n">
        <x:v>0.8458333333333333</x:v>
      </x:c>
      <x:c r="D305" t="str">
        <x:v>Birtamode</x:v>
      </x:c>
      <x:c r="E305" t="str">
        <x:v>The Underground Cafe &amp; Restaurant</x:v>
      </x:c>
      <x:c r="F305" t="str">
        <x:v>Paneer Pakauda</x:v>
      </x:c>
      <x:c r="G305" t="str">
        <x:v>Food</x:v>
      </x:c>
      <x:c r="H305" t="n">
        <x:v>3</x:v>
      </x:c>
      <x:c r="I305" s="14" t="n">
        <x:v>200</x:v>
      </x:c>
      <x:c r="J305" s="14" t="n">
        <x:v>600</x:v>
      </x:c>
      <x:c r="K305" t="str">
        <x:v>DEMO / SIMULATED</x:v>
      </x:c>
    </x:row>
    <x:row r="306">
      <x:c r="A306" t="str">
        <x:v>JFD-20231120-0176</x:v>
      </x:c>
      <x:c r="B306" s="11" t="n">
        <x:v>45250.52916666667</x:v>
      </x:c>
      <x:c r="C306" s="13" t="n">
        <x:v>0.5291666666666667</x:v>
      </x:c>
      <x:c r="D306" t="str">
        <x:v>Damak</x:v>
      </x:c>
      <x:c r="E306" t="str">
        <x:v>Milan’s Bakery</x:v>
      </x:c>
      <x:c r="F306" t="str">
        <x:v>Vanilla Cake</x:v>
      </x:c>
      <x:c r="G306" t="str">
        <x:v>Food</x:v>
      </x:c>
      <x:c r="H306" t="n">
        <x:v>4</x:v>
      </x:c>
      <x:c r="I306" s="14" t="n">
        <x:v>245</x:v>
      </x:c>
      <x:c r="J306" s="14" t="n">
        <x:v>980</x:v>
      </x:c>
      <x:c r="K306" t="str">
        <x:v>DEMO / SIMULATED</x:v>
      </x:c>
    </x:row>
    <x:row r="307">
      <x:c r="A307" t="str">
        <x:v>JFD-20231120-0176</x:v>
      </x:c>
      <x:c r="B307" s="11" t="n">
        <x:v>45250.71041666667</x:v>
      </x:c>
      <x:c r="C307" s="13" t="n">
        <x:v>0.7104166666666667</x:v>
      </x:c>
      <x:c r="D307" t="str">
        <x:v>Damak</x:v>
      </x:c>
      <x:c r="E307" t="str">
        <x:v>Milan’s Bakery</x:v>
      </x:c>
      <x:c r="F307" t="str">
        <x:v>Red Velvet Cake</x:v>
      </x:c>
      <x:c r="G307" t="str">
        <x:v>Food</x:v>
      </x:c>
      <x:c r="H307" t="n">
        <x:v>2</x:v>
      </x:c>
      <x:c r="I307" s="14" t="n">
        <x:v>740</x:v>
      </x:c>
      <x:c r="J307" s="14" t="n">
        <x:v>1480</x:v>
      </x:c>
      <x:c r="K307" t="str">
        <x:v>DEMO / SIMULATED</x:v>
      </x:c>
    </x:row>
    <x:row r="308">
      <x:c r="A308" t="str">
        <x:v>JFD-20250129-0177</x:v>
      </x:c>
      <x:c r="B308" s="11" t="n">
        <x:v>45686.895833333336</x:v>
      </x:c>
      <x:c r="C308" s="13" t="n">
        <x:v>0.8958333333333334</x:v>
      </x:c>
      <x:c r="D308" t="str">
        <x:v>Damak</x:v>
      </x:c>
      <x:c r="E308" t="str">
        <x:v>Late Night Cravings</x:v>
      </x:c>
      <x:c r="F308" t="str">
        <x:v>Veg Fry Rice</x:v>
      </x:c>
      <x:c r="G308" t="str">
        <x:v>Food</x:v>
      </x:c>
      <x:c r="H308" t="n">
        <x:v>2</x:v>
      </x:c>
      <x:c r="I308" s="14" t="n">
        <x:v>150</x:v>
      </x:c>
      <x:c r="J308" s="14" t="n">
        <x:v>300</x:v>
      </x:c>
      <x:c r="K308" t="str">
        <x:v>DEMO / SIMULATED</x:v>
      </x:c>
    </x:row>
    <x:row r="309">
      <x:c r="A309" t="str">
        <x:v>JFD-20240429-0178</x:v>
      </x:c>
      <x:c r="B309" s="11" t="n">
        <x:v>45411.70138888889</x:v>
      </x:c>
      <x:c r="C309" s="13" t="n">
        <x:v>0.7013888888888888</x:v>
      </x:c>
      <x:c r="D309" t="str">
        <x:v>Birtamode</x:v>
      </x:c>
      <x:c r="E309" t="str">
        <x:v>The Underground Cafe &amp; Restaurant</x:v>
      </x:c>
      <x:c r="F309" t="str">
        <x:v>Aalu Jeera</x:v>
      </x:c>
      <x:c r="G309" t="str">
        <x:v>Food</x:v>
      </x:c>
      <x:c r="H309" t="n">
        <x:v>3</x:v>
      </x:c>
      <x:c r="I309" s="14" t="n">
        <x:v>135</x:v>
      </x:c>
      <x:c r="J309" s="14" t="n">
        <x:v>405</x:v>
      </x:c>
      <x:c r="K309" t="str">
        <x:v>DEMO / SIMULATED</x:v>
      </x:c>
    </x:row>
    <x:row r="310">
      <x:c r="A310" t="str">
        <x:v>JFD-20240429-0178</x:v>
      </x:c>
      <x:c r="B310" s="11" t="n">
        <x:v>45411.59722222222</x:v>
      </x:c>
      <x:c r="C310" s="13" t="n">
        <x:v>0.5972222222222222</x:v>
      </x:c>
      <x:c r="D310" t="str">
        <x:v>Birtamode</x:v>
      </x:c>
      <x:c r="E310" t="str">
        <x:v>The Underground Cafe &amp; Restaurant</x:v>
      </x:c>
      <x:c r="F310" t="str">
        <x:v>Bottled Water 1L</x:v>
      </x:c>
      <x:c r="G310" t="str">
        <x:v>Drink</x:v>
      </x:c>
      <x:c r="H310" t="n">
        <x:v>4</x:v>
      </x:c>
      <x:c r="I310" s="14" t="n">
        <x:v>35</x:v>
      </x:c>
      <x:c r="J310" s="14" t="n">
        <x:v>140</x:v>
      </x:c>
      <x:c r="K310" t="str">
        <x:v>DEMO / SIMULATED</x:v>
      </x:c>
    </x:row>
    <x:row r="311">
      <x:c r="A311" t="str">
        <x:v>JFD-20240501-0179</x:v>
      </x:c>
      <x:c r="B311" s="11" t="n">
        <x:v>45413.743055555555</x:v>
      </x:c>
      <x:c r="C311" s="13" t="n">
        <x:v>0.7430555555555556</x:v>
      </x:c>
      <x:c r="D311" t="str">
        <x:v>Birtamode</x:v>
      </x:c>
      <x:c r="E311" t="str">
        <x:v>Pizza Ghar</x:v>
      </x:c>
      <x:c r="F311" t="str">
        <x:v>Egg Fried Rice</x:v>
      </x:c>
      <x:c r="G311" t="str">
        <x:v>Food</x:v>
      </x:c>
      <x:c r="H311" t="n">
        <x:v>1</x:v>
      </x:c>
      <x:c r="I311" s="14" t="n">
        <x:v>240</x:v>
      </x:c>
      <x:c r="J311" s="14" t="n">
        <x:v>240</x:v>
      </x:c>
      <x:c r="K311" t="str">
        <x:v>DEMO / SIMULATED</x:v>
      </x:c>
    </x:row>
    <x:row r="312">
      <x:c r="A312" t="str">
        <x:v>JFD-20240501-0179</x:v>
      </x:c>
      <x:c r="B312" s="11" t="n">
        <x:v>45413.66875</x:v>
      </x:c>
      <x:c r="C312" s="13" t="n">
        <x:v>0.66875</x:v>
      </x:c>
      <x:c r="D312" t="str">
        <x:v>Birtamode</x:v>
      </x:c>
      <x:c r="E312" t="str">
        <x:v>Pizza Ghar</x:v>
      </x:c>
      <x:c r="F312" t="str">
        <x:v>Veg Fried Rice</x:v>
      </x:c>
      <x:c r="G312" t="str">
        <x:v>Food</x:v>
      </x:c>
      <x:c r="H312" t="n">
        <x:v>1</x:v>
      </x:c>
      <x:c r="I312" s="14" t="n">
        <x:v>195</x:v>
      </x:c>
      <x:c r="J312" s="14" t="n">
        <x:v>195</x:v>
      </x:c>
      <x:c r="K312" t="str">
        <x:v>DEMO / SIMULATED</x:v>
      </x:c>
    </x:row>
    <x:row r="313">
      <x:c r="A313" t="str">
        <x:v>JFD-20230613-0180</x:v>
      </x:c>
      <x:c r="B313" s="11" t="n">
        <x:v>45090.53333333333</x:v>
      </x:c>
      <x:c r="C313" s="13" t="n">
        <x:v>0.5333333333333333</x:v>
      </x:c>
      <x:c r="D313" t="str">
        <x:v>Damak</x:v>
      </x:c>
      <x:c r="E313" t="str">
        <x:v>Late Night Cravings</x:v>
      </x:c>
      <x:c r="F313" t="str">
        <x:v>Coca-Cola 500ml</x:v>
      </x:c>
      <x:c r="G313" t="str">
        <x:v>Drink</x:v>
      </x:c>
      <x:c r="H313" t="n">
        <x:v>4</x:v>
      </x:c>
      <x:c r="I313" s="14" t="n">
        <x:v>80</x:v>
      </x:c>
      <x:c r="J313" s="14" t="n">
        <x:v>320</x:v>
      </x:c>
      <x:c r="K313" t="str">
        <x:v>DEMO / SIMULATED</x:v>
      </x:c>
    </x:row>
    <x:row r="314">
      <x:c r="A314" t="str">
        <x:v>JFD-20230613-0180</x:v>
      </x:c>
      <x:c r="B314" s="11" t="n">
        <x:v>45090.788194444445</x:v>
      </x:c>
      <x:c r="C314" s="13" t="n">
        <x:v>0.7881944444444444</x:v>
      </x:c>
      <x:c r="D314" t="str">
        <x:v>Damak</x:v>
      </x:c>
      <x:c r="E314" t="str">
        <x:v>Late Night Cravings</x:v>
      </x:c>
      <x:c r="F314" t="str">
        <x:v>Bottled Water 1L</x:v>
      </x:c>
      <x:c r="G314" t="str">
        <x:v>Drink</x:v>
      </x:c>
      <x:c r="H314" t="n">
        <x:v>4</x:v>
      </x:c>
      <x:c r="I314" s="14" t="n">
        <x:v>35</x:v>
      </x:c>
      <x:c r="J314" s="14" t="n">
        <x:v>140</x:v>
      </x:c>
      <x:c r="K314" t="str">
        <x:v>DEMO / SIMULATED</x:v>
      </x:c>
    </x:row>
    <x:row r="315">
      <x:c r="A315" t="str">
        <x:v>JFD-20241003-0181</x:v>
      </x:c>
      <x:c r="B315" s="11" t="n">
        <x:v>45568.50625</x:v>
      </x:c>
      <x:c r="C315" s="13" t="n">
        <x:v>0.50625</x:v>
      </x:c>
      <x:c r="D315" t="str">
        <x:v>Birtamode</x:v>
      </x:c>
      <x:c r="E315" t="str">
        <x:v>Pizza Ghar</x:v>
      </x:c>
      <x:c r="F315" t="str">
        <x:v>Coca-Cola 500ml</x:v>
      </x:c>
      <x:c r="G315" t="str">
        <x:v>Drink</x:v>
      </x:c>
      <x:c r="H315" t="n">
        <x:v>2</x:v>
      </x:c>
      <x:c r="I315" s="14" t="n">
        <x:v>90</x:v>
      </x:c>
      <x:c r="J315" s="14" t="n">
        <x:v>180</x:v>
      </x:c>
      <x:c r="K315" t="str">
        <x:v>DEMO / SIMULATED</x:v>
      </x:c>
    </x:row>
    <x:row r="316">
      <x:c r="A316" t="str">
        <x:v>JFD-20250825-0182</x:v>
      </x:c>
      <x:c r="B316" s="11" t="n">
        <x:v>45894.44027777778</x:v>
      </x:c>
      <x:c r="C316" s="13" t="n">
        <x:v>0.44027777777777777</x:v>
      </x:c>
      <x:c r="D316" t="str">
        <x:v>Birtamode</x:v>
      </x:c>
      <x:c r="E316" t="str">
        <x:v>Pizza Ghar</x:v>
      </x:c>
      <x:c r="F316" t="str">
        <x:v>Chicken Fried Rice</x:v>
      </x:c>
      <x:c r="G316" t="str">
        <x:v>Food</x:v>
      </x:c>
      <x:c r="H316" t="n">
        <x:v>3</x:v>
      </x:c>
      <x:c r="I316" s="14" t="n">
        <x:v>280</x:v>
      </x:c>
      <x:c r="J316" s="14" t="n">
        <x:v>840</x:v>
      </x:c>
      <x:c r="K316" t="str">
        <x:v>DEMO / SIMULATED</x:v>
      </x:c>
    </x:row>
    <x:row r="317">
      <x:c r="A317" t="str">
        <x:v>JFD-20230822-0183</x:v>
      </x:c>
      <x:c r="B317" s="11" t="n">
        <x:v>45160.89513888889</x:v>
      </x:c>
      <x:c r="C317" s="13" t="n">
        <x:v>0.8951388888888889</x:v>
      </x:c>
      <x:c r="D317" t="str">
        <x:v>Birtamode</x:v>
      </x:c>
      <x:c r="E317" t="str">
        <x:v>Pizza Ghar</x:v>
      </x:c>
      <x:c r="F317" t="str">
        <x:v>Bottled Water 1L</x:v>
      </x:c>
      <x:c r="G317" t="str">
        <x:v>Drink</x:v>
      </x:c>
      <x:c r="H317" t="n">
        <x:v>1</x:v>
      </x:c>
      <x:c r="I317" s="14" t="n">
        <x:v>35</x:v>
      </x:c>
      <x:c r="J317" s="14" t="n">
        <x:v>35</x:v>
      </x:c>
      <x:c r="K317" t="str">
        <x:v>DEMO / SIMULATED</x:v>
      </x:c>
    </x:row>
    <x:row r="318">
      <x:c r="A318" t="str">
        <x:v>JFD-20230227-0184</x:v>
      </x:c>
      <x:c r="B318" s="11" t="n">
        <x:v>44984.64722222222</x:v>
      </x:c>
      <x:c r="C318" s="13" t="n">
        <x:v>0.6472222222222223</x:v>
      </x:c>
      <x:c r="D318" t="str">
        <x:v>Birtamode</x:v>
      </x:c>
      <x:c r="E318" t="str">
        <x:v>The Underground Cafe &amp; Restaurant</x:v>
      </x:c>
      <x:c r="F318" t="str">
        <x:v>Bottled Water 1L</x:v>
      </x:c>
      <x:c r="G318" t="str">
        <x:v>Drink</x:v>
      </x:c>
      <x:c r="H318" t="n">
        <x:v>4</x:v>
      </x:c>
      <x:c r="I318" s="14" t="n">
        <x:v>35</x:v>
      </x:c>
      <x:c r="J318" s="14" t="n">
        <x:v>140</x:v>
      </x:c>
      <x:c r="K318" t="str">
        <x:v>DEMO / SIMULATED</x:v>
      </x:c>
    </x:row>
    <x:row r="319">
      <x:c r="A319" t="str">
        <x:v>JFD-20230227-0184</x:v>
      </x:c>
      <x:c r="B319" s="11" t="n">
        <x:v>44984.481944444444</x:v>
      </x:c>
      <x:c r="C319" s="13" t="n">
        <x:v>0.48194444444444445</x:v>
      </x:c>
      <x:c r="D319" t="str">
        <x:v>Birtamode</x:v>
      </x:c>
      <x:c r="E319" t="str">
        <x:v>The Underground Cafe &amp; Restaurant</x:v>
      </x:c>
      <x:c r="F319" t="str">
        <x:v>Aalu Jeera</x:v>
      </x:c>
      <x:c r="G319" t="str">
        <x:v>Food</x:v>
      </x:c>
      <x:c r="H319" t="n">
        <x:v>4</x:v>
      </x:c>
      <x:c r="I319" s="14" t="n">
        <x:v>125</x:v>
      </x:c>
      <x:c r="J319" s="14" t="n">
        <x:v>500</x:v>
      </x:c>
      <x:c r="K319" t="str">
        <x:v>DEMO / SIMULATED</x:v>
      </x:c>
    </x:row>
    <x:row r="320">
      <x:c r="A320" t="str">
        <x:v>JFD-20230227-0184</x:v>
      </x:c>
      <x:c r="B320" s="11" t="n">
        <x:v>44984.881944444445</x:v>
      </x:c>
      <x:c r="C320" s="13" t="n">
        <x:v>0.8819444444444444</x:v>
      </x:c>
      <x:c r="D320" t="str">
        <x:v>Birtamode</x:v>
      </x:c>
      <x:c r="E320" t="str">
        <x:v>The Underground Cafe &amp; Restaurant</x:v>
      </x:c>
      <x:c r="F320" t="str">
        <x:v>Coca-Cola 500ml</x:v>
      </x:c>
      <x:c r="G320" t="str">
        <x:v>Drink</x:v>
      </x:c>
      <x:c r="H320" t="n">
        <x:v>3</x:v>
      </x:c>
      <x:c r="I320" s="14" t="n">
        <x:v>80</x:v>
      </x:c>
      <x:c r="J320" s="14" t="n">
        <x:v>240</x:v>
      </x:c>
      <x:c r="K320" t="str">
        <x:v>DEMO / SIMULATED</x:v>
      </x:c>
    </x:row>
    <x:row r="321">
      <x:c r="A321" t="str">
        <x:v>JFD-20240723-0185</x:v>
      </x:c>
      <x:c r="B321" s="11" t="n">
        <x:v>45496.54791666667</x:v>
      </x:c>
      <x:c r="C321" s="13" t="n">
        <x:v>0.5479166666666667</x:v>
      </x:c>
      <x:c r="D321" t="str">
        <x:v>Damak</x:v>
      </x:c>
      <x:c r="E321" t="str">
        <x:v>Late Night Cravings</x:v>
      </x:c>
      <x:c r="F321" t="str">
        <x:v>Bottled Water 1L</x:v>
      </x:c>
      <x:c r="G321" t="str">
        <x:v>Drink</x:v>
      </x:c>
      <x:c r="H321" t="n">
        <x:v>3</x:v>
      </x:c>
      <x:c r="I321" s="14" t="n">
        <x:v>35</x:v>
      </x:c>
      <x:c r="J321" s="14" t="n">
        <x:v>105</x:v>
      </x:c>
      <x:c r="K321" t="str">
        <x:v>DEMO / SIMULATED</x:v>
      </x:c>
    </x:row>
    <x:row r="322">
      <x:c r="A322" t="str">
        <x:v>JFD-20240723-0185</x:v>
      </x:c>
      <x:c r="B322" s="11" t="n">
        <x:v>45496.541666666664</x:v>
      </x:c>
      <x:c r="C322" s="13" t="n">
        <x:v>0.5416666666666666</x:v>
      </x:c>
      <x:c r="D322" t="str">
        <x:v>Damak</x:v>
      </x:c>
      <x:c r="E322" t="str">
        <x:v>Late Night Cravings</x:v>
      </x:c>
      <x:c r="F322" t="str">
        <x:v>Coca-Cola 500ml</x:v>
      </x:c>
      <x:c r="G322" t="str">
        <x:v>Drink</x:v>
      </x:c>
      <x:c r="H322" t="n">
        <x:v>2</x:v>
      </x:c>
      <x:c r="I322" s="14" t="n">
        <x:v>90</x:v>
      </x:c>
      <x:c r="J322" s="14" t="n">
        <x:v>180</x:v>
      </x:c>
      <x:c r="K322" t="str">
        <x:v>DEMO / SIMULATED</x:v>
      </x:c>
    </x:row>
    <x:row r="323">
      <x:c r="A323" t="str">
        <x:v>JFD-20240820-0186</x:v>
      </x:c>
      <x:c r="B323" s="11" t="n">
        <x:v>45524.472916666666</x:v>
      </x:c>
      <x:c r="C323" s="13" t="n">
        <x:v>0.47291666666666665</x:v>
      </x:c>
      <x:c r="D323" t="str">
        <x:v>Damak</x:v>
      </x:c>
      <x:c r="E323" t="str">
        <x:v>Milan’s Bakery</x:v>
      </x:c>
      <x:c r="F323" t="str">
        <x:v>Coca-Cola 500ml</x:v>
      </x:c>
      <x:c r="G323" t="str">
        <x:v>Drink</x:v>
      </x:c>
      <x:c r="H323" t="n">
        <x:v>2</x:v>
      </x:c>
      <x:c r="I323" s="14" t="n">
        <x:v>90</x:v>
      </x:c>
      <x:c r="J323" s="14" t="n">
        <x:v>180</x:v>
      </x:c>
      <x:c r="K323" t="str">
        <x:v>DEMO / SIMULATED</x:v>
      </x:c>
    </x:row>
    <x:row r="324">
      <x:c r="A324" t="str">
        <x:v>JFD-20250425-0187</x:v>
      </x:c>
      <x:c r="B324" s="11" t="n">
        <x:v>45772.71319444444</x:v>
      </x:c>
      <x:c r="C324" s="13" t="n">
        <x:v>0.7131944444444445</x:v>
      </x:c>
      <x:c r="D324" t="str">
        <x:v>Damak</x:v>
      </x:c>
      <x:c r="E324" t="str">
        <x:v>Milan’s Bakery</x:v>
      </x:c>
      <x:c r="F324" t="str">
        <x:v>Coca-Cola 500ml</x:v>
      </x:c>
      <x:c r="G324" t="str">
        <x:v>Drink</x:v>
      </x:c>
      <x:c r="H324" t="n">
        <x:v>3</x:v>
      </x:c>
      <x:c r="I324" s="14" t="n">
        <x:v>95</x:v>
      </x:c>
      <x:c r="J324" s="14" t="n">
        <x:v>285</x:v>
      </x:c>
      <x:c r="K324" t="str">
        <x:v>DEMO / SIMULATED</x:v>
      </x:c>
    </x:row>
    <x:row r="325">
      <x:c r="A325" t="str">
        <x:v>JFD-20250425-0187</x:v>
      </x:c>
      <x:c r="B325" s="11" t="n">
        <x:v>45772.81805555556</x:v>
      </x:c>
      <x:c r="C325" s="13" t="n">
        <x:v>0.8180555555555555</x:v>
      </x:c>
      <x:c r="D325" t="str">
        <x:v>Damak</x:v>
      </x:c>
      <x:c r="E325" t="str">
        <x:v>Milan’s Bakery</x:v>
      </x:c>
      <x:c r="F325" t="str">
        <x:v>Bottled Water 1L</x:v>
      </x:c>
      <x:c r="G325" t="str">
        <x:v>Drink</x:v>
      </x:c>
      <x:c r="H325" t="n">
        <x:v>4</x:v>
      </x:c>
      <x:c r="I325" s="14" t="n">
        <x:v>40</x:v>
      </x:c>
      <x:c r="J325" s="14" t="n">
        <x:v>160</x:v>
      </x:c>
      <x:c r="K325" t="str">
        <x:v>DEMO / SIMULATED</x:v>
      </x:c>
    </x:row>
    <x:row r="326">
      <x:c r="A326" t="str">
        <x:v>JFD-20240709-0188</x:v>
      </x:c>
      <x:c r="B326" s="11" t="n">
        <x:v>45482.50833333333</x:v>
      </x:c>
      <x:c r="C326" s="13" t="n">
        <x:v>0.5083333333333333</x:v>
      </x:c>
      <x:c r="D326" t="str">
        <x:v>Damak</x:v>
      </x:c>
      <x:c r="E326" t="str">
        <x:v>Milan’s Bakery</x:v>
      </x:c>
      <x:c r="F326" t="str">
        <x:v>Chocolate Cake</x:v>
      </x:c>
      <x:c r="G326" t="str">
        <x:v>Food</x:v>
      </x:c>
      <x:c r="H326" t="n">
        <x:v>2</x:v>
      </x:c>
      <x:c r="I326" s="14" t="n">
        <x:v>310</x:v>
      </x:c>
      <x:c r="J326" s="14" t="n">
        <x:v>620</x:v>
      </x:c>
      <x:c r="K326" t="str">
        <x:v>DEMO / SIMULATED</x:v>
      </x:c>
    </x:row>
    <x:row r="327">
      <x:c r="A327" t="str">
        <x:v>JFD-20241206-0189</x:v>
      </x:c>
      <x:c r="B327" s="11" t="n">
        <x:v>45632.7375</x:v>
      </x:c>
      <x:c r="C327" s="13" t="n">
        <x:v>0.7375</x:v>
      </x:c>
      <x:c r="D327" t="str">
        <x:v>Damak</x:v>
      </x:c>
      <x:c r="E327" t="str">
        <x:v>Milan’s Bakery</x:v>
      </x:c>
      <x:c r="F327" t="str">
        <x:v>Bottled Water 1L</x:v>
      </x:c>
      <x:c r="G327" t="str">
        <x:v>Drink</x:v>
      </x:c>
      <x:c r="H327" t="n">
        <x:v>4</x:v>
      </x:c>
      <x:c r="I327" s="14" t="n">
        <x:v>35</x:v>
      </x:c>
      <x:c r="J327" s="14" t="n">
        <x:v>140</x:v>
      </x:c>
      <x:c r="K327" t="str">
        <x:v>DEMO / SIMULATED</x:v>
      </x:c>
    </x:row>
    <x:row r="328">
      <x:c r="A328" t="str">
        <x:v>JFD-20250201-0190</x:v>
      </x:c>
      <x:c r="B328" s="11" t="n">
        <x:v>45689.87847222222</x:v>
      </x:c>
      <x:c r="C328" s="13" t="n">
        <x:v>0.8784722222222222</x:v>
      </x:c>
      <x:c r="D328" t="str">
        <x:v>Birtamode</x:v>
      </x:c>
      <x:c r="E328" t="str">
        <x:v>Pizza Ghar</x:v>
      </x:c>
      <x:c r="F328" t="str">
        <x:v>Bottled Water 1L</x:v>
      </x:c>
      <x:c r="G328" t="str">
        <x:v>Drink</x:v>
      </x:c>
      <x:c r="H328" t="n">
        <x:v>2</x:v>
      </x:c>
      <x:c r="I328" s="14" t="n">
        <x:v>40</x:v>
      </x:c>
      <x:c r="J328" s="14" t="n">
        <x:v>80</x:v>
      </x:c>
      <x:c r="K328" t="str">
        <x:v>DEMO / SIMULATED</x:v>
      </x:c>
    </x:row>
    <x:row r="329">
      <x:c r="A329" t="str">
        <x:v>JFD-20250201-0190</x:v>
      </x:c>
      <x:c r="B329" s="11" t="n">
        <x:v>45689.8625</x:v>
      </x:c>
      <x:c r="C329" s="13" t="n">
        <x:v>0.8625</x:v>
      </x:c>
      <x:c r="D329" t="str">
        <x:v>Birtamode</x:v>
      </x:c>
      <x:c r="E329" t="str">
        <x:v>Pizza Ghar</x:v>
      </x:c>
      <x:c r="F329" t="str">
        <x:v>Chicken Fried Rice</x:v>
      </x:c>
      <x:c r="G329" t="str">
        <x:v>Food</x:v>
      </x:c>
      <x:c r="H329" t="n">
        <x:v>3</x:v>
      </x:c>
      <x:c r="I329" s="14" t="n">
        <x:v>280</x:v>
      </x:c>
      <x:c r="J329" s="14" t="n">
        <x:v>840</x:v>
      </x:c>
      <x:c r="K329" t="str">
        <x:v>DEMO / SIMULATED</x:v>
      </x:c>
    </x:row>
    <x:row r="330">
      <x:c r="A330" t="str">
        <x:v>JFD-20250201-0190</x:v>
      </x:c>
      <x:c r="B330" s="11" t="n">
        <x:v>45689.521527777775</x:v>
      </x:c>
      <x:c r="C330" s="13" t="n">
        <x:v>0.5215277777777778</x:v>
      </x:c>
      <x:c r="D330" t="str">
        <x:v>Birtamode</x:v>
      </x:c>
      <x:c r="E330" t="str">
        <x:v>Pizza Ghar</x:v>
      </x:c>
      <x:c r="F330" t="str">
        <x:v>Egg Fried Rice</x:v>
      </x:c>
      <x:c r="G330" t="str">
        <x:v>Food</x:v>
      </x:c>
      <x:c r="H330" t="n">
        <x:v>2</x:v>
      </x:c>
      <x:c r="I330" s="14" t="n">
        <x:v>255</x:v>
      </x:c>
      <x:c r="J330" s="14" t="n">
        <x:v>510</x:v>
      </x:c>
      <x:c r="K330" t="str">
        <x:v>DEMO / SIMULATED</x:v>
      </x:c>
    </x:row>
    <x:row r="331">
      <x:c r="A331" t="str">
        <x:v>JFD-20230227-0191</x:v>
      </x:c>
      <x:c r="B331" s="11" t="n">
        <x:v>44984.7</x:v>
      </x:c>
      <x:c r="C331" s="13" t="n">
        <x:v>0.7</x:v>
      </x:c>
      <x:c r="D331" t="str">
        <x:v>Damak</x:v>
      </x:c>
      <x:c r="E331" t="str">
        <x:v>Late Night Cravings</x:v>
      </x:c>
      <x:c r="F331" t="str">
        <x:v>Mix Fry Rice</x:v>
      </x:c>
      <x:c r="G331" t="str">
        <x:v>Food</x:v>
      </x:c>
      <x:c r="H331" t="n">
        <x:v>2</x:v>
      </x:c>
      <x:c r="I331" s="14" t="n">
        <x:v>230</x:v>
      </x:c>
      <x:c r="J331" s="14" t="n">
        <x:v>460</x:v>
      </x:c>
      <x:c r="K331" t="str">
        <x:v>DEMO / SIMULATED</x:v>
      </x:c>
    </x:row>
    <x:row r="332">
      <x:c r="A332" t="str">
        <x:v>JFD-20230227-0191</x:v>
      </x:c>
      <x:c r="B332" s="11" t="n">
        <x:v>44984.521527777775</x:v>
      </x:c>
      <x:c r="C332" s="13" t="n">
        <x:v>0.5215277777777778</x:v>
      </x:c>
      <x:c r="D332" t="str">
        <x:v>Damak</x:v>
      </x:c>
      <x:c r="E332" t="str">
        <x:v>Late Night Cravings</x:v>
      </x:c>
      <x:c r="F332" t="str">
        <x:v>Egg Fry Rice</x:v>
      </x:c>
      <x:c r="G332" t="str">
        <x:v>Food</x:v>
      </x:c>
      <x:c r="H332" t="n">
        <x:v>2</x:v>
      </x:c>
      <x:c r="I332" s="14" t="n">
        <x:v>165</x:v>
      </x:c>
      <x:c r="J332" s="14" t="n">
        <x:v>330</x:v>
      </x:c>
      <x:c r="K332" t="str">
        <x:v>DEMO / SIMULATED</x:v>
      </x:c>
    </x:row>
    <x:row r="333">
      <x:c r="A333" t="str">
        <x:v>JFD-20250509-0192</x:v>
      </x:c>
      <x:c r="B333" s="11" t="n">
        <x:v>45786.50486111111</x:v>
      </x:c>
      <x:c r="C333" s="13" t="n">
        <x:v>0.5048611111111111</x:v>
      </x:c>
      <x:c r="D333" t="str">
        <x:v>Damak</x:v>
      </x:c>
      <x:c r="E333" t="str">
        <x:v>Late Night Cravings</x:v>
      </x:c>
      <x:c r="F333" t="str">
        <x:v>Bottled Water 1L</x:v>
      </x:c>
      <x:c r="G333" t="str">
        <x:v>Drink</x:v>
      </x:c>
      <x:c r="H333" t="n">
        <x:v>3</x:v>
      </x:c>
      <x:c r="I333" s="14" t="n">
        <x:v>40</x:v>
      </x:c>
      <x:c r="J333" s="14" t="n">
        <x:v>120</x:v>
      </x:c>
      <x:c r="K333" t="str">
        <x:v>DEMO / SIMULATED</x:v>
      </x:c>
    </x:row>
    <x:row r="334">
      <x:c r="A334" t="str">
        <x:v>JFD-20250509-0192</x:v>
      </x:c>
      <x:c r="B334" s="11" t="n">
        <x:v>45786.69583333333</x:v>
      </x:c>
      <x:c r="C334" s="13" t="n">
        <x:v>0.6958333333333333</x:v>
      </x:c>
      <x:c r="D334" t="str">
        <x:v>Damak</x:v>
      </x:c>
      <x:c r="E334" t="str">
        <x:v>Late Night Cravings</x:v>
      </x:c>
      <x:c r="F334" t="str">
        <x:v>Mix Fry Rice</x:v>
      </x:c>
      <x:c r="G334" t="str">
        <x:v>Food</x:v>
      </x:c>
      <x:c r="H334" t="n">
        <x:v>4</x:v>
      </x:c>
      <x:c r="I334" s="14" t="n">
        <x:v>265</x:v>
      </x:c>
      <x:c r="J334" s="14" t="n">
        <x:v>1060</x:v>
      </x:c>
      <x:c r="K334" t="str">
        <x:v>DEMO / SIMULATED</x:v>
      </x:c>
    </x:row>
    <x:row r="335">
      <x:c r="A335" t="str">
        <x:v>JFD-20250509-0192</x:v>
      </x:c>
      <x:c r="B335" s="11" t="n">
        <x:v>45786.9125</x:v>
      </x:c>
      <x:c r="C335" s="13" t="n">
        <x:v>0.9125</x:v>
      </x:c>
      <x:c r="D335" t="str">
        <x:v>Damak</x:v>
      </x:c>
      <x:c r="E335" t="str">
        <x:v>Late Night Cravings</x:v>
      </x:c>
      <x:c r="F335" t="str">
        <x:v>Veg Fry Rice</x:v>
      </x:c>
      <x:c r="G335" t="str">
        <x:v>Food</x:v>
      </x:c>
      <x:c r="H335" t="n">
        <x:v>4</x:v>
      </x:c>
      <x:c r="I335" s="14" t="n">
        <x:v>150</x:v>
      </x:c>
      <x:c r="J335" s="14" t="n">
        <x:v>600</x:v>
      </x:c>
      <x:c r="K335" t="str">
        <x:v>DEMO / SIMULATED</x:v>
      </x:c>
    </x:row>
    <x:row r="336">
      <x:c r="A336" t="str">
        <x:v>JFD-20250502-0193</x:v>
      </x:c>
      <x:c r="B336" s="11" t="n">
        <x:v>45779.763194444444</x:v>
      </x:c>
      <x:c r="C336" s="13" t="n">
        <x:v>0.7631944444444444</x:v>
      </x:c>
      <x:c r="D336" t="str">
        <x:v>Damak</x:v>
      </x:c>
      <x:c r="E336" t="str">
        <x:v>Late Night Cravings</x:v>
      </x:c>
      <x:c r="F336" t="str">
        <x:v>Veg Fry Rice</x:v>
      </x:c>
      <x:c r="G336" t="str">
        <x:v>Food</x:v>
      </x:c>
      <x:c r="H336" t="n">
        <x:v>3</x:v>
      </x:c>
      <x:c r="I336" s="14" t="n">
        <x:v>150</x:v>
      </x:c>
      <x:c r="J336" s="14" t="n">
        <x:v>450</x:v>
      </x:c>
      <x:c r="K336" t="str">
        <x:v>DEMO / SIMULATED</x:v>
      </x:c>
    </x:row>
    <x:row r="337">
      <x:c r="A337" t="str">
        <x:v>JFD-20230717-0194</x:v>
      </x:c>
      <x:c r="B337" s="11" t="n">
        <x:v>45124.62708333333</x:v>
      </x:c>
      <x:c r="C337" s="13" t="n">
        <x:v>0.6270833333333333</x:v>
      </x:c>
      <x:c r="D337" t="str">
        <x:v>Damak</x:v>
      </x:c>
      <x:c r="E337" t="str">
        <x:v>Milan’s Bakery</x:v>
      </x:c>
      <x:c r="F337" t="str">
        <x:v>Black Forest Cake</x:v>
      </x:c>
      <x:c r="G337" t="str">
        <x:v>Food</x:v>
      </x:c>
      <x:c r="H337" t="n">
        <x:v>3</x:v>
      </x:c>
      <x:c r="I337" s="14" t="n">
        <x:v>245</x:v>
      </x:c>
      <x:c r="J337" s="14" t="n">
        <x:v>735</x:v>
      </x:c>
      <x:c r="K337" t="str">
        <x:v>DEMO / SIMULATED</x:v>
      </x:c>
    </x:row>
    <x:row r="338">
      <x:c r="A338" t="str">
        <x:v>JFD-20260427-0195</x:v>
      </x:c>
      <x:c r="B338" s="11" t="n">
        <x:v>46139.61875</x:v>
      </x:c>
      <x:c r="C338" s="13" t="n">
        <x:v>0.61875</x:v>
      </x:c>
      <x:c r="D338" t="str">
        <x:v>Damak</x:v>
      </x:c>
      <x:c r="E338" t="str">
        <x:v>Milan’s Bakery</x:v>
      </x:c>
      <x:c r="F338" t="str">
        <x:v>Vanilla Cake</x:v>
      </x:c>
      <x:c r="G338" t="str">
        <x:v>Food</x:v>
      </x:c>
      <x:c r="H338" t="n">
        <x:v>2</x:v>
      </x:c>
      <x:c r="I338" s="14" t="n">
        <x:v>300</x:v>
      </x:c>
      <x:c r="J338" s="14" t="n">
        <x:v>600</x:v>
      </x:c>
      <x:c r="K338" t="str">
        <x:v>DEMO / SIMULATED</x:v>
      </x:c>
    </x:row>
    <x:row r="339">
      <x:c r="A339" t="str">
        <x:v>JFD-20260427-0195</x:v>
      </x:c>
      <x:c r="B339" s="11" t="n">
        <x:v>46139.52638888889</x:v>
      </x:c>
      <x:c r="C339" s="13" t="n">
        <x:v>0.5263888888888889</x:v>
      </x:c>
      <x:c r="D339" t="str">
        <x:v>Damak</x:v>
      </x:c>
      <x:c r="E339" t="str">
        <x:v>Milan’s Bakery</x:v>
      </x:c>
      <x:c r="F339" t="str">
        <x:v>Chocolate Cake</x:v>
      </x:c>
      <x:c r="G339" t="str">
        <x:v>Food</x:v>
      </x:c>
      <x:c r="H339" t="n">
        <x:v>1</x:v>
      </x:c>
      <x:c r="I339" s="14" t="n">
        <x:v>350</x:v>
      </x:c>
      <x:c r="J339" s="14" t="n">
        <x:v>350</x:v>
      </x:c>
      <x:c r="K339" t="str">
        <x:v>DEMO / SIMULATED</x:v>
      </x:c>
    </x:row>
    <x:row r="340">
      <x:c r="A340" t="str">
        <x:v>JFD-20251112-0196</x:v>
      </x:c>
      <x:c r="B340" s="11" t="n">
        <x:v>45973.77916666667</x:v>
      </x:c>
      <x:c r="C340" s="13" t="n">
        <x:v>0.7791666666666667</x:v>
      </x:c>
      <x:c r="D340" t="str">
        <x:v>Birtamode</x:v>
      </x:c>
      <x:c r="E340" t="str">
        <x:v>Pizza Ghar</x:v>
      </x:c>
      <x:c r="F340" t="str">
        <x:v>Coca-Cola 500ml</x:v>
      </x:c>
      <x:c r="G340" t="str">
        <x:v>Drink</x:v>
      </x:c>
      <x:c r="H340" t="n">
        <x:v>1</x:v>
      </x:c>
      <x:c r="I340" s="14" t="n">
        <x:v>95</x:v>
      </x:c>
      <x:c r="J340" s="14" t="n">
        <x:v>95</x:v>
      </x:c>
      <x:c r="K340" t="str">
        <x:v>DEMO / SIMULATED</x:v>
      </x:c>
    </x:row>
    <x:row r="341">
      <x:c r="A341" t="str">
        <x:v>JFD-20251112-0196</x:v>
      </x:c>
      <x:c r="B341" s="11" t="n">
        <x:v>45973.81875</x:v>
      </x:c>
      <x:c r="C341" s="13" t="n">
        <x:v>0.81875</x:v>
      </x:c>
      <x:c r="D341" t="str">
        <x:v>Birtamode</x:v>
      </x:c>
      <x:c r="E341" t="str">
        <x:v>Pizza Ghar</x:v>
      </x:c>
      <x:c r="F341" t="str">
        <x:v>Chicken Fried Rice</x:v>
      </x:c>
      <x:c r="G341" t="str">
        <x:v>Food</x:v>
      </x:c>
      <x:c r="H341" t="n">
        <x:v>4</x:v>
      </x:c>
      <x:c r="I341" s="14" t="n">
        <x:v>280</x:v>
      </x:c>
      <x:c r="J341" s="14" t="n">
        <x:v>1120</x:v>
      </x:c>
      <x:c r="K341" t="str">
        <x:v>DEMO / SIMULATED</x:v>
      </x:c>
    </x:row>
    <x:row r="342">
      <x:c r="A342" t="str">
        <x:v>JFD-20251112-0196</x:v>
      </x:c>
      <x:c r="B342" s="11" t="n">
        <x:v>45973.657638888886</x:v>
      </x:c>
      <x:c r="C342" s="13" t="n">
        <x:v>0.6576388888888889</x:v>
      </x:c>
      <x:c r="D342" t="str">
        <x:v>Birtamode</x:v>
      </x:c>
      <x:c r="E342" t="str">
        <x:v>Pizza Ghar</x:v>
      </x:c>
      <x:c r="F342" t="str">
        <x:v>Egg Fried Rice</x:v>
      </x:c>
      <x:c r="G342" t="str">
        <x:v>Food</x:v>
      </x:c>
      <x:c r="H342" t="n">
        <x:v>1</x:v>
      </x:c>
      <x:c r="I342" s="14" t="n">
        <x:v>255</x:v>
      </x:c>
      <x:c r="J342" s="14" t="n">
        <x:v>255</x:v>
      </x:c>
      <x:c r="K342" t="str">
        <x:v>DEMO / SIMULATED</x:v>
      </x:c>
    </x:row>
    <x:row r="343">
      <x:c r="A343" t="str">
        <x:v>JFD-20240808-0197</x:v>
      </x:c>
      <x:c r="B343" s="11" t="n">
        <x:v>45512.59166666667</x:v>
      </x:c>
      <x:c r="C343" s="13" t="n">
        <x:v>0.5916666666666667</x:v>
      </x:c>
      <x:c r="D343" t="str">
        <x:v>Damak</x:v>
      </x:c>
      <x:c r="E343" t="str">
        <x:v>Milan’s Bakery</x:v>
      </x:c>
      <x:c r="F343" t="str">
        <x:v>Bottled Water 1L</x:v>
      </x:c>
      <x:c r="G343" t="str">
        <x:v>Drink</x:v>
      </x:c>
      <x:c r="H343" t="n">
        <x:v>2</x:v>
      </x:c>
      <x:c r="I343" s="14" t="n">
        <x:v>35</x:v>
      </x:c>
      <x:c r="J343" s="14" t="n">
        <x:v>70</x:v>
      </x:c>
      <x:c r="K343" t="str">
        <x:v>DEMO / SIMULATED</x:v>
      </x:c>
    </x:row>
    <x:row r="344">
      <x:c r="A344" t="str">
        <x:v>JFD-20240808-0197</x:v>
      </x:c>
      <x:c r="B344" s="11" t="n">
        <x:v>45513</x:v>
      </x:c>
      <x:c r="C344" s="13" t="n">
        <x:v>0.7604166666666666</x:v>
      </x:c>
      <x:c r="D344" t="str">
        <x:v>Damak</x:v>
      </x:c>
      <x:c r="E344" t="str">
        <x:v>Milan’s Bakery</x:v>
      </x:c>
      <x:c r="F344" t="str">
        <x:v>Red Velvet Cake</x:v>
      </x:c>
      <x:c r="G344" t="str">
        <x:v>Food</x:v>
      </x:c>
      <x:c r="H344" t="n">
        <x:v>1</x:v>
      </x:c>
      <x:c r="I344" s="14" t="n">
        <x:v>790</x:v>
      </x:c>
      <x:c r="J344" s="14" t="n">
        <x:v>790</x:v>
      </x:c>
      <x:c r="K344" t="str">
        <x:v>DEMO / SIMULATED</x:v>
      </x:c>
    </x:row>
    <x:row r="345">
      <x:c r="A345" t="str">
        <x:v>JFD-20240720-0198</x:v>
      </x:c>
      <x:c r="B345" s="11" t="n">
        <x:v>45493.506944444445</x:v>
      </x:c>
      <x:c r="C345" s="13" t="n">
        <x:v>0.5069444444444444</x:v>
      </x:c>
      <x:c r="D345" t="str">
        <x:v>Damak</x:v>
      </x:c>
      <x:c r="E345" t="str">
        <x:v>Late Night Cravings</x:v>
      </x:c>
      <x:c r="F345" t="str">
        <x:v>Veg Fry Rice</x:v>
      </x:c>
      <x:c r="G345" t="str">
        <x:v>Food</x:v>
      </x:c>
      <x:c r="H345" t="n">
        <x:v>4</x:v>
      </x:c>
      <x:c r="I345" s="14" t="n">
        <x:v>140</x:v>
      </x:c>
      <x:c r="J345" s="14" t="n">
        <x:v>560</x:v>
      </x:c>
      <x:c r="K345" t="str">
        <x:v>DEMO / SIMULATED</x:v>
      </x:c>
    </x:row>
    <x:row r="346">
      <x:c r="A346" t="str">
        <x:v>JFD-20240720-0198</x:v>
      </x:c>
      <x:c r="B346" s="11" t="n">
        <x:v>45493.544444444444</x:v>
      </x:c>
      <x:c r="C346" s="13" t="n">
        <x:v>0.5444444444444444</x:v>
      </x:c>
      <x:c r="D346" t="str">
        <x:v>Damak</x:v>
      </x:c>
      <x:c r="E346" t="str">
        <x:v>Late Night Cravings</x:v>
      </x:c>
      <x:c r="F346" t="str">
        <x:v>Coca-Cola 500ml</x:v>
      </x:c>
      <x:c r="G346" t="str">
        <x:v>Drink</x:v>
      </x:c>
      <x:c r="H346" t="n">
        <x:v>4</x:v>
      </x:c>
      <x:c r="I346" s="14" t="n">
        <x:v>90</x:v>
      </x:c>
      <x:c r="J346" s="14" t="n">
        <x:v>360</x:v>
      </x:c>
      <x:c r="K346" t="str">
        <x:v>DEMO / SIMULATED</x:v>
      </x:c>
    </x:row>
    <x:row r="347">
      <x:c r="A347" t="str">
        <x:v>JFD-20230821-0199</x:v>
      </x:c>
      <x:c r="B347" s="11" t="n">
        <x:v>45159.59583333333</x:v>
      </x:c>
      <x:c r="C347" s="13" t="n">
        <x:v>0.5958333333333333</x:v>
      </x:c>
      <x:c r="D347" t="str">
        <x:v>Damak</x:v>
      </x:c>
      <x:c r="E347" t="str">
        <x:v>Milan’s Bakery</x:v>
      </x:c>
      <x:c r="F347" t="str">
        <x:v>Red Velvet Cake</x:v>
      </x:c>
      <x:c r="G347" t="str">
        <x:v>Food</x:v>
      </x:c>
      <x:c r="H347" t="n">
        <x:v>1</x:v>
      </x:c>
      <x:c r="I347" s="14" t="n">
        <x:v>740</x:v>
      </x:c>
      <x:c r="J347" s="14" t="n">
        <x:v>740</x:v>
      </x:c>
      <x:c r="K347" t="str">
        <x:v>DEMO / SIMULATED</x:v>
      </x:c>
    </x:row>
    <x:row r="348">
      <x:c r="A348" t="str">
        <x:v>JFD-20230821-0199</x:v>
      </x:c>
      <x:c r="B348" s="11" t="n">
        <x:v>45159.81180555555</x:v>
      </x:c>
      <x:c r="C348" s="13" t="n">
        <x:v>0.8118055555555556</x:v>
      </x:c>
      <x:c r="D348" t="str">
        <x:v>Damak</x:v>
      </x:c>
      <x:c r="E348" t="str">
        <x:v>Milan’s Bakery</x:v>
      </x:c>
      <x:c r="F348" t="str">
        <x:v>Vanilla Cake</x:v>
      </x:c>
      <x:c r="G348" t="str">
        <x:v>Food</x:v>
      </x:c>
      <x:c r="H348" t="n">
        <x:v>1</x:v>
      </x:c>
      <x:c r="I348" s="14" t="n">
        <x:v>245</x:v>
      </x:c>
      <x:c r="J348" s="14" t="n">
        <x:v>245</x:v>
      </x:c>
      <x:c r="K348" t="str">
        <x:v>DEMO / SIMULATED</x:v>
      </x:c>
    </x:row>
    <x:row r="349">
      <x:c r="A349" t="str">
        <x:v>JFD-20231015-0200</x:v>
      </x:c>
      <x:c r="B349" s="11" t="n">
        <x:v>45214.80972222222</x:v>
      </x:c>
      <x:c r="C349" s="13" t="n">
        <x:v>0.8097222222222222</x:v>
      </x:c>
      <x:c r="D349" t="str">
        <x:v>Damak</x:v>
      </x:c>
      <x:c r="E349" t="str">
        <x:v>Milan’s Bakery</x:v>
      </x:c>
      <x:c r="F349" t="str">
        <x:v>Coca-Cola 500ml</x:v>
      </x:c>
      <x:c r="G349" t="str">
        <x:v>Drink</x:v>
      </x:c>
      <x:c r="H349" t="n">
        <x:v>1</x:v>
      </x:c>
      <x:c r="I349" s="14" t="n">
        <x:v>80</x:v>
      </x:c>
      <x:c r="J349" s="14" t="n">
        <x:v>80</x:v>
      </x:c>
      <x:c r="K349" t="str">
        <x:v>DEMO / SIMULATED</x:v>
      </x:c>
    </x:row>
    <x:row r="350">
      <x:c r="A350" t="str">
        <x:v>JFD-20260913-0201</x:v>
      </x:c>
      <x:c r="B350" s="11" t="n">
        <x:v>46278.64027777778</x:v>
      </x:c>
      <x:c r="C350" s="13" t="n">
        <x:v>0.6402777777777777</x:v>
      </x:c>
      <x:c r="D350" t="str">
        <x:v>Birtamode</x:v>
      </x:c>
      <x:c r="E350" t="str">
        <x:v>Pizza Ghar</x:v>
      </x:c>
      <x:c r="F350" t="str">
        <x:v>Bottled Water 1L</x:v>
      </x:c>
      <x:c r="G350" t="str">
        <x:v>Drink</x:v>
      </x:c>
      <x:c r="H350" t="n">
        <x:v>4</x:v>
      </x:c>
      <x:c r="I350" s="14" t="n">
        <x:v>40</x:v>
      </x:c>
      <x:c r="J350" s="14" t="n">
        <x:v>160</x:v>
      </x:c>
      <x:c r="K350" t="str">
        <x:v>DEMO / SIMULATED</x:v>
      </x:c>
    </x:row>
    <x:row r="351">
      <x:c r="A351" t="str">
        <x:v>JFD-20230618-0202</x:v>
      </x:c>
      <x:c r="B351" s="11" t="n">
        <x:v>45095.91458333333</x:v>
      </x:c>
      <x:c r="C351" s="13" t="n">
        <x:v>0.9145833333333333</x:v>
      </x:c>
      <x:c r="D351" t="str">
        <x:v>Damak</x:v>
      </x:c>
      <x:c r="E351" t="str">
        <x:v>Late Night Cravings</x:v>
      </x:c>
      <x:c r="F351" t="str">
        <x:v>Mix Fry Rice</x:v>
      </x:c>
      <x:c r="G351" t="str">
        <x:v>Food</x:v>
      </x:c>
      <x:c r="H351" t="n">
        <x:v>2</x:v>
      </x:c>
      <x:c r="I351" s="14" t="n">
        <x:v>230</x:v>
      </x:c>
      <x:c r="J351" s="14" t="n">
        <x:v>460</x:v>
      </x:c>
      <x:c r="K351" t="str">
        <x:v>DEMO / SIMULATED</x:v>
      </x:c>
    </x:row>
    <x:row r="352">
      <x:c r="A352" t="str">
        <x:v>JFD-20250619-0203</x:v>
      </x:c>
      <x:c r="B352" s="11" t="n">
        <x:v>45827.811111111114</x:v>
      </x:c>
      <x:c r="C352" s="13" t="n">
        <x:v>0.8111111111111111</x:v>
      </x:c>
      <x:c r="D352" t="str">
        <x:v>Damak</x:v>
      </x:c>
      <x:c r="E352" t="str">
        <x:v>Milan’s Bakery</x:v>
      </x:c>
      <x:c r="F352" t="str">
        <x:v>Coca-Cola 500ml</x:v>
      </x:c>
      <x:c r="G352" t="str">
        <x:v>Drink</x:v>
      </x:c>
      <x:c r="H352" t="n">
        <x:v>2</x:v>
      </x:c>
      <x:c r="I352" s="14" t="n">
        <x:v>95</x:v>
      </x:c>
      <x:c r="J352" s="14" t="n">
        <x:v>190</x:v>
      </x:c>
      <x:c r="K352" t="str">
        <x:v>DEMO / SIMULATED</x:v>
      </x:c>
    </x:row>
    <x:row r="353">
      <x:c r="A353" t="str">
        <x:v>JFD-20251114-0204</x:v>
      </x:c>
      <x:c r="B353" s="11" t="n">
        <x:v>45975.899305555555</x:v>
      </x:c>
      <x:c r="C353" s="13" t="n">
        <x:v>0.8993055555555556</x:v>
      </x:c>
      <x:c r="D353" t="str">
        <x:v>Damak</x:v>
      </x:c>
      <x:c r="E353" t="str">
        <x:v>Milan’s Bakery</x:v>
      </x:c>
      <x:c r="F353" t="str">
        <x:v>Bottled Water 1L</x:v>
      </x:c>
      <x:c r="G353" t="str">
        <x:v>Drink</x:v>
      </x:c>
      <x:c r="H353" t="n">
        <x:v>1</x:v>
      </x:c>
      <x:c r="I353" s="14" t="n">
        <x:v>40</x:v>
      </x:c>
      <x:c r="J353" s="14" t="n">
        <x:v>40</x:v>
      </x:c>
      <x:c r="K353" t="str">
        <x:v>DEMO / SIMULATED</x:v>
      </x:c>
    </x:row>
    <x:row r="354">
      <x:c r="A354" t="str">
        <x:v>JFD-20251114-0204</x:v>
      </x:c>
      <x:c r="B354" s="11" t="n">
        <x:v>45975.5</x:v>
      </x:c>
      <x:c r="C354" s="13" t="n">
        <x:v>0.5</x:v>
      </x:c>
      <x:c r="D354" t="str">
        <x:v>Damak</x:v>
      </x:c>
      <x:c r="E354" t="str">
        <x:v>Milan’s Bakery</x:v>
      </x:c>
      <x:c r="F354" t="str">
        <x:v>Vanilla Cake</x:v>
      </x:c>
      <x:c r="G354" t="str">
        <x:v>Food</x:v>
      </x:c>
      <x:c r="H354" t="n">
        <x:v>4</x:v>
      </x:c>
      <x:c r="I354" s="14" t="n">
        <x:v>280</x:v>
      </x:c>
      <x:c r="J354" s="14" t="n">
        <x:v>1120</x:v>
      </x:c>
      <x:c r="K354" t="str">
        <x:v>DEMO / SIMULATED</x:v>
      </x:c>
    </x:row>
    <x:row r="355">
      <x:c r="A355" t="str">
        <x:v>JFD-20251114-0204</x:v>
      </x:c>
      <x:c r="B355" s="11" t="n">
        <x:v>45975.638194444444</x:v>
      </x:c>
      <x:c r="C355" s="13" t="n">
        <x:v>0.6381944444444444</x:v>
      </x:c>
      <x:c r="D355" t="str">
        <x:v>Damak</x:v>
      </x:c>
      <x:c r="E355" t="str">
        <x:v>Milan’s Bakery</x:v>
      </x:c>
      <x:c r="F355" t="str">
        <x:v>Red Velvet Cake</x:v>
      </x:c>
      <x:c r="G355" t="str">
        <x:v>Food</x:v>
      </x:c>
      <x:c r="H355" t="n">
        <x:v>2</x:v>
      </x:c>
      <x:c r="I355" s="14" t="n">
        <x:v>845</x:v>
      </x:c>
      <x:c r="J355" s="14" t="n">
        <x:v>1690</x:v>
      </x:c>
      <x:c r="K355" t="str">
        <x:v>DEMO / SIMULATED</x:v>
      </x:c>
    </x:row>
    <x:row r="356">
      <x:c r="A356" t="str">
        <x:v>JFD-20230408-0205</x:v>
      </x:c>
      <x:c r="B356" s="11" t="n">
        <x:v>45024.635416666664</x:v>
      </x:c>
      <x:c r="C356" s="13" t="n">
        <x:v>0.6354166666666666</x:v>
      </x:c>
      <x:c r="D356" t="str">
        <x:v>Birtamode</x:v>
      </x:c>
      <x:c r="E356" t="str">
        <x:v>Pizza Ghar</x:v>
      </x:c>
      <x:c r="F356" t="str">
        <x:v>Coca-Cola 500ml</x:v>
      </x:c>
      <x:c r="G356" t="str">
        <x:v>Drink</x:v>
      </x:c>
      <x:c r="H356" t="n">
        <x:v>3</x:v>
      </x:c>
      <x:c r="I356" s="14" t="n">
        <x:v>80</x:v>
      </x:c>
      <x:c r="J356" s="14" t="n">
        <x:v>240</x:v>
      </x:c>
      <x:c r="K356" t="str">
        <x:v>DEMO / SIMULATED</x:v>
      </x:c>
    </x:row>
    <x:row r="357">
      <x:c r="A357" t="str">
        <x:v>JFD-20230408-0205</x:v>
      </x:c>
      <x:c r="B357" s="11" t="n">
        <x:v>45024.739583333336</x:v>
      </x:c>
      <x:c r="C357" s="13" t="n">
        <x:v>0.7395833333333334</x:v>
      </x:c>
      <x:c r="D357" t="str">
        <x:v>Birtamode</x:v>
      </x:c>
      <x:c r="E357" t="str">
        <x:v>Pizza Ghar</x:v>
      </x:c>
      <x:c r="F357" t="str">
        <x:v>Chicken Fried Rice</x:v>
      </x:c>
      <x:c r="G357" t="str">
        <x:v>Food</x:v>
      </x:c>
      <x:c r="H357" t="n">
        <x:v>3</x:v>
      </x:c>
      <x:c r="I357" s="14" t="n">
        <x:v>245</x:v>
      </x:c>
      <x:c r="J357" s="14" t="n">
        <x:v>735</x:v>
      </x:c>
      <x:c r="K357" t="str">
        <x:v>DEMO / SIMULATED</x:v>
      </x:c>
    </x:row>
    <x:row r="358">
      <x:c r="A358" t="str">
        <x:v>JFD-20231127-0206</x:v>
      </x:c>
      <x:c r="B358" s="11" t="n">
        <x:v>45257.48819444444</x:v>
      </x:c>
      <x:c r="C358" s="13" t="n">
        <x:v>0.48819444444444443</x:v>
      </x:c>
      <x:c r="D358" t="str">
        <x:v>Damak</x:v>
      </x:c>
      <x:c r="E358" t="str">
        <x:v>Milan’s Bakery</x:v>
      </x:c>
      <x:c r="F358" t="str">
        <x:v>Chocolate Cake</x:v>
      </x:c>
      <x:c r="G358" t="str">
        <x:v>Food</x:v>
      </x:c>
      <x:c r="H358" t="n">
        <x:v>4</x:v>
      </x:c>
      <x:c r="I358" s="14" t="n">
        <x:v>285</x:v>
      </x:c>
      <x:c r="J358" s="14" t="n">
        <x:v>1140</x:v>
      </x:c>
      <x:c r="K358" t="str">
        <x:v>DEMO / SIMULATED</x:v>
      </x:c>
    </x:row>
    <x:row r="359">
      <x:c r="A359" t="str">
        <x:v>JFD-20231127-0206</x:v>
      </x:c>
      <x:c r="B359" s="11" t="n">
        <x:v>45257.58541666667</x:v>
      </x:c>
      <x:c r="C359" s="13" t="n">
        <x:v>0.5854166666666667</x:v>
      </x:c>
      <x:c r="D359" t="str">
        <x:v>Damak</x:v>
      </x:c>
      <x:c r="E359" t="str">
        <x:v>Milan’s Bakery</x:v>
      </x:c>
      <x:c r="F359" t="str">
        <x:v>Red Velvet Cake</x:v>
      </x:c>
      <x:c r="G359" t="str">
        <x:v>Food</x:v>
      </x:c>
      <x:c r="H359" t="n">
        <x:v>2</x:v>
      </x:c>
      <x:c r="I359" s="14" t="n">
        <x:v>740</x:v>
      </x:c>
      <x:c r="J359" s="14" t="n">
        <x:v>1480</x:v>
      </x:c>
      <x:c r="K359" t="str">
        <x:v>DEMO / SIMULATED</x:v>
      </x:c>
    </x:row>
    <x:row r="360">
      <x:c r="A360" t="str">
        <x:v>JFD-20231127-0206</x:v>
      </x:c>
      <x:c r="B360" s="11" t="n">
        <x:v>45257.481944444444</x:v>
      </x:c>
      <x:c r="C360" s="13" t="n">
        <x:v>0.48194444444444445</x:v>
      </x:c>
      <x:c r="D360" t="str">
        <x:v>Damak</x:v>
      </x:c>
      <x:c r="E360" t="str">
        <x:v>Milan’s Bakery</x:v>
      </x:c>
      <x:c r="F360" t="str">
        <x:v>Black Forest Cake</x:v>
      </x:c>
      <x:c r="G360" t="str">
        <x:v>Food</x:v>
      </x:c>
      <x:c r="H360" t="n">
        <x:v>2</x:v>
      </x:c>
      <x:c r="I360" s="14" t="n">
        <x:v>245</x:v>
      </x:c>
      <x:c r="J360" s="14" t="n">
        <x:v>490</x:v>
      </x:c>
      <x:c r="K360" t="str">
        <x:v>DEMO / SIMULATED</x:v>
      </x:c>
    </x:row>
    <x:row r="361">
      <x:c r="A361" t="str">
        <x:v>JFD-20251215-0207</x:v>
      </x:c>
      <x:c r="B361" s="11" t="n">
        <x:v>46006.660416666666</x:v>
      </x:c>
      <x:c r="C361" s="13" t="n">
        <x:v>0.6604166666666667</x:v>
      </x:c>
      <x:c r="D361" t="str">
        <x:v>Damak</x:v>
      </x:c>
      <x:c r="E361" t="str">
        <x:v>Milan’s Bakery</x:v>
      </x:c>
      <x:c r="F361" t="str">
        <x:v>Black Forest Cake</x:v>
      </x:c>
      <x:c r="G361" t="str">
        <x:v>Food</x:v>
      </x:c>
      <x:c r="H361" t="n">
        <x:v>4</x:v>
      </x:c>
      <x:c r="I361" s="14" t="n">
        <x:v>280</x:v>
      </x:c>
      <x:c r="J361" s="14" t="n">
        <x:v>1120</x:v>
      </x:c>
      <x:c r="K361" t="str">
        <x:v>DEMO / SIMULATED</x:v>
      </x:c>
    </x:row>
    <x:row r="362">
      <x:c r="A362" t="str">
        <x:v>JFD-20251215-0207</x:v>
      </x:c>
      <x:c r="B362" s="11" t="n">
        <x:v>46006.794444444444</x:v>
      </x:c>
      <x:c r="C362" s="13" t="n">
        <x:v>0.7944444444444444</x:v>
      </x:c>
      <x:c r="D362" t="str">
        <x:v>Damak</x:v>
      </x:c>
      <x:c r="E362" t="str">
        <x:v>Milan’s Bakery</x:v>
      </x:c>
      <x:c r="F362" t="str">
        <x:v>Coca-Cola 500ml</x:v>
      </x:c>
      <x:c r="G362" t="str">
        <x:v>Drink</x:v>
      </x:c>
      <x:c r="H362" t="n">
        <x:v>3</x:v>
      </x:c>
      <x:c r="I362" s="14" t="n">
        <x:v>95</x:v>
      </x:c>
      <x:c r="J362" s="14" t="n">
        <x:v>285</x:v>
      </x:c>
      <x:c r="K362" t="str">
        <x:v>DEMO / SIMULATED</x:v>
      </x:c>
    </x:row>
    <x:row r="363">
      <x:c r="A363" t="str">
        <x:v>JFD-20230716-0208</x:v>
      </x:c>
      <x:c r="B363" s="11" t="n">
        <x:v>45123.60277777778</x:v>
      </x:c>
      <x:c r="C363" s="13" t="n">
        <x:v>0.6027777777777777</x:v>
      </x:c>
      <x:c r="D363" t="str">
        <x:v>Damak</x:v>
      </x:c>
      <x:c r="E363" t="str">
        <x:v>Milan’s Bakery</x:v>
      </x:c>
      <x:c r="F363" t="str">
        <x:v>Bottled Water 1L</x:v>
      </x:c>
      <x:c r="G363" t="str">
        <x:v>Drink</x:v>
      </x:c>
      <x:c r="H363" t="n">
        <x:v>4</x:v>
      </x:c>
      <x:c r="I363" s="14" t="n">
        <x:v>35</x:v>
      </x:c>
      <x:c r="J363" s="14" t="n">
        <x:v>140</x:v>
      </x:c>
      <x:c r="K363" t="str">
        <x:v>DEMO / SIMULATED</x:v>
      </x:c>
    </x:row>
    <x:row r="364">
      <x:c r="A364" t="str">
        <x:v>JFD-20230716-0208</x:v>
      </x:c>
      <x:c r="B364" s="11" t="n">
        <x:v>45123.56527777778</x:v>
      </x:c>
      <x:c r="C364" s="13" t="n">
        <x:v>0.5652777777777778</x:v>
      </x:c>
      <x:c r="D364" t="str">
        <x:v>Damak</x:v>
      </x:c>
      <x:c r="E364" t="str">
        <x:v>Milan’s Bakery</x:v>
      </x:c>
      <x:c r="F364" t="str">
        <x:v>Vanilla Cake</x:v>
      </x:c>
      <x:c r="G364" t="str">
        <x:v>Food</x:v>
      </x:c>
      <x:c r="H364" t="n">
        <x:v>1</x:v>
      </x:c>
      <x:c r="I364" s="14" t="n">
        <x:v>245</x:v>
      </x:c>
      <x:c r="J364" s="14" t="n">
        <x:v>245</x:v>
      </x:c>
      <x:c r="K364" t="str">
        <x:v>DEMO / SIMULATED</x:v>
      </x:c>
    </x:row>
    <x:row r="365">
      <x:c r="A365" t="str">
        <x:v>JFD-20250604-0209</x:v>
      </x:c>
      <x:c r="B365" s="11" t="n">
        <x:v>45812.5875</x:v>
      </x:c>
      <x:c r="C365" s="13" t="n">
        <x:v>0.5875</x:v>
      </x:c>
      <x:c r="D365" t="str">
        <x:v>Damak</x:v>
      </x:c>
      <x:c r="E365" t="str">
        <x:v>Late Night Cravings</x:v>
      </x:c>
      <x:c r="F365" t="str">
        <x:v>Chicken Fry Rice</x:v>
      </x:c>
      <x:c r="G365" t="str">
        <x:v>Food</x:v>
      </x:c>
      <x:c r="H365" t="n">
        <x:v>3</x:v>
      </x:c>
      <x:c r="I365" s="14" t="n">
        <x:v>205</x:v>
      </x:c>
      <x:c r="J365" s="14" t="n">
        <x:v>615</x:v>
      </x:c>
      <x:c r="K365" t="str">
        <x:v>DEMO / SIMULATED</x:v>
      </x:c>
    </x:row>
    <x:row r="366">
      <x:c r="A366" t="str">
        <x:v>JFD-20240623-0210</x:v>
      </x:c>
      <x:c r="B366" s="11" t="n">
        <x:v>45466.569444444445</x:v>
      </x:c>
      <x:c r="C366" s="13" t="n">
        <x:v>0.5694444444444444</x:v>
      </x:c>
      <x:c r="D366" t="str">
        <x:v>Damak</x:v>
      </x:c>
      <x:c r="E366" t="str">
        <x:v>Milan’s Bakery</x:v>
      </x:c>
      <x:c r="F366" t="str">
        <x:v>Coca-Cola 500ml</x:v>
      </x:c>
      <x:c r="G366" t="str">
        <x:v>Drink</x:v>
      </x:c>
      <x:c r="H366" t="n">
        <x:v>2</x:v>
      </x:c>
      <x:c r="I366" s="14" t="n">
        <x:v>90</x:v>
      </x:c>
      <x:c r="J366" s="14" t="n">
        <x:v>180</x:v>
      </x:c>
      <x:c r="K366" t="str">
        <x:v>DEMO / SIMULATED</x:v>
      </x:c>
    </x:row>
    <x:row r="367">
      <x:c r="A367" t="str">
        <x:v>JFD-20240623-0210</x:v>
      </x:c>
      <x:c r="B367" s="11" t="n">
        <x:v>45466.50902777778</x:v>
      </x:c>
      <x:c r="C367" s="13" t="n">
        <x:v>0.5090277777777777</x:v>
      </x:c>
      <x:c r="D367" t="str">
        <x:v>Damak</x:v>
      </x:c>
      <x:c r="E367" t="str">
        <x:v>Milan’s Bakery</x:v>
      </x:c>
      <x:c r="F367" t="str">
        <x:v>Chocolate Cake</x:v>
      </x:c>
      <x:c r="G367" t="str">
        <x:v>Food</x:v>
      </x:c>
      <x:c r="H367" t="n">
        <x:v>3</x:v>
      </x:c>
      <x:c r="I367" s="14" t="n">
        <x:v>310</x:v>
      </x:c>
      <x:c r="J367" s="14" t="n">
        <x:v>930</x:v>
      </x:c>
      <x:c r="K367" t="str">
        <x:v>DEMO / SIMULATED</x:v>
      </x:c>
    </x:row>
    <x:row r="368">
      <x:c r="A368" t="str">
        <x:v>JFD-20240623-0210</x:v>
      </x:c>
      <x:c r="B368" s="11" t="n">
        <x:v>45466.76111111111</x:v>
      </x:c>
      <x:c r="C368" s="13" t="n">
        <x:v>0.7611111111111111</x:v>
      </x:c>
      <x:c r="D368" t="str">
        <x:v>Damak</x:v>
      </x:c>
      <x:c r="E368" t="str">
        <x:v>Milan’s Bakery</x:v>
      </x:c>
      <x:c r="F368" t="str">
        <x:v>Bottled Water 1L</x:v>
      </x:c>
      <x:c r="G368" t="str">
        <x:v>Drink</x:v>
      </x:c>
      <x:c r="H368" t="n">
        <x:v>3</x:v>
      </x:c>
      <x:c r="I368" s="14" t="n">
        <x:v>35</x:v>
      </x:c>
      <x:c r="J368" s="14" t="n">
        <x:v>105</x:v>
      </x:c>
      <x:c r="K368" t="str">
        <x:v>DEMO / SIMULATED</x:v>
      </x:c>
    </x:row>
    <x:row r="369">
      <x:c r="A369" t="str">
        <x:v>JFD-20240129-0211</x:v>
      </x:c>
      <x:c r="B369" s="11" t="n">
        <x:v>45320.55416666667</x:v>
      </x:c>
      <x:c r="C369" s="13" t="n">
        <x:v>0.5541666666666667</x:v>
      </x:c>
      <x:c r="D369" t="str">
        <x:v>Birtamode</x:v>
      </x:c>
      <x:c r="E369" t="str">
        <x:v>The Underground Cafe &amp; Restaurant</x:v>
      </x:c>
      <x:c r="F369" t="str">
        <x:v>Paneer Pakauda</x:v>
      </x:c>
      <x:c r="G369" t="str">
        <x:v>Food</x:v>
      </x:c>
      <x:c r="H369" t="n">
        <x:v>4</x:v>
      </x:c>
      <x:c r="I369" s="14" t="n">
        <x:v>200</x:v>
      </x:c>
      <x:c r="J369" s="14" t="n">
        <x:v>800</x:v>
      </x:c>
      <x:c r="K369" t="str">
        <x:v>DEMO / SIMULATED</x:v>
      </x:c>
    </x:row>
    <x:row r="370">
      <x:c r="A370" t="str">
        <x:v>JFD-20230119-0212</x:v>
      </x:c>
      <x:c r="B370" s="11" t="n">
        <x:v>44945.81736111111</x:v>
      </x:c>
      <x:c r="C370" s="13" t="n">
        <x:v>0.8173611111111111</x:v>
      </x:c>
      <x:c r="D370" t="str">
        <x:v>Birtamode</x:v>
      </x:c>
      <x:c r="E370" t="str">
        <x:v>The Underground Cafe &amp; Restaurant</x:v>
      </x:c>
      <x:c r="F370" t="str">
        <x:v>Veg Pakauda</x:v>
      </x:c>
      <x:c r="G370" t="str">
        <x:v>Food</x:v>
      </x:c>
      <x:c r="H370" t="n">
        <x:v>3</x:v>
      </x:c>
      <x:c r="I370" s="14" t="n">
        <x:v>145</x:v>
      </x:c>
      <x:c r="J370" s="14" t="n">
        <x:v>435</x:v>
      </x:c>
      <x:c r="K370" t="str">
        <x:v>DEMO / SIMULATED</x:v>
      </x:c>
    </x:row>
    <x:row r="371">
      <x:c r="A371" t="str">
        <x:v>JFD-20230119-0212</x:v>
      </x:c>
      <x:c r="B371" s="11" t="n">
        <x:v>44945.80416666667</x:v>
      </x:c>
      <x:c r="C371" s="13" t="n">
        <x:v>0.8041666666666667</x:v>
      </x:c>
      <x:c r="D371" t="str">
        <x:v>Birtamode</x:v>
      </x:c>
      <x:c r="E371" t="str">
        <x:v>The Underground Cafe &amp; Restaurant</x:v>
      </x:c>
      <x:c r="F371" t="str">
        <x:v>Coca-Cola 500ml</x:v>
      </x:c>
      <x:c r="G371" t="str">
        <x:v>Drink</x:v>
      </x:c>
      <x:c r="H371" t="n">
        <x:v>3</x:v>
      </x:c>
      <x:c r="I371" s="14" t="n">
        <x:v>80</x:v>
      </x:c>
      <x:c r="J371" s="14" t="n">
        <x:v>240</x:v>
      </x:c>
      <x:c r="K371" t="str">
        <x:v>DEMO / SIMULATED</x:v>
      </x:c>
    </x:row>
    <x:row r="372">
      <x:c r="A372" t="str">
        <x:v>JFD-20251022-0213</x:v>
      </x:c>
      <x:c r="B372" s="11" t="n">
        <x:v>45952.708333333336</x:v>
      </x:c>
      <x:c r="C372" s="13" t="n">
        <x:v>0.7083333333333334</x:v>
      </x:c>
      <x:c r="D372" t="str">
        <x:v>Damak</x:v>
      </x:c>
      <x:c r="E372" t="str">
        <x:v>Milan’s Bakery</x:v>
      </x:c>
      <x:c r="F372" t="str">
        <x:v>Red Velvet Cake</x:v>
      </x:c>
      <x:c r="G372" t="str">
        <x:v>Food</x:v>
      </x:c>
      <x:c r="H372" t="n">
        <x:v>1</x:v>
      </x:c>
      <x:c r="I372" s="14" t="n">
        <x:v>845</x:v>
      </x:c>
      <x:c r="J372" s="14" t="n">
        <x:v>845</x:v>
      </x:c>
      <x:c r="K372" t="str">
        <x:v>DEMO / SIMULATED</x:v>
      </x:c>
    </x:row>
    <x:row r="373">
      <x:c r="A373" t="str">
        <x:v>JFD-20251022-0213</x:v>
      </x:c>
      <x:c r="B373" s="11" t="n">
        <x:v>45952.78194444445</x:v>
      </x:c>
      <x:c r="C373" s="13" t="n">
        <x:v>0.7819444444444444</x:v>
      </x:c>
      <x:c r="D373" t="str">
        <x:v>Damak</x:v>
      </x:c>
      <x:c r="E373" t="str">
        <x:v>Milan’s Bakery</x:v>
      </x:c>
      <x:c r="F373" t="str">
        <x:v>Chocolate Cake</x:v>
      </x:c>
      <x:c r="G373" t="str">
        <x:v>Food</x:v>
      </x:c>
      <x:c r="H373" t="n">
        <x:v>3</x:v>
      </x:c>
      <x:c r="I373" s="14" t="n">
        <x:v>330</x:v>
      </x:c>
      <x:c r="J373" s="14" t="n">
        <x:v>990</x:v>
      </x:c>
      <x:c r="K373" t="str">
        <x:v>DEMO / SIMULATED</x:v>
      </x:c>
    </x:row>
    <x:row r="374">
      <x:c r="A374" t="str">
        <x:v>JFD-20251022-0213</x:v>
      </x:c>
      <x:c r="B374" s="11" t="n">
        <x:v>45952.47777777778</x:v>
      </x:c>
      <x:c r="C374" s="13" t="n">
        <x:v>0.4777777777777778</x:v>
      </x:c>
      <x:c r="D374" t="str">
        <x:v>Damak</x:v>
      </x:c>
      <x:c r="E374" t="str">
        <x:v>Milan’s Bakery</x:v>
      </x:c>
      <x:c r="F374" t="str">
        <x:v>Vanilla Cake</x:v>
      </x:c>
      <x:c r="G374" t="str">
        <x:v>Food</x:v>
      </x:c>
      <x:c r="H374" t="n">
        <x:v>1</x:v>
      </x:c>
      <x:c r="I374" s="14" t="n">
        <x:v>280</x:v>
      </x:c>
      <x:c r="J374" s="14" t="n">
        <x:v>280</x:v>
      </x:c>
      <x:c r="K374" t="str">
        <x:v>DEMO / SIMULATED</x:v>
      </x:c>
    </x:row>
    <x:row r="375">
      <x:c r="A375" t="str">
        <x:v>JFD-20251021-0214</x:v>
      </x:c>
      <x:c r="B375" s="11" t="n">
        <x:v>45951.788194444445</x:v>
      </x:c>
      <x:c r="C375" s="13" t="n">
        <x:v>0.7881944444444444</x:v>
      </x:c>
      <x:c r="D375" t="str">
        <x:v>Birtamode</x:v>
      </x:c>
      <x:c r="E375" t="str">
        <x:v>Pizza Ghar</x:v>
      </x:c>
      <x:c r="F375" t="str">
        <x:v>Chicken BBQ Feast Pizza</x:v>
      </x:c>
      <x:c r="G375" t="str">
        <x:v>Food</x:v>
      </x:c>
      <x:c r="H375" t="n">
        <x:v>1</x:v>
      </x:c>
      <x:c r="I375" s="14" t="n">
        <x:v>545</x:v>
      </x:c>
      <x:c r="J375" s="14" t="n">
        <x:v>545</x:v>
      </x:c>
      <x:c r="K375" t="str">
        <x:v>DEMO / SIMULATED</x:v>
      </x:c>
    </x:row>
    <x:row r="376">
      <x:c r="A376" t="str">
        <x:v>JFD-20230212-0215</x:v>
      </x:c>
      <x:c r="B376" s="11" t="n">
        <x:v>44969.47777777778</x:v>
      </x:c>
      <x:c r="C376" s="13" t="n">
        <x:v>0.4777777777777778</x:v>
      </x:c>
      <x:c r="D376" t="str">
        <x:v>Damak</x:v>
      </x:c>
      <x:c r="E376" t="str">
        <x:v>Milan’s Bakery</x:v>
      </x:c>
      <x:c r="F376" t="str">
        <x:v>Chocolate Cake</x:v>
      </x:c>
      <x:c r="G376" t="str">
        <x:v>Food</x:v>
      </x:c>
      <x:c r="H376" t="n">
        <x:v>2</x:v>
      </x:c>
      <x:c r="I376" s="14" t="n">
        <x:v>285</x:v>
      </x:c>
      <x:c r="J376" s="14" t="n">
        <x:v>570</x:v>
      </x:c>
      <x:c r="K376" t="str">
        <x:v>DEMO / SIMULATED</x:v>
      </x:c>
    </x:row>
    <x:row r="377">
      <x:c r="A377" t="str">
        <x:v>JFD-20260220-0216</x:v>
      </x:c>
      <x:c r="B377" s="11" t="n">
        <x:v>46073.55069444444</x:v>
      </x:c>
      <x:c r="C377" s="13" t="n">
        <x:v>0.5506944444444445</x:v>
      </x:c>
      <x:c r="D377" t="str">
        <x:v>Damak</x:v>
      </x:c>
      <x:c r="E377" t="str">
        <x:v>Late Night Cravings</x:v>
      </x:c>
      <x:c r="F377" t="str">
        <x:v>Chicken Fry Rice</x:v>
      </x:c>
      <x:c r="G377" t="str">
        <x:v>Food</x:v>
      </x:c>
      <x:c r="H377" t="n">
        <x:v>4</x:v>
      </x:c>
      <x:c r="I377" s="14" t="n">
        <x:v>220</x:v>
      </x:c>
      <x:c r="J377" s="14" t="n">
        <x:v>880</x:v>
      </x:c>
      <x:c r="K377" t="str">
        <x:v>DEMO / SIMULATED</x:v>
      </x:c>
    </x:row>
    <x:row r="378">
      <x:c r="A378" t="str">
        <x:v>JFD-20260220-0216</x:v>
      </x:c>
      <x:c r="B378" s="11" t="n">
        <x:v>46073.47777777778</x:v>
      </x:c>
      <x:c r="C378" s="13" t="n">
        <x:v>0.4777777777777778</x:v>
      </x:c>
      <x:c r="D378" t="str">
        <x:v>Damak</x:v>
      </x:c>
      <x:c r="E378" t="str">
        <x:v>Late Night Cravings</x:v>
      </x:c>
      <x:c r="F378" t="str">
        <x:v>Bottled Water 1L</x:v>
      </x:c>
      <x:c r="G378" t="str">
        <x:v>Drink</x:v>
      </x:c>
      <x:c r="H378" t="n">
        <x:v>3</x:v>
      </x:c>
      <x:c r="I378" s="14" t="n">
        <x:v>40</x:v>
      </x:c>
      <x:c r="J378" s="14" t="n">
        <x:v>120</x:v>
      </x:c>
      <x:c r="K378" t="str">
        <x:v>DEMO / SIMULATED</x:v>
      </x:c>
    </x:row>
    <x:row r="379">
      <x:c r="A379" t="str">
        <x:v>JFD-20230121-0217</x:v>
      </x:c>
      <x:c r="B379" s="11" t="n">
        <x:v>44947.53194444445</x:v>
      </x:c>
      <x:c r="C379" s="13" t="n">
        <x:v>0.5319444444444444</x:v>
      </x:c>
      <x:c r="D379" t="str">
        <x:v>Damak</x:v>
      </x:c>
      <x:c r="E379" t="str">
        <x:v>Milan’s Bakery</x:v>
      </x:c>
      <x:c r="F379" t="str">
        <x:v>Coca-Cola 500ml</x:v>
      </x:c>
      <x:c r="G379" t="str">
        <x:v>Drink</x:v>
      </x:c>
      <x:c r="H379" t="n">
        <x:v>2</x:v>
      </x:c>
      <x:c r="I379" s="14" t="n">
        <x:v>80</x:v>
      </x:c>
      <x:c r="J379" s="14" t="n">
        <x:v>160</x:v>
      </x:c>
      <x:c r="K379" t="str">
        <x:v>DEMO / SIMULATED</x:v>
      </x:c>
    </x:row>
    <x:row r="380">
      <x:c r="A380" t="str">
        <x:v>JFD-20230121-0217</x:v>
      </x:c>
      <x:c r="B380" s="11" t="n">
        <x:v>44947.72361111111</x:v>
      </x:c>
      <x:c r="C380" s="13" t="n">
        <x:v>0.7236111111111111</x:v>
      </x:c>
      <x:c r="D380" t="str">
        <x:v>Damak</x:v>
      </x:c>
      <x:c r="E380" t="str">
        <x:v>Milan’s Bakery</x:v>
      </x:c>
      <x:c r="F380" t="str">
        <x:v>Bottled Water 1L</x:v>
      </x:c>
      <x:c r="G380" t="str">
        <x:v>Drink</x:v>
      </x:c>
      <x:c r="H380" t="n">
        <x:v>2</x:v>
      </x:c>
      <x:c r="I380" s="14" t="n">
        <x:v>35</x:v>
      </x:c>
      <x:c r="J380" s="14" t="n">
        <x:v>70</x:v>
      </x:c>
      <x:c r="K380" t="str">
        <x:v>DEMO / SIMULATED</x:v>
      </x:c>
    </x:row>
    <x:row r="381">
      <x:c r="A381" t="str">
        <x:v>JFD-20250320-0218</x:v>
      </x:c>
      <x:c r="B381" s="11" t="n">
        <x:v>45736.813888888886</x:v>
      </x:c>
      <x:c r="C381" s="13" t="n">
        <x:v>0.8138888888888889</x:v>
      </x:c>
      <x:c r="D381" t="str">
        <x:v>Birtamode</x:v>
      </x:c>
      <x:c r="E381" t="str">
        <x:v>Pizza Ghar</x:v>
      </x:c>
      <x:c r="F381" t="str">
        <x:v>Coca-Cola 500ml</x:v>
      </x:c>
      <x:c r="G381" t="str">
        <x:v>Drink</x:v>
      </x:c>
      <x:c r="H381" t="n">
        <x:v>2</x:v>
      </x:c>
      <x:c r="I381" s="14" t="n">
        <x:v>95</x:v>
      </x:c>
      <x:c r="J381" s="14" t="n">
        <x:v>190</x:v>
      </x:c>
      <x:c r="K381" t="str">
        <x:v>DEMO / SIMULATED</x:v>
      </x:c>
    </x:row>
    <x:row r="382">
      <x:c r="A382" t="str">
        <x:v>JFD-20231217-0219</x:v>
      </x:c>
      <x:c r="B382" s="11" t="n">
        <x:v>45277.518055555556</x:v>
      </x:c>
      <x:c r="C382" s="13" t="n">
        <x:v>0.5180555555555556</x:v>
      </x:c>
      <x:c r="D382" t="str">
        <x:v>Damak</x:v>
      </x:c>
      <x:c r="E382" t="str">
        <x:v>Milan’s Bakery</x:v>
      </x:c>
      <x:c r="F382" t="str">
        <x:v>Red Velvet Cake</x:v>
      </x:c>
      <x:c r="G382" t="str">
        <x:v>Food</x:v>
      </x:c>
      <x:c r="H382" t="n">
        <x:v>3</x:v>
      </x:c>
      <x:c r="I382" s="14" t="n">
        <x:v>740</x:v>
      </x:c>
      <x:c r="J382" s="14" t="n">
        <x:v>2220</x:v>
      </x:c>
      <x:c r="K382" t="str">
        <x:v>DEMO / SIMULATED</x:v>
      </x:c>
    </x:row>
    <x:row r="383">
      <x:c r="A383" t="str">
        <x:v>JFD-20230616-0220</x:v>
      </x:c>
      <x:c r="B383" s="11" t="n">
        <x:v>45093.83472222222</x:v>
      </x:c>
      <x:c r="C383" s="13" t="n">
        <x:v>0.8347222222222223</x:v>
      </x:c>
      <x:c r="D383" t="str">
        <x:v>Damak</x:v>
      </x:c>
      <x:c r="E383" t="str">
        <x:v>Milan’s Bakery</x:v>
      </x:c>
      <x:c r="F383" t="str">
        <x:v>Coca-Cola 500ml</x:v>
      </x:c>
      <x:c r="G383" t="str">
        <x:v>Drink</x:v>
      </x:c>
      <x:c r="H383" t="n">
        <x:v>3</x:v>
      </x:c>
      <x:c r="I383" s="14" t="n">
        <x:v>80</x:v>
      </x:c>
      <x:c r="J383" s="14" t="n">
        <x:v>240</x:v>
      </x:c>
      <x:c r="K383" t="str">
        <x:v>DEMO / SIMULATED</x:v>
      </x:c>
    </x:row>
    <x:row r="384">
      <x:c r="A384" t="str">
        <x:v>JFD-20230616-0220</x:v>
      </x:c>
      <x:c r="B384" s="11" t="n">
        <x:v>45093.43263888889</x:v>
      </x:c>
      <x:c r="C384" s="13" t="n">
        <x:v>0.4326388888888889</x:v>
      </x:c>
      <x:c r="D384" t="str">
        <x:v>Damak</x:v>
      </x:c>
      <x:c r="E384" t="str">
        <x:v>Milan’s Bakery</x:v>
      </x:c>
      <x:c r="F384" t="str">
        <x:v>Vanilla Cake</x:v>
      </x:c>
      <x:c r="G384" t="str">
        <x:v>Food</x:v>
      </x:c>
      <x:c r="H384" t="n">
        <x:v>2</x:v>
      </x:c>
      <x:c r="I384" s="14" t="n">
        <x:v>245</x:v>
      </x:c>
      <x:c r="J384" s="14" t="n">
        <x:v>490</x:v>
      </x:c>
      <x:c r="K384" t="str">
        <x:v>DEMO / SIMULATED</x:v>
      </x:c>
    </x:row>
    <x:row r="385">
      <x:c r="A385" t="str">
        <x:v>JFD-20230616-0220</x:v>
      </x:c>
      <x:c r="B385" s="11" t="n">
        <x:v>45093.51666666667</x:v>
      </x:c>
      <x:c r="C385" s="13" t="n">
        <x:v>0.5166666666666667</x:v>
      </x:c>
      <x:c r="D385" t="str">
        <x:v>Damak</x:v>
      </x:c>
      <x:c r="E385" t="str">
        <x:v>Milan’s Bakery</x:v>
      </x:c>
      <x:c r="F385" t="str">
        <x:v>Bottled Water 1L</x:v>
      </x:c>
      <x:c r="G385" t="str">
        <x:v>Drink</x:v>
      </x:c>
      <x:c r="H385" t="n">
        <x:v>1</x:v>
      </x:c>
      <x:c r="I385" s="14" t="n">
        <x:v>35</x:v>
      </x:c>
      <x:c r="J385" s="14" t="n">
        <x:v>35</x:v>
      </x:c>
      <x:c r="K385" t="str">
        <x:v>DEMO / SIMULATED</x:v>
      </x:c>
    </x:row>
    <x:row r="386">
      <x:c r="A386" t="str">
        <x:v>JFD-20250313-0221</x:v>
      </x:c>
      <x:c r="B386" s="11" t="n">
        <x:v>45729.55763888889</x:v>
      </x:c>
      <x:c r="C386" s="13" t="n">
        <x:v>0.5576388888888889</x:v>
      </x:c>
      <x:c r="D386" t="str">
        <x:v>Birtamode</x:v>
      </x:c>
      <x:c r="E386" t="str">
        <x:v>The Underground Cafe &amp; Restaurant</x:v>
      </x:c>
      <x:c r="F386" t="str">
        <x:v>Veg Pakauda</x:v>
      </x:c>
      <x:c r="G386" t="str">
        <x:v>Food</x:v>
      </x:c>
      <x:c r="H386" t="n">
        <x:v>3</x:v>
      </x:c>
      <x:c r="I386" s="14" t="n">
        <x:v>165</x:v>
      </x:c>
      <x:c r="J386" s="14" t="n">
        <x:v>495</x:v>
      </x:c>
      <x:c r="K386" t="str">
        <x:v>DEMO / SIMULATED</x:v>
      </x:c>
    </x:row>
    <x:row r="387">
      <x:c r="A387" t="str">
        <x:v>JFD-20250313-0221</x:v>
      </x:c>
      <x:c r="B387" s="11" t="n">
        <x:v>45729.50625</x:v>
      </x:c>
      <x:c r="C387" s="13" t="n">
        <x:v>0.50625</x:v>
      </x:c>
      <x:c r="D387" t="str">
        <x:v>Birtamode</x:v>
      </x:c>
      <x:c r="E387" t="str">
        <x:v>The Underground Cafe &amp; Restaurant</x:v>
      </x:c>
      <x:c r="F387" t="str">
        <x:v>Bottled Water 1L</x:v>
      </x:c>
      <x:c r="G387" t="str">
        <x:v>Drink</x:v>
      </x:c>
      <x:c r="H387" t="n">
        <x:v>4</x:v>
      </x:c>
      <x:c r="I387" s="14" t="n">
        <x:v>40</x:v>
      </x:c>
      <x:c r="J387" s="14" t="n">
        <x:v>160</x:v>
      </x:c>
      <x:c r="K387" t="str">
        <x:v>DEMO / SIMULATED</x:v>
      </x:c>
    </x:row>
    <x:row r="388">
      <x:c r="A388" t="str">
        <x:v>JFD-20250313-0221</x:v>
      </x:c>
      <x:c r="B388" s="11" t="n">
        <x:v>45729.46388888889</x:v>
      </x:c>
      <x:c r="C388" s="13" t="n">
        <x:v>0.4638888888888889</x:v>
      </x:c>
      <x:c r="D388" t="str">
        <x:v>Birtamode</x:v>
      </x:c>
      <x:c r="E388" t="str">
        <x:v>The Underground Cafe &amp; Restaurant</x:v>
      </x:c>
      <x:c r="F388" t="str">
        <x:v>Aalu Jeera</x:v>
      </x:c>
      <x:c r="G388" t="str">
        <x:v>Food</x:v>
      </x:c>
      <x:c r="H388" t="n">
        <x:v>2</x:v>
      </x:c>
      <x:c r="I388" s="14" t="n">
        <x:v>145</x:v>
      </x:c>
      <x:c r="J388" s="14" t="n">
        <x:v>290</x:v>
      </x:c>
      <x:c r="K388" t="str">
        <x:v>DEMO / SIMULATED</x:v>
      </x:c>
    </x:row>
    <x:row r="389">
      <x:c r="A389" t="str">
        <x:v>JFD-20260924-0222</x:v>
      </x:c>
      <x:c r="B389" s="11" t="n">
        <x:v>46289.55138888889</x:v>
      </x:c>
      <x:c r="C389" s="13" t="n">
        <x:v>0.5513888888888889</x:v>
      </x:c>
      <x:c r="D389" t="str">
        <x:v>Damak</x:v>
      </x:c>
      <x:c r="E389" t="str">
        <x:v>Late Night Cravings</x:v>
      </x:c>
      <x:c r="F389" t="str">
        <x:v>Mix Fry Rice</x:v>
      </x:c>
      <x:c r="G389" t="str">
        <x:v>Food</x:v>
      </x:c>
      <x:c r="H389" t="n">
        <x:v>4</x:v>
      </x:c>
      <x:c r="I389" s="14" t="n">
        <x:v>280</x:v>
      </x:c>
      <x:c r="J389" s="14" t="n">
        <x:v>1120</x:v>
      </x:c>
      <x:c r="K389" t="str">
        <x:v>DEMO / SIMULATED</x:v>
      </x:c>
    </x:row>
    <x:row r="390">
      <x:c r="A390" t="str">
        <x:v>JFD-20260616-0223</x:v>
      </x:c>
      <x:c r="B390" s="11" t="n">
        <x:v>46189.75208333333</x:v>
      </x:c>
      <x:c r="C390" s="13" t="n">
        <x:v>0.7520833333333333</x:v>
      </x:c>
      <x:c r="D390" t="str">
        <x:v>Damak</x:v>
      </x:c>
      <x:c r="E390" t="str">
        <x:v>Late Night Cravings</x:v>
      </x:c>
      <x:c r="F390" t="str">
        <x:v>Mix Fry Rice</x:v>
      </x:c>
      <x:c r="G390" t="str">
        <x:v>Food</x:v>
      </x:c>
      <x:c r="H390" t="n">
        <x:v>3</x:v>
      </x:c>
      <x:c r="I390" s="14" t="n">
        <x:v>280</x:v>
      </x:c>
      <x:c r="J390" s="14" t="n">
        <x:v>840</x:v>
      </x:c>
      <x:c r="K390" t="str">
        <x:v>DEMO / SIMULATED</x:v>
      </x:c>
    </x:row>
    <x:row r="391">
      <x:c r="A391" t="str">
        <x:v>JFD-20260616-0223</x:v>
      </x:c>
      <x:c r="B391" s="11" t="n">
        <x:v>46189.74722222222</x:v>
      </x:c>
      <x:c r="C391" s="13" t="n">
        <x:v>0.7472222222222222</x:v>
      </x:c>
      <x:c r="D391" t="str">
        <x:v>Damak</x:v>
      </x:c>
      <x:c r="E391" t="str">
        <x:v>Late Night Cravings</x:v>
      </x:c>
      <x:c r="F391" t="str">
        <x:v>Egg Fry Rice</x:v>
      </x:c>
      <x:c r="G391" t="str">
        <x:v>Food</x:v>
      </x:c>
      <x:c r="H391" t="n">
        <x:v>3</x:v>
      </x:c>
      <x:c r="I391" s="14" t="n">
        <x:v>200</x:v>
      </x:c>
      <x:c r="J391" s="14" t="n">
        <x:v>600</x:v>
      </x:c>
      <x:c r="K391" t="str">
        <x:v>DEMO / SIMULATED</x:v>
      </x:c>
    </x:row>
    <x:row r="392">
      <x:c r="A392" t="str">
        <x:v>JFD-20250522-0224</x:v>
      </x:c>
      <x:c r="B392" s="11" t="n">
        <x:v>45799.42638888889</x:v>
      </x:c>
      <x:c r="C392" s="13" t="n">
        <x:v>0.4263888888888889</x:v>
      </x:c>
      <x:c r="D392" t="str">
        <x:v>Birtamode</x:v>
      </x:c>
      <x:c r="E392" t="str">
        <x:v>The Underground Cafe &amp; Restaurant</x:v>
      </x:c>
      <x:c r="F392" t="str">
        <x:v>Bottled Water 1L</x:v>
      </x:c>
      <x:c r="G392" t="str">
        <x:v>Drink</x:v>
      </x:c>
      <x:c r="H392" t="n">
        <x:v>1</x:v>
      </x:c>
      <x:c r="I392" s="14" t="n">
        <x:v>40</x:v>
      </x:c>
      <x:c r="J392" s="14" t="n">
        <x:v>40</x:v>
      </x:c>
      <x:c r="K392" t="str">
        <x:v>DEMO / SIMULATED</x:v>
      </x:c>
    </x:row>
    <x:row r="393">
      <x:c r="A393" t="str">
        <x:v>JFD-20250522-0224</x:v>
      </x:c>
      <x:c r="B393" s="11" t="n">
        <x:v>45799.53055555555</x:v>
      </x:c>
      <x:c r="C393" s="13" t="n">
        <x:v>0.5305555555555556</x:v>
      </x:c>
      <x:c r="D393" t="str">
        <x:v>Birtamode</x:v>
      </x:c>
      <x:c r="E393" t="str">
        <x:v>The Underground Cafe &amp; Restaurant</x:v>
      </x:c>
      <x:c r="F393" t="str">
        <x:v>Coca-Cola 500ml</x:v>
      </x:c>
      <x:c r="G393" t="str">
        <x:v>Drink</x:v>
      </x:c>
      <x:c r="H393" t="n">
        <x:v>4</x:v>
      </x:c>
      <x:c r="I393" s="14" t="n">
        <x:v>95</x:v>
      </x:c>
      <x:c r="J393" s="14" t="n">
        <x:v>380</x:v>
      </x:c>
      <x:c r="K393" t="str">
        <x:v>DEMO / SIMULATED</x:v>
      </x:c>
    </x:row>
    <x:row r="394">
      <x:c r="A394" t="str">
        <x:v>JFD-20250527-0225</x:v>
      </x:c>
      <x:c r="B394" s="11" t="n">
        <x:v>45804.61944444444</x:v>
      </x:c>
      <x:c r="C394" s="13" t="n">
        <x:v>0.6194444444444445</x:v>
      </x:c>
      <x:c r="D394" t="str">
        <x:v>Birtamode</x:v>
      </x:c>
      <x:c r="E394" t="str">
        <x:v>Pizza Ghar</x:v>
      </x:c>
      <x:c r="F394" t="str">
        <x:v>Veg Fried Rice</x:v>
      </x:c>
      <x:c r="G394" t="str">
        <x:v>Food</x:v>
      </x:c>
      <x:c r="H394" t="n">
        <x:v>4</x:v>
      </x:c>
      <x:c r="I394" s="14" t="n">
        <x:v>205</x:v>
      </x:c>
      <x:c r="J394" s="14" t="n">
        <x:v>820</x:v>
      </x:c>
      <x:c r="K394" t="str">
        <x:v>DEMO / SIMULATED</x:v>
      </x:c>
    </x:row>
    <x:row r="395">
      <x:c r="A395" t="str">
        <x:v>JFD-20230710-0226</x:v>
      </x:c>
      <x:c r="B395" s="11" t="n">
        <x:v>45117.89097222222</x:v>
      </x:c>
      <x:c r="C395" s="13" t="n">
        <x:v>0.8909722222222223</x:v>
      </x:c>
      <x:c r="D395" t="str">
        <x:v>Birtamode</x:v>
      </x:c>
      <x:c r="E395" t="str">
        <x:v>The Underground Cafe &amp; Restaurant</x:v>
      </x:c>
      <x:c r="F395" t="str">
        <x:v>Coca-Cola 500ml</x:v>
      </x:c>
      <x:c r="G395" t="str">
        <x:v>Drink</x:v>
      </x:c>
      <x:c r="H395" t="n">
        <x:v>1</x:v>
      </x:c>
      <x:c r="I395" s="14" t="n">
        <x:v>80</x:v>
      </x:c>
      <x:c r="J395" s="14" t="n">
        <x:v>80</x:v>
      </x:c>
      <x:c r="K395" t="str">
        <x:v>DEMO / SIMULATED</x:v>
      </x:c>
    </x:row>
    <x:row r="396">
      <x:c r="A396" t="str">
        <x:v>JFD-20230710-0226</x:v>
      </x:c>
      <x:c r="B396" s="11" t="n">
        <x:v>45117.45763888889</x:v>
      </x:c>
      <x:c r="C396" s="13" t="n">
        <x:v>0.4576388888888889</x:v>
      </x:c>
      <x:c r="D396" t="str">
        <x:v>Birtamode</x:v>
      </x:c>
      <x:c r="E396" t="str">
        <x:v>The Underground Cafe &amp; Restaurant</x:v>
      </x:c>
      <x:c r="F396" t="str">
        <x:v>Paneer Pakauda</x:v>
      </x:c>
      <x:c r="G396" t="str">
        <x:v>Food</x:v>
      </x:c>
      <x:c r="H396" t="n">
        <x:v>1</x:v>
      </x:c>
      <x:c r="I396" s="14" t="n">
        <x:v>185</x:v>
      </x:c>
      <x:c r="J396" s="14" t="n">
        <x:v>185</x:v>
      </x:c>
      <x:c r="K396" t="str">
        <x:v>DEMO / SIMULATED</x:v>
      </x:c>
    </x:row>
    <x:row r="397">
      <x:c r="A397" t="str">
        <x:v>JFD-20250330-0227</x:v>
      </x:c>
      <x:c r="B397" s="11" t="n">
        <x:v>45746.44375</x:v>
      </x:c>
      <x:c r="C397" s="13" t="n">
        <x:v>0.44375</x:v>
      </x:c>
      <x:c r="D397" t="str">
        <x:v>Birtamode</x:v>
      </x:c>
      <x:c r="E397" t="str">
        <x:v>The Underground Cafe &amp; Restaurant</x:v>
      </x:c>
      <x:c r="F397" t="str">
        <x:v>Aalu Jeera</x:v>
      </x:c>
      <x:c r="G397" t="str">
        <x:v>Food</x:v>
      </x:c>
      <x:c r="H397" t="n">
        <x:v>1</x:v>
      </x:c>
      <x:c r="I397" s="14" t="n">
        <x:v>145</x:v>
      </x:c>
      <x:c r="J397" s="14" t="n">
        <x:v>145</x:v>
      </x:c>
      <x:c r="K397" t="str">
        <x:v>DEMO / SIMULATED</x:v>
      </x:c>
    </x:row>
    <x:row r="398">
      <x:c r="A398" t="str">
        <x:v>JFD-20250330-0227</x:v>
      </x:c>
      <x:c r="B398" s="11" t="n">
        <x:v>45746.425</x:v>
      </x:c>
      <x:c r="C398" s="13" t="n">
        <x:v>0.425</x:v>
      </x:c>
      <x:c r="D398" t="str">
        <x:v>Birtamode</x:v>
      </x:c>
      <x:c r="E398" t="str">
        <x:v>The Underground Cafe &amp; Restaurant</x:v>
      </x:c>
      <x:c r="F398" t="str">
        <x:v>Veg Pakauda</x:v>
      </x:c>
      <x:c r="G398" t="str">
        <x:v>Food</x:v>
      </x:c>
      <x:c r="H398" t="n">
        <x:v>2</x:v>
      </x:c>
      <x:c r="I398" s="14" t="n">
        <x:v>165</x:v>
      </x:c>
      <x:c r="J398" s="14" t="n">
        <x:v>330</x:v>
      </x:c>
      <x:c r="K398" t="str">
        <x:v>DEMO / SIMULATED</x:v>
      </x:c>
    </x:row>
    <x:row r="399">
      <x:c r="A399" t="str">
        <x:v>JFD-20240420-0228</x:v>
      </x:c>
      <x:c r="B399" s="11" t="n">
        <x:v>45402.67916666667</x:v>
      </x:c>
      <x:c r="C399" s="13" t="n">
        <x:v>0.6791666666666667</x:v>
      </x:c>
      <x:c r="D399" t="str">
        <x:v>Birtamode</x:v>
      </x:c>
      <x:c r="E399" t="str">
        <x:v>The Underground Cafe &amp; Restaurant</x:v>
      </x:c>
      <x:c r="F399" t="str">
        <x:v>Paneer Pakauda</x:v>
      </x:c>
      <x:c r="G399" t="str">
        <x:v>Food</x:v>
      </x:c>
      <x:c r="H399" t="n">
        <x:v>3</x:v>
      </x:c>
      <x:c r="I399" s="14" t="n">
        <x:v>200</x:v>
      </x:c>
      <x:c r="J399" s="14" t="n">
        <x:v>600</x:v>
      </x:c>
      <x:c r="K399" t="str">
        <x:v>DEMO / SIMULATED</x:v>
      </x:c>
    </x:row>
    <x:row r="400">
      <x:c r="A400" t="str">
        <x:v>JFD-20250407-0229</x:v>
      </x:c>
      <x:c r="B400" s="11" t="n">
        <x:v>45754.495833333334</x:v>
      </x:c>
      <x:c r="C400" s="13" t="n">
        <x:v>0.49583333333333335</x:v>
      </x:c>
      <x:c r="D400" t="str">
        <x:v>Birtamode</x:v>
      </x:c>
      <x:c r="E400" t="str">
        <x:v>Pizza Ghar</x:v>
      </x:c>
      <x:c r="F400" t="str">
        <x:v>Veg Fried Rice</x:v>
      </x:c>
      <x:c r="G400" t="str">
        <x:v>Food</x:v>
      </x:c>
      <x:c r="H400" t="n">
        <x:v>1</x:v>
      </x:c>
      <x:c r="I400" s="14" t="n">
        <x:v>205</x:v>
      </x:c>
      <x:c r="J400" s="14" t="n">
        <x:v>205</x:v>
      </x:c>
      <x:c r="K400" t="str">
        <x:v>DEMO / SIMULATED</x:v>
      </x:c>
    </x:row>
    <x:row r="401">
      <x:c r="A401" t="str">
        <x:v>JFD-20250407-0229</x:v>
      </x:c>
      <x:c r="B401" s="11" t="n">
        <x:v>45754.72152777778</x:v>
      </x:c>
      <x:c r="C401" s="13" t="n">
        <x:v>0.7215277777777778</x:v>
      </x:c>
      <x:c r="D401" t="str">
        <x:v>Birtamode</x:v>
      </x:c>
      <x:c r="E401" t="str">
        <x:v>Pizza Ghar</x:v>
      </x:c>
      <x:c r="F401" t="str">
        <x:v>Bottled Water 1L</x:v>
      </x:c>
      <x:c r="G401" t="str">
        <x:v>Drink</x:v>
      </x:c>
      <x:c r="H401" t="n">
        <x:v>2</x:v>
      </x:c>
      <x:c r="I401" s="14" t="n">
        <x:v>40</x:v>
      </x:c>
      <x:c r="J401" s="14" t="n">
        <x:v>80</x:v>
      </x:c>
      <x:c r="K401" t="str">
        <x:v>DEMO / SIMULATED</x:v>
      </x:c>
    </x:row>
    <x:row r="402">
      <x:c r="A402" t="str">
        <x:v>JFD-20260319-0230</x:v>
      </x:c>
      <x:c r="B402" s="11" t="n">
        <x:v>46100.884722222225</x:v>
      </x:c>
      <x:c r="C402" s="13" t="n">
        <x:v>0.8847222222222222</x:v>
      </x:c>
      <x:c r="D402" t="str">
        <x:v>Damak</x:v>
      </x:c>
      <x:c r="E402" t="str">
        <x:v>Late Night Cravings</x:v>
      </x:c>
      <x:c r="F402" t="str">
        <x:v>Veg Fry Rice</x:v>
      </x:c>
      <x:c r="G402" t="str">
        <x:v>Food</x:v>
      </x:c>
      <x:c r="H402" t="n">
        <x:v>3</x:v>
      </x:c>
      <x:c r="I402" s="14" t="n">
        <x:v>160</x:v>
      </x:c>
      <x:c r="J402" s="14" t="n">
        <x:v>480</x:v>
      </x:c>
      <x:c r="K402" t="str">
        <x:v>DEMO / SIMULATED</x:v>
      </x:c>
    </x:row>
    <x:row r="403">
      <x:c r="A403" t="str">
        <x:v>JFD-20260922-0231</x:v>
      </x:c>
      <x:c r="B403" s="11" t="n">
        <x:v>46287.71388888889</x:v>
      </x:c>
      <x:c r="C403" s="13" t="n">
        <x:v>0.7138888888888889</x:v>
      </x:c>
      <x:c r="D403" t="str">
        <x:v>Damak</x:v>
      </x:c>
      <x:c r="E403" t="str">
        <x:v>Milan’s Bakery</x:v>
      </x:c>
      <x:c r="F403" t="str">
        <x:v>Chocolate Cake</x:v>
      </x:c>
      <x:c r="G403" t="str">
        <x:v>Food</x:v>
      </x:c>
      <x:c r="H403" t="n">
        <x:v>2</x:v>
      </x:c>
      <x:c r="I403" s="14" t="n">
        <x:v>350</x:v>
      </x:c>
      <x:c r="J403" s="14" t="n">
        <x:v>700</x:v>
      </x:c>
      <x:c r="K403" t="str">
        <x:v>DEMO / SIMULATED</x:v>
      </x:c>
    </x:row>
    <x:row r="404">
      <x:c r="A404" t="str">
        <x:v>JFD-20240316-0232</x:v>
      </x:c>
      <x:c r="B404" s="11" t="n">
        <x:v>45367.55902777778</x:v>
      </x:c>
      <x:c r="C404" s="13" t="n">
        <x:v>0.5590277777777778</x:v>
      </x:c>
      <x:c r="D404" t="str">
        <x:v>Birtamode</x:v>
      </x:c>
      <x:c r="E404" t="str">
        <x:v>The Underground Cafe &amp; Restaurant</x:v>
      </x:c>
      <x:c r="F404" t="str">
        <x:v>Coca-Cola 500ml</x:v>
      </x:c>
      <x:c r="G404" t="str">
        <x:v>Drink</x:v>
      </x:c>
      <x:c r="H404" t="n">
        <x:v>4</x:v>
      </x:c>
      <x:c r="I404" s="14" t="n">
        <x:v>90</x:v>
      </x:c>
      <x:c r="J404" s="14" t="n">
        <x:v>360</x:v>
      </x:c>
      <x:c r="K404" t="str">
        <x:v>DEMO / SIMULATED</x:v>
      </x:c>
    </x:row>
    <x:row r="405">
      <x:c r="A405" t="str">
        <x:v>JFD-20241020-0233</x:v>
      </x:c>
      <x:c r="B405" s="11" t="n">
        <x:v>45585.74236111111</x:v>
      </x:c>
      <x:c r="C405" s="13" t="n">
        <x:v>0.7423611111111111</x:v>
      </x:c>
      <x:c r="D405" t="str">
        <x:v>Birtamode</x:v>
      </x:c>
      <x:c r="E405" t="str">
        <x:v>The Underground Cafe &amp; Restaurant</x:v>
      </x:c>
      <x:c r="F405" t="str">
        <x:v>Veg Pakauda</x:v>
      </x:c>
      <x:c r="G405" t="str">
        <x:v>Food</x:v>
      </x:c>
      <x:c r="H405" t="n">
        <x:v>4</x:v>
      </x:c>
      <x:c r="I405" s="14" t="n">
        <x:v>155</x:v>
      </x:c>
      <x:c r="J405" s="14" t="n">
        <x:v>620</x:v>
      </x:c>
      <x:c r="K405" t="str">
        <x:v>DEMO / SIMULATED</x:v>
      </x:c>
    </x:row>
    <x:row r="406">
      <x:c r="A406" t="str">
        <x:v>JFD-20241020-0233</x:v>
      </x:c>
      <x:c r="B406" s="11" t="n">
        <x:v>45585.740277777775</x:v>
      </x:c>
      <x:c r="C406" s="13" t="n">
        <x:v>0.7402777777777778</x:v>
      </x:c>
      <x:c r="D406" t="str">
        <x:v>Birtamode</x:v>
      </x:c>
      <x:c r="E406" t="str">
        <x:v>The Underground Cafe &amp; Restaurant</x:v>
      </x:c>
      <x:c r="F406" t="str">
        <x:v>Aalu Jeera</x:v>
      </x:c>
      <x:c r="G406" t="str">
        <x:v>Food</x:v>
      </x:c>
      <x:c r="H406" t="n">
        <x:v>3</x:v>
      </x:c>
      <x:c r="I406" s="14" t="n">
        <x:v>135</x:v>
      </x:c>
      <x:c r="J406" s="14" t="n">
        <x:v>405</x:v>
      </x:c>
      <x:c r="K406" t="str">
        <x:v>DEMO / SIMULATED</x:v>
      </x:c>
    </x:row>
    <x:row r="407">
      <x:c r="A407" t="str">
        <x:v>JFD-20241020-0233</x:v>
      </x:c>
      <x:c r="B407" s="11" t="n">
        <x:v>45585.864583333336</x:v>
      </x:c>
      <x:c r="C407" s="13" t="n">
        <x:v>0.8645833333333334</x:v>
      </x:c>
      <x:c r="D407" t="str">
        <x:v>Birtamode</x:v>
      </x:c>
      <x:c r="E407" t="str">
        <x:v>The Underground Cafe &amp; Restaurant</x:v>
      </x:c>
      <x:c r="F407" t="str">
        <x:v>Bottled Water 1L</x:v>
      </x:c>
      <x:c r="G407" t="str">
        <x:v>Drink</x:v>
      </x:c>
      <x:c r="H407" t="n">
        <x:v>4</x:v>
      </x:c>
      <x:c r="I407" s="14" t="n">
        <x:v>35</x:v>
      </x:c>
      <x:c r="J407" s="14" t="n">
        <x:v>140</x:v>
      </x:c>
      <x:c r="K407" t="str">
        <x:v>DEMO / SIMULATED</x:v>
      </x:c>
    </x:row>
    <x:row r="408">
      <x:c r="A408" t="str">
        <x:v>JFD-20260319-0234</x:v>
      </x:c>
      <x:c r="B408" s="11" t="n">
        <x:v>46100.80763888889</x:v>
      </x:c>
      <x:c r="C408" s="13" t="n">
        <x:v>0.8076388888888889</x:v>
      </x:c>
      <x:c r="D408" t="str">
        <x:v>Birtamode</x:v>
      </x:c>
      <x:c r="E408" t="str">
        <x:v>Pizza Ghar</x:v>
      </x:c>
      <x:c r="F408" t="str">
        <x:v>Chicken BBQ Feast Pizza</x:v>
      </x:c>
      <x:c r="G408" t="str">
        <x:v>Food</x:v>
      </x:c>
      <x:c r="H408" t="n">
        <x:v>3</x:v>
      </x:c>
      <x:c r="I408" s="14" t="n">
        <x:v>580</x:v>
      </x:c>
      <x:c r="J408" s="14" t="n">
        <x:v>1740</x:v>
      </x:c>
      <x:c r="K408" t="str">
        <x:v>DEMO / SIMULATED</x:v>
      </x:c>
    </x:row>
    <x:row r="409">
      <x:c r="A409" t="str">
        <x:v>JFD-20260319-0234</x:v>
      </x:c>
      <x:c r="B409" s="11" t="n">
        <x:v>46100.89027777778</x:v>
      </x:c>
      <x:c r="C409" s="13" t="n">
        <x:v>0.8902777777777777</x:v>
      </x:c>
      <x:c r="D409" t="str">
        <x:v>Birtamode</x:v>
      </x:c>
      <x:c r="E409" t="str">
        <x:v>Pizza Ghar</x:v>
      </x:c>
      <x:c r="F409" t="str">
        <x:v>Veg Fried Rice</x:v>
      </x:c>
      <x:c r="G409" t="str">
        <x:v>Food</x:v>
      </x:c>
      <x:c r="H409" t="n">
        <x:v>4</x:v>
      </x:c>
      <x:c r="I409" s="14" t="n">
        <x:v>220</x:v>
      </x:c>
      <x:c r="J409" s="14" t="n">
        <x:v>880</x:v>
      </x:c>
      <x:c r="K409" t="str">
        <x:v>DEMO / SIMULATED</x:v>
      </x:c>
    </x:row>
    <x:row r="410">
      <x:c r="A410" t="str">
        <x:v>JFD-20240112-0235</x:v>
      </x:c>
      <x:c r="B410" s="11" t="n">
        <x:v>45303.69930555556</x:v>
      </x:c>
      <x:c r="C410" s="13" t="n">
        <x:v>0.6993055555555555</x:v>
      </x:c>
      <x:c r="D410" t="str">
        <x:v>Damak</x:v>
      </x:c>
      <x:c r="E410" t="str">
        <x:v>Late Night Cravings</x:v>
      </x:c>
      <x:c r="F410" t="str">
        <x:v>Chicken Fry Rice</x:v>
      </x:c>
      <x:c r="G410" t="str">
        <x:v>Food</x:v>
      </x:c>
      <x:c r="H410" t="n">
        <x:v>1</x:v>
      </x:c>
      <x:c r="I410" s="14" t="n">
        <x:v>195</x:v>
      </x:c>
      <x:c r="J410" s="14" t="n">
        <x:v>195</x:v>
      </x:c>
      <x:c r="K410" t="str">
        <x:v>DEMO / SIMULATED</x:v>
      </x:c>
    </x:row>
    <x:row r="411">
      <x:c r="A411" t="str">
        <x:v>JFD-20250212-0236</x:v>
      </x:c>
      <x:c r="B411" s="11" t="n">
        <x:v>45700.595138888886</x:v>
      </x:c>
      <x:c r="C411" s="13" t="n">
        <x:v>0.5951388888888889</x:v>
      </x:c>
      <x:c r="D411" t="str">
        <x:v>Birtamode</x:v>
      </x:c>
      <x:c r="E411" t="str">
        <x:v>Pizza Ghar</x:v>
      </x:c>
      <x:c r="F411" t="str">
        <x:v>Chicken Fried Rice</x:v>
      </x:c>
      <x:c r="G411" t="str">
        <x:v>Food</x:v>
      </x:c>
      <x:c r="H411" t="n">
        <x:v>2</x:v>
      </x:c>
      <x:c r="I411" s="14" t="n">
        <x:v>280</x:v>
      </x:c>
      <x:c r="J411" s="14" t="n">
        <x:v>560</x:v>
      </x:c>
      <x:c r="K411" t="str">
        <x:v>DEMO / SIMULATED</x:v>
      </x:c>
    </x:row>
    <x:row r="412">
      <x:c r="A412" t="str">
        <x:v>JFD-20250212-0236</x:v>
      </x:c>
      <x:c r="B412" s="11" t="n">
        <x:v>45700.51666666667</x:v>
      </x:c>
      <x:c r="C412" s="13" t="n">
        <x:v>0.5166666666666667</x:v>
      </x:c>
      <x:c r="D412" t="str">
        <x:v>Birtamode</x:v>
      </x:c>
      <x:c r="E412" t="str">
        <x:v>Pizza Ghar</x:v>
      </x:c>
      <x:c r="F412" t="str">
        <x:v>Veg Fried Rice</x:v>
      </x:c>
      <x:c r="G412" t="str">
        <x:v>Food</x:v>
      </x:c>
      <x:c r="H412" t="n">
        <x:v>3</x:v>
      </x:c>
      <x:c r="I412" s="14" t="n">
        <x:v>205</x:v>
      </x:c>
      <x:c r="J412" s="14" t="n">
        <x:v>615</x:v>
      </x:c>
      <x:c r="K412" t="str">
        <x:v>DEMO / SIMULATED</x:v>
      </x:c>
    </x:row>
    <x:row r="413">
      <x:c r="A413" t="str">
        <x:v>JFD-20250212-0236</x:v>
      </x:c>
      <x:c r="B413" s="11" t="n">
        <x:v>45700.68680555555</x:v>
      </x:c>
      <x:c r="C413" s="13" t="n">
        <x:v>0.6868055555555556</x:v>
      </x:c>
      <x:c r="D413" t="str">
        <x:v>Birtamode</x:v>
      </x:c>
      <x:c r="E413" t="str">
        <x:v>Pizza Ghar</x:v>
      </x:c>
      <x:c r="F413" t="str">
        <x:v>Coca-Cola 500ml</x:v>
      </x:c>
      <x:c r="G413" t="str">
        <x:v>Drink</x:v>
      </x:c>
      <x:c r="H413" t="n">
        <x:v>2</x:v>
      </x:c>
      <x:c r="I413" s="14" t="n">
        <x:v>95</x:v>
      </x:c>
      <x:c r="J413" s="14" t="n">
        <x:v>190</x:v>
      </x:c>
      <x:c r="K413" t="str">
        <x:v>DEMO / SIMULATED</x:v>
      </x:c>
    </x:row>
    <x:row r="414">
      <x:c r="A414" t="str">
        <x:v>JFD-20250620-0237</x:v>
      </x:c>
      <x:c r="B414" s="11" t="n">
        <x:v>45828.461805555555</x:v>
      </x:c>
      <x:c r="C414" s="13" t="n">
        <x:v>0.4618055555555556</x:v>
      </x:c>
      <x:c r="D414" t="str">
        <x:v>Damak</x:v>
      </x:c>
      <x:c r="E414" t="str">
        <x:v>Milan’s Bakery</x:v>
      </x:c>
      <x:c r="F414" t="str">
        <x:v>Vanilla Cake</x:v>
      </x:c>
      <x:c r="G414" t="str">
        <x:v>Food</x:v>
      </x:c>
      <x:c r="H414" t="n">
        <x:v>4</x:v>
      </x:c>
      <x:c r="I414" s="14" t="n">
        <x:v>280</x:v>
      </x:c>
      <x:c r="J414" s="14" t="n">
        <x:v>1120</x:v>
      </x:c>
      <x:c r="K414" t="str">
        <x:v>DEMO / SIMULATED</x:v>
      </x:c>
    </x:row>
    <x:row r="415">
      <x:c r="A415" t="str">
        <x:v>JFD-20250213-0238</x:v>
      </x:c>
      <x:c r="B415" s="11" t="n">
        <x:v>45701.56319444445</x:v>
      </x:c>
      <x:c r="C415" s="13" t="n">
        <x:v>0.5631944444444444</x:v>
      </x:c>
      <x:c r="D415" t="str">
        <x:v>Birtamode</x:v>
      </x:c>
      <x:c r="E415" t="str">
        <x:v>The Underground Cafe &amp; Restaurant</x:v>
      </x:c>
      <x:c r="F415" t="str">
        <x:v>Coca-Cola 500ml</x:v>
      </x:c>
      <x:c r="G415" t="str">
        <x:v>Drink</x:v>
      </x:c>
      <x:c r="H415" t="n">
        <x:v>2</x:v>
      </x:c>
      <x:c r="I415" s="14" t="n">
        <x:v>95</x:v>
      </x:c>
      <x:c r="J415" s="14" t="n">
        <x:v>190</x:v>
      </x:c>
      <x:c r="K415" t="str">
        <x:v>DEMO / SIMULATED</x:v>
      </x:c>
    </x:row>
    <x:row r="416">
      <x:c r="A416" t="str">
        <x:v>JFD-20250117-0239</x:v>
      </x:c>
      <x:c r="B416" s="11" t="n">
        <x:v>45674.61666666667</x:v>
      </x:c>
      <x:c r="C416" s="13" t="n">
        <x:v>0.6166666666666667</x:v>
      </x:c>
      <x:c r="D416" t="str">
        <x:v>Birtamode</x:v>
      </x:c>
      <x:c r="E416" t="str">
        <x:v>The Underground Cafe &amp; Restaurant</x:v>
      </x:c>
      <x:c r="F416" t="str">
        <x:v>Coca-Cola 500ml</x:v>
      </x:c>
      <x:c r="G416" t="str">
        <x:v>Drink</x:v>
      </x:c>
      <x:c r="H416" t="n">
        <x:v>4</x:v>
      </x:c>
      <x:c r="I416" s="14" t="n">
        <x:v>95</x:v>
      </x:c>
      <x:c r="J416" s="14" t="n">
        <x:v>380</x:v>
      </x:c>
      <x:c r="K416" t="str">
        <x:v>DEMO / SIMULATED</x:v>
      </x:c>
    </x:row>
    <x:row r="417">
      <x:c r="A417" t="str">
        <x:v>JFD-20240422-0240</x:v>
      </x:c>
      <x:c r="B417" s="11" t="n">
        <x:v>45404.77291666667</x:v>
      </x:c>
      <x:c r="C417" s="13" t="n">
        <x:v>0.7729166666666667</x:v>
      </x:c>
      <x:c r="D417" t="str">
        <x:v>Birtamode</x:v>
      </x:c>
      <x:c r="E417" t="str">
        <x:v>Pizza Ghar</x:v>
      </x:c>
      <x:c r="F417" t="str">
        <x:v>Egg Fried Rice</x:v>
      </x:c>
      <x:c r="G417" t="str">
        <x:v>Food</x:v>
      </x:c>
      <x:c r="H417" t="n">
        <x:v>2</x:v>
      </x:c>
      <x:c r="I417" s="14" t="n">
        <x:v>240</x:v>
      </x:c>
      <x:c r="J417" s="14" t="n">
        <x:v>480</x:v>
      </x:c>
      <x:c r="K417" t="str">
        <x:v>DEMO / SIMULATED</x:v>
      </x:c>
    </x:row>
    <x:row r="418">
      <x:c r="A418" t="str">
        <x:v>JFD-20230107-0241</x:v>
      </x:c>
      <x:c r="B418" s="11" t="n">
        <x:v>44933.73819444444</x:v>
      </x:c>
      <x:c r="C418" s="13" t="n">
        <x:v>0.7381944444444445</x:v>
      </x:c>
      <x:c r="D418" t="str">
        <x:v>Birtamode</x:v>
      </x:c>
      <x:c r="E418" t="str">
        <x:v>Pizza Ghar</x:v>
      </x:c>
      <x:c r="F418" t="str">
        <x:v>Egg Fried Rice</x:v>
      </x:c>
      <x:c r="G418" t="str">
        <x:v>Food</x:v>
      </x:c>
      <x:c r="H418" t="n">
        <x:v>4</x:v>
      </x:c>
      <x:c r="I418" s="14" t="n">
        <x:v>220</x:v>
      </x:c>
      <x:c r="J418" s="14" t="n">
        <x:v>880</x:v>
      </x:c>
      <x:c r="K418" t="str">
        <x:v>DEMO / SIMULATED</x:v>
      </x:c>
    </x:row>
    <x:row r="419">
      <x:c r="A419" t="str">
        <x:v>JFD-20240127-0242</x:v>
      </x:c>
      <x:c r="B419" s="11" t="n">
        <x:v>45318.60625</x:v>
      </x:c>
      <x:c r="C419" s="13" t="n">
        <x:v>0.60625</x:v>
      </x:c>
      <x:c r="D419" t="str">
        <x:v>Birtamode</x:v>
      </x:c>
      <x:c r="E419" t="str">
        <x:v>Pizza Ghar</x:v>
      </x:c>
      <x:c r="F419" t="str">
        <x:v>Veg Fried Rice</x:v>
      </x:c>
      <x:c r="G419" t="str">
        <x:v>Food</x:v>
      </x:c>
      <x:c r="H419" t="n">
        <x:v>3</x:v>
      </x:c>
      <x:c r="I419" s="14" t="n">
        <x:v>195</x:v>
      </x:c>
      <x:c r="J419" s="14" t="n">
        <x:v>585</x:v>
      </x:c>
      <x:c r="K419" t="str">
        <x:v>DEMO / SIMULATED</x:v>
      </x:c>
    </x:row>
    <x:row r="420">
      <x:c r="A420" t="str">
        <x:v>JFD-20240127-0242</x:v>
      </x:c>
      <x:c r="B420" s="11" t="n">
        <x:v>45318.788194444445</x:v>
      </x:c>
      <x:c r="C420" s="13" t="n">
        <x:v>0.7881944444444444</x:v>
      </x:c>
      <x:c r="D420" t="str">
        <x:v>Birtamode</x:v>
      </x:c>
      <x:c r="E420" t="str">
        <x:v>Pizza Ghar</x:v>
      </x:c>
      <x:c r="F420" t="str">
        <x:v>Coca-Cola 500ml</x:v>
      </x:c>
      <x:c r="G420" t="str">
        <x:v>Drink</x:v>
      </x:c>
      <x:c r="H420" t="n">
        <x:v>4</x:v>
      </x:c>
      <x:c r="I420" s="14" t="n">
        <x:v>90</x:v>
      </x:c>
      <x:c r="J420" s="14" t="n">
        <x:v>360</x:v>
      </x:c>
      <x:c r="K420" t="str">
        <x:v>DEMO / SIMULATED</x:v>
      </x:c>
    </x:row>
    <x:row r="421">
      <x:c r="A421" t="str">
        <x:v>JFD-20240127-0242</x:v>
      </x:c>
      <x:c r="B421" s="11" t="n">
        <x:v>45318.44652777778</x:v>
      </x:c>
      <x:c r="C421" s="13" t="n">
        <x:v>0.4465277777777778</x:v>
      </x:c>
      <x:c r="D421" t="str">
        <x:v>Birtamode</x:v>
      </x:c>
      <x:c r="E421" t="str">
        <x:v>Pizza Ghar</x:v>
      </x:c>
      <x:c r="F421" t="str">
        <x:v>Chicken BBQ Feast Pizza</x:v>
      </x:c>
      <x:c r="G421" t="str">
        <x:v>Food</x:v>
      </x:c>
      <x:c r="H421" t="n">
        <x:v>1</x:v>
      </x:c>
      <x:c r="I421" s="14" t="n">
        <x:v>510</x:v>
      </x:c>
      <x:c r="J421" s="14" t="n">
        <x:v>510</x:v>
      </x:c>
      <x:c r="K421" t="str">
        <x:v>DEMO / SIMULATED</x:v>
      </x:c>
    </x:row>
    <x:row r="422">
      <x:c r="A422" t="str">
        <x:v>JFD-20240201-0243</x:v>
      </x:c>
      <x:c r="B422" s="11" t="n">
        <x:v>45323.49722222222</x:v>
      </x:c>
      <x:c r="C422" s="13" t="n">
        <x:v>0.49722222222222223</x:v>
      </x:c>
      <x:c r="D422" t="str">
        <x:v>Birtamode</x:v>
      </x:c>
      <x:c r="E422" t="str">
        <x:v>The Underground Cafe &amp; Restaurant</x:v>
      </x:c>
      <x:c r="F422" t="str">
        <x:v>Coca-Cola 500ml</x:v>
      </x:c>
      <x:c r="G422" t="str">
        <x:v>Drink</x:v>
      </x:c>
      <x:c r="H422" t="n">
        <x:v>4</x:v>
      </x:c>
      <x:c r="I422" s="14" t="n">
        <x:v>90</x:v>
      </x:c>
      <x:c r="J422" s="14" t="n">
        <x:v>360</x:v>
      </x:c>
      <x:c r="K422" t="str">
        <x:v>DEMO / SIMULATED</x:v>
      </x:c>
    </x:row>
    <x:row r="423">
      <x:c r="A423" t="str">
        <x:v>JFD-20240201-0243</x:v>
      </x:c>
      <x:c r="B423" s="11" t="n">
        <x:v>45323.49236111111</x:v>
      </x:c>
      <x:c r="C423" s="13" t="n">
        <x:v>0.49236111111111114</x:v>
      </x:c>
      <x:c r="D423" t="str">
        <x:v>Birtamode</x:v>
      </x:c>
      <x:c r="E423" t="str">
        <x:v>The Underground Cafe &amp; Restaurant</x:v>
      </x:c>
      <x:c r="F423" t="str">
        <x:v>Bottled Water 1L</x:v>
      </x:c>
      <x:c r="G423" t="str">
        <x:v>Drink</x:v>
      </x:c>
      <x:c r="H423" t="n">
        <x:v>2</x:v>
      </x:c>
      <x:c r="I423" s="14" t="n">
        <x:v>35</x:v>
      </x:c>
      <x:c r="J423" s="14" t="n">
        <x:v>70</x:v>
      </x:c>
      <x:c r="K423" t="str">
        <x:v>DEMO / SIMULATED</x:v>
      </x:c>
    </x:row>
    <x:row r="424">
      <x:c r="A424" t="str">
        <x:v>JFD-20240201-0243</x:v>
      </x:c>
      <x:c r="B424" s="11" t="n">
        <x:v>45323.77291666667</x:v>
      </x:c>
      <x:c r="C424" s="13" t="n">
        <x:v>0.7729166666666667</x:v>
      </x:c>
      <x:c r="D424" t="str">
        <x:v>Birtamode</x:v>
      </x:c>
      <x:c r="E424" t="str">
        <x:v>The Underground Cafe &amp; Restaurant</x:v>
      </x:c>
      <x:c r="F424" t="str">
        <x:v>Paneer Pakauda</x:v>
      </x:c>
      <x:c r="G424" t="str">
        <x:v>Food</x:v>
      </x:c>
      <x:c r="H424" t="n">
        <x:v>4</x:v>
      </x:c>
      <x:c r="I424" s="14" t="n">
        <x:v>200</x:v>
      </x:c>
      <x:c r="J424" s="14" t="n">
        <x:v>800</x:v>
      </x:c>
      <x:c r="K424" t="str">
        <x:v>DEMO / SIMULATED</x:v>
      </x:c>
    </x:row>
    <x:row r="425">
      <x:c r="A425" t="str">
        <x:v>JFD-20240618-0244</x:v>
      </x:c>
      <x:c r="B425" s="11" t="n">
        <x:v>45461.48611111111</x:v>
      </x:c>
      <x:c r="C425" s="13" t="n">
        <x:v>0.4861111111111111</x:v>
      </x:c>
      <x:c r="D425" t="str">
        <x:v>Damak</x:v>
      </x:c>
      <x:c r="E425" t="str">
        <x:v>Late Night Cravings</x:v>
      </x:c>
      <x:c r="F425" t="str">
        <x:v>Veg Fry Rice</x:v>
      </x:c>
      <x:c r="G425" t="str">
        <x:v>Food</x:v>
      </x:c>
      <x:c r="H425" t="n">
        <x:v>2</x:v>
      </x:c>
      <x:c r="I425" s="14" t="n">
        <x:v>140</x:v>
      </x:c>
      <x:c r="J425" s="14" t="n">
        <x:v>280</x:v>
      </x:c>
      <x:c r="K425" t="str">
        <x:v>DEMO / SIMULATED</x:v>
      </x:c>
    </x:row>
    <x:row r="426">
      <x:c r="A426" t="str">
        <x:v>JFD-20240618-0244</x:v>
      </x:c>
      <x:c r="B426" s="11" t="n">
        <x:v>45461.54652777778</x:v>
      </x:c>
      <x:c r="C426" s="13" t="n">
        <x:v>0.5465277777777777</x:v>
      </x:c>
      <x:c r="D426" t="str">
        <x:v>Damak</x:v>
      </x:c>
      <x:c r="E426" t="str">
        <x:v>Late Night Cravings</x:v>
      </x:c>
      <x:c r="F426" t="str">
        <x:v>Egg Fry Rice</x:v>
      </x:c>
      <x:c r="G426" t="str">
        <x:v>Food</x:v>
      </x:c>
      <x:c r="H426" t="n">
        <x:v>4</x:v>
      </x:c>
      <x:c r="I426" s="14" t="n">
        <x:v>175</x:v>
      </x:c>
      <x:c r="J426" s="14" t="n">
        <x:v>700</x:v>
      </x:c>
      <x:c r="K426" t="str">
        <x:v>DEMO / SIMULATED</x:v>
      </x:c>
    </x:row>
    <x:row r="427">
      <x:c r="A427" t="str">
        <x:v>JFD-20230711-0245</x:v>
      </x:c>
      <x:c r="B427" s="11" t="n">
        <x:v>45118.754166666666</x:v>
      </x:c>
      <x:c r="C427" s="13" t="n">
        <x:v>0.7541666666666667</x:v>
      </x:c>
      <x:c r="D427" t="str">
        <x:v>Birtamode</x:v>
      </x:c>
      <x:c r="E427" t="str">
        <x:v>The Underground Cafe &amp; Restaurant</x:v>
      </x:c>
      <x:c r="F427" t="str">
        <x:v>Aalu Jeera</x:v>
      </x:c>
      <x:c r="G427" t="str">
        <x:v>Food</x:v>
      </x:c>
      <x:c r="H427" t="n">
        <x:v>1</x:v>
      </x:c>
      <x:c r="I427" s="14" t="n">
        <x:v>125</x:v>
      </x:c>
      <x:c r="J427" s="14" t="n">
        <x:v>125</x:v>
      </x:c>
      <x:c r="K427" t="str">
        <x:v>DEMO / SIMULATED</x:v>
      </x:c>
    </x:row>
    <x:row r="428">
      <x:c r="A428" t="str">
        <x:v>JFD-20230711-0245</x:v>
      </x:c>
      <x:c r="B428" s="11" t="n">
        <x:v>45118.771527777775</x:v>
      </x:c>
      <x:c r="C428" s="13" t="n">
        <x:v>0.7715277777777778</x:v>
      </x:c>
      <x:c r="D428" t="str">
        <x:v>Birtamode</x:v>
      </x:c>
      <x:c r="E428" t="str">
        <x:v>The Underground Cafe &amp; Restaurant</x:v>
      </x:c>
      <x:c r="F428" t="str">
        <x:v>Coca-Cola 500ml</x:v>
      </x:c>
      <x:c r="G428" t="str">
        <x:v>Drink</x:v>
      </x:c>
      <x:c r="H428" t="n">
        <x:v>3</x:v>
      </x:c>
      <x:c r="I428" s="14" t="n">
        <x:v>80</x:v>
      </x:c>
      <x:c r="J428" s="14" t="n">
        <x:v>240</x:v>
      </x:c>
      <x:c r="K428" t="str">
        <x:v>DEMO / SIMULATED</x:v>
      </x:c>
    </x:row>
    <x:row r="429">
      <x:c r="A429" t="str">
        <x:v>JFD-20260605-0246</x:v>
      </x:c>
      <x:c r="B429" s="11" t="n">
        <x:v>46178.75763888889</x:v>
      </x:c>
      <x:c r="C429" s="13" t="n">
        <x:v>0.7576388888888889</x:v>
      </x:c>
      <x:c r="D429" t="str">
        <x:v>Damak</x:v>
      </x:c>
      <x:c r="E429" t="str">
        <x:v>Late Night Cravings</x:v>
      </x:c>
      <x:c r="F429" t="str">
        <x:v>Egg Fry Rice</x:v>
      </x:c>
      <x:c r="G429" t="str">
        <x:v>Food</x:v>
      </x:c>
      <x:c r="H429" t="n">
        <x:v>2</x:v>
      </x:c>
      <x:c r="I429" s="14" t="n">
        <x:v>200</x:v>
      </x:c>
      <x:c r="J429" s="14" t="n">
        <x:v>400</x:v>
      </x:c>
      <x:c r="K429" t="str">
        <x:v>DEMO / SIMULATED</x:v>
      </x:c>
    </x:row>
    <x:row r="430">
      <x:c r="A430" t="str">
        <x:v>JFD-20250330-0247</x:v>
      </x:c>
      <x:c r="B430" s="11" t="n">
        <x:v>45746.57986111111</x:v>
      </x:c>
      <x:c r="C430" s="13" t="n">
        <x:v>0.5798611111111112</x:v>
      </x:c>
      <x:c r="D430" t="str">
        <x:v>Damak</x:v>
      </x:c>
      <x:c r="E430" t="str">
        <x:v>Milan’s Bakery</x:v>
      </x:c>
      <x:c r="F430" t="str">
        <x:v>Bottled Water 1L</x:v>
      </x:c>
      <x:c r="G430" t="str">
        <x:v>Drink</x:v>
      </x:c>
      <x:c r="H430" t="n">
        <x:v>4</x:v>
      </x:c>
      <x:c r="I430" s="14" t="n">
        <x:v>40</x:v>
      </x:c>
      <x:c r="J430" s="14" t="n">
        <x:v>160</x:v>
      </x:c>
      <x:c r="K430" t="str">
        <x:v>DEMO / SIMULATED</x:v>
      </x:c>
    </x:row>
    <x:row r="431">
      <x:c r="A431" t="str">
        <x:v>JFD-20260421-0248</x:v>
      </x:c>
      <x:c r="B431" s="11" t="n">
        <x:v>46133.63263888889</x:v>
      </x:c>
      <x:c r="C431" s="13" t="n">
        <x:v>0.6326388888888889</x:v>
      </x:c>
      <x:c r="D431" t="str">
        <x:v>Birtamode</x:v>
      </x:c>
      <x:c r="E431" t="str">
        <x:v>Pizza Ghar</x:v>
      </x:c>
      <x:c r="F431" t="str">
        <x:v>Chicken BBQ Feast Pizza</x:v>
      </x:c>
      <x:c r="G431" t="str">
        <x:v>Food</x:v>
      </x:c>
      <x:c r="H431" t="n">
        <x:v>3</x:v>
      </x:c>
      <x:c r="I431" s="14" t="n">
        <x:v>580</x:v>
      </x:c>
      <x:c r="J431" s="14" t="n">
        <x:v>1740</x:v>
      </x:c>
      <x:c r="K431" t="str">
        <x:v>DEMO / SIMULATED</x:v>
      </x:c>
    </x:row>
    <x:row r="432">
      <x:c r="A432" t="str">
        <x:v>JFD-20260512-0249</x:v>
      </x:c>
      <x:c r="B432" s="11" t="n">
        <x:v>46154.725694444445</x:v>
      </x:c>
      <x:c r="C432" s="13" t="n">
        <x:v>0.7256944444444444</x:v>
      </x:c>
      <x:c r="D432" t="str">
        <x:v>Damak</x:v>
      </x:c>
      <x:c r="E432" t="str">
        <x:v>Milan’s Bakery</x:v>
      </x:c>
      <x:c r="F432" t="str">
        <x:v>Coca-Cola 500ml</x:v>
      </x:c>
      <x:c r="G432" t="str">
        <x:v>Drink</x:v>
      </x:c>
      <x:c r="H432" t="n">
        <x:v>3</x:v>
      </x:c>
      <x:c r="I432" s="14" t="n">
        <x:v>100</x:v>
      </x:c>
      <x:c r="J432" s="14" t="n">
        <x:v>300</x:v>
      </x:c>
      <x:c r="K432" t="str">
        <x:v>DEMO / SIMULATED</x:v>
      </x:c>
    </x:row>
    <x:row r="433">
      <x:c r="A433" t="str">
        <x:v>JFD-20260512-0249</x:v>
      </x:c>
      <x:c r="B433" s="11" t="n">
        <x:v>46154.915972222225</x:v>
      </x:c>
      <x:c r="C433" s="13" t="n">
        <x:v>0.9159722222222222</x:v>
      </x:c>
      <x:c r="D433" t="str">
        <x:v>Damak</x:v>
      </x:c>
      <x:c r="E433" t="str">
        <x:v>Milan’s Bakery</x:v>
      </x:c>
      <x:c r="F433" t="str">
        <x:v>Vanilla Cake</x:v>
      </x:c>
      <x:c r="G433" t="str">
        <x:v>Food</x:v>
      </x:c>
      <x:c r="H433" t="n">
        <x:v>2</x:v>
      </x:c>
      <x:c r="I433" s="14" t="n">
        <x:v>300</x:v>
      </x:c>
      <x:c r="J433" s="14" t="n">
        <x:v>600</x:v>
      </x:c>
      <x:c r="K433" t="str">
        <x:v>DEMO / SIMULATED</x:v>
      </x:c>
    </x:row>
    <x:row r="434">
      <x:c r="A434" t="str">
        <x:v>JFD-20230801-0250</x:v>
      </x:c>
      <x:c r="B434" s="11" t="n">
        <x:v>45139.72777777778</x:v>
      </x:c>
      <x:c r="C434" s="13" t="n">
        <x:v>0.7277777777777777</x:v>
      </x:c>
      <x:c r="D434" t="str">
        <x:v>Damak</x:v>
      </x:c>
      <x:c r="E434" t="str">
        <x:v>Milan’s Bakery</x:v>
      </x:c>
      <x:c r="F434" t="str">
        <x:v>Black Forest Cake</x:v>
      </x:c>
      <x:c r="G434" t="str">
        <x:v>Food</x:v>
      </x:c>
      <x:c r="H434" t="n">
        <x:v>1</x:v>
      </x:c>
      <x:c r="I434" s="14" t="n">
        <x:v>245</x:v>
      </x:c>
      <x:c r="J434" s="14" t="n">
        <x:v>245</x:v>
      </x:c>
      <x:c r="K434" t="str">
        <x:v>DEMO / SIMULATED</x:v>
      </x:c>
    </x:row>
    <x:row r="435">
      <x:c r="A435" t="str">
        <x:v>JFD-20230510-0251</x:v>
      </x:c>
      <x:c r="B435" s="11" t="n">
        <x:v>45056.56805555556</x:v>
      </x:c>
      <x:c r="C435" s="13" t="n">
        <x:v>0.5680555555555555</x:v>
      </x:c>
      <x:c r="D435" t="str">
        <x:v>Birtamode</x:v>
      </x:c>
      <x:c r="E435" t="str">
        <x:v>Pizza Ghar</x:v>
      </x:c>
      <x:c r="F435" t="str">
        <x:v>Chicken BBQ Feast Pizza</x:v>
      </x:c>
      <x:c r="G435" t="str">
        <x:v>Food</x:v>
      </x:c>
      <x:c r="H435" t="n">
        <x:v>1</x:v>
      </x:c>
      <x:c r="I435" s="14" t="n">
        <x:v>475</x:v>
      </x:c>
      <x:c r="J435" s="14" t="n">
        <x:v>475</x:v>
      </x:c>
      <x:c r="K435" t="str">
        <x:v>DEMO / SIMULATED</x:v>
      </x:c>
    </x:row>
    <x:row r="436">
      <x:c r="A436" t="str">
        <x:v>JFD-20230510-0251</x:v>
      </x:c>
      <x:c r="B436" s="11" t="n">
        <x:v>45056.57916666667</x:v>
      </x:c>
      <x:c r="C436" s="13" t="n">
        <x:v>0.5791666666666667</x:v>
      </x:c>
      <x:c r="D436" t="str">
        <x:v>Birtamode</x:v>
      </x:c>
      <x:c r="E436" t="str">
        <x:v>Pizza Ghar</x:v>
      </x:c>
      <x:c r="F436" t="str">
        <x:v>Coca-Cola 500ml</x:v>
      </x:c>
      <x:c r="G436" t="str">
        <x:v>Drink</x:v>
      </x:c>
      <x:c r="H436" t="n">
        <x:v>1</x:v>
      </x:c>
      <x:c r="I436" s="14" t="n">
        <x:v>80</x:v>
      </x:c>
      <x:c r="J436" s="14" t="n">
        <x:v>80</x:v>
      </x:c>
      <x:c r="K436" t="str">
        <x:v>DEMO / SIMULATED</x:v>
      </x:c>
    </x:row>
    <x:row r="437">
      <x:c r="A437" t="str">
        <x:v>JFD-20230502-0252</x:v>
      </x:c>
      <x:c r="B437" s="11" t="n">
        <x:v>45048.839583333334</x:v>
      </x:c>
      <x:c r="C437" s="13" t="n">
        <x:v>0.8395833333333333</x:v>
      </x:c>
      <x:c r="D437" t="str">
        <x:v>Birtamode</x:v>
      </x:c>
      <x:c r="E437" t="str">
        <x:v>The Underground Cafe &amp; Restaurant</x:v>
      </x:c>
      <x:c r="F437" t="str">
        <x:v>Aalu Jeera</x:v>
      </x:c>
      <x:c r="G437" t="str">
        <x:v>Food</x:v>
      </x:c>
      <x:c r="H437" t="n">
        <x:v>4</x:v>
      </x:c>
      <x:c r="I437" s="14" t="n">
        <x:v>125</x:v>
      </x:c>
      <x:c r="J437" s="14" t="n">
        <x:v>500</x:v>
      </x:c>
      <x:c r="K437" t="str">
        <x:v>DEMO / SIMULATED</x:v>
      </x:c>
    </x:row>
    <x:row r="438">
      <x:c r="A438" t="str">
        <x:v>JFD-20250409-0253</x:v>
      </x:c>
      <x:c r="B438" s="11" t="n">
        <x:v>45756.856944444444</x:v>
      </x:c>
      <x:c r="C438" s="13" t="n">
        <x:v>0.8569444444444444</x:v>
      </x:c>
      <x:c r="D438" t="str">
        <x:v>Birtamode</x:v>
      </x:c>
      <x:c r="E438" t="str">
        <x:v>Pizza Ghar</x:v>
      </x:c>
      <x:c r="F438" t="str">
        <x:v>Bottled Water 1L</x:v>
      </x:c>
      <x:c r="G438" t="str">
        <x:v>Drink</x:v>
      </x:c>
      <x:c r="H438" t="n">
        <x:v>1</x:v>
      </x:c>
      <x:c r="I438" s="14" t="n">
        <x:v>40</x:v>
      </x:c>
      <x:c r="J438" s="14" t="n">
        <x:v>40</x:v>
      </x:c>
      <x:c r="K438" t="str">
        <x:v>DEMO / SIMULATED</x:v>
      </x:c>
    </x:row>
    <x:row r="439">
      <x:c r="A439" t="str">
        <x:v>JFD-20250409-0253</x:v>
      </x:c>
      <x:c r="B439" s="11" t="n">
        <x:v>45756.76597222222</x:v>
      </x:c>
      <x:c r="C439" s="13" t="n">
        <x:v>0.7659722222222223</x:v>
      </x:c>
      <x:c r="D439" t="str">
        <x:v>Birtamode</x:v>
      </x:c>
      <x:c r="E439" t="str">
        <x:v>Pizza Ghar</x:v>
      </x:c>
      <x:c r="F439" t="str">
        <x:v>Veg Fried Rice</x:v>
      </x:c>
      <x:c r="G439" t="str">
        <x:v>Food</x:v>
      </x:c>
      <x:c r="H439" t="n">
        <x:v>2</x:v>
      </x:c>
      <x:c r="I439" s="14" t="n">
        <x:v>205</x:v>
      </x:c>
      <x:c r="J439" s="14" t="n">
        <x:v>410</x:v>
      </x:c>
      <x:c r="K439" t="str">
        <x:v>DEMO / SIMULATED</x:v>
      </x:c>
    </x:row>
    <x:row r="440">
      <x:c r="A440" t="str">
        <x:v>JFD-20250409-0253</x:v>
      </x:c>
      <x:c r="B440" s="11" t="n">
        <x:v>45756.86041666667</x:v>
      </x:c>
      <x:c r="C440" s="13" t="n">
        <x:v>0.8604166666666667</x:v>
      </x:c>
      <x:c r="D440" t="str">
        <x:v>Birtamode</x:v>
      </x:c>
      <x:c r="E440" t="str">
        <x:v>Pizza Ghar</x:v>
      </x:c>
      <x:c r="F440" t="str">
        <x:v>Egg Fried Rice</x:v>
      </x:c>
      <x:c r="G440" t="str">
        <x:v>Food</x:v>
      </x:c>
      <x:c r="H440" t="n">
        <x:v>1</x:v>
      </x:c>
      <x:c r="I440" s="14" t="n">
        <x:v>255</x:v>
      </x:c>
      <x:c r="J440" s="14" t="n">
        <x:v>255</x:v>
      </x:c>
      <x:c r="K440" t="str">
        <x:v>DEMO / SIMULATED</x:v>
      </x:c>
    </x:row>
    <x:row r="441">
      <x:c r="A441" t="str">
        <x:v>JFD-20260719-0254</x:v>
      </x:c>
      <x:c r="B441" s="11" t="n">
        <x:v>46222.59861111111</x:v>
      </x:c>
      <x:c r="C441" s="13" t="n">
        <x:v>0.5986111111111111</x:v>
      </x:c>
      <x:c r="D441" t="str">
        <x:v>Birtamode</x:v>
      </x:c>
      <x:c r="E441" t="str">
        <x:v>The Underground Cafe &amp; Restaurant</x:v>
      </x:c>
      <x:c r="F441" t="str">
        <x:v>Veg Pakauda</x:v>
      </x:c>
      <x:c r="G441" t="str">
        <x:v>Food</x:v>
      </x:c>
      <x:c r="H441" t="n">
        <x:v>3</x:v>
      </x:c>
      <x:c r="I441" s="14" t="n">
        <x:v>175</x:v>
      </x:c>
      <x:c r="J441" s="14" t="n">
        <x:v>525</x:v>
      </x:c>
      <x:c r="K441" t="str">
        <x:v>DEMO / SIMULATED</x:v>
      </x:c>
    </x:row>
    <x:row r="442">
      <x:c r="A442" t="str">
        <x:v>JFD-20260818-0255</x:v>
      </x:c>
      <x:c r="B442" s="11" t="n">
        <x:v>46252.81597222222</x:v>
      </x:c>
      <x:c r="C442" s="13" t="n">
        <x:v>0.8159722222222222</x:v>
      </x:c>
      <x:c r="D442" t="str">
        <x:v>Damak</x:v>
      </x:c>
      <x:c r="E442" t="str">
        <x:v>Late Night Cravings</x:v>
      </x:c>
      <x:c r="F442" t="str">
        <x:v>Veg Fry Rice</x:v>
      </x:c>
      <x:c r="G442" t="str">
        <x:v>Food</x:v>
      </x:c>
      <x:c r="H442" t="n">
        <x:v>3</x:v>
      </x:c>
      <x:c r="I442" s="14" t="n">
        <x:v>160</x:v>
      </x:c>
      <x:c r="J442" s="14" t="n">
        <x:v>480</x:v>
      </x:c>
      <x:c r="K442" t="str">
        <x:v>DEMO / SIMULATED</x:v>
      </x:c>
    </x:row>
    <x:row r="443">
      <x:c r="A443" t="str">
        <x:v>JFD-20260818-0255</x:v>
      </x:c>
      <x:c r="B443" s="11" t="n">
        <x:v>46252.51666666667</x:v>
      </x:c>
      <x:c r="C443" s="13" t="n">
        <x:v>0.5166666666666667</x:v>
      </x:c>
      <x:c r="D443" t="str">
        <x:v>Damak</x:v>
      </x:c>
      <x:c r="E443" t="str">
        <x:v>Late Night Cravings</x:v>
      </x:c>
      <x:c r="F443" t="str">
        <x:v>Coca-Cola 500ml</x:v>
      </x:c>
      <x:c r="G443" t="str">
        <x:v>Drink</x:v>
      </x:c>
      <x:c r="H443" t="n">
        <x:v>1</x:v>
      </x:c>
      <x:c r="I443" s="14" t="n">
        <x:v>100</x:v>
      </x:c>
      <x:c r="J443" s="14" t="n">
        <x:v>100</x:v>
      </x:c>
      <x:c r="K443" t="str">
        <x:v>DEMO / SIMULATED</x:v>
      </x:c>
    </x:row>
    <x:row r="444">
      <x:c r="A444" t="str">
        <x:v>JFD-20240227-0256</x:v>
      </x:c>
      <x:c r="B444" s="11" t="n">
        <x:v>45349.59722222222</x:v>
      </x:c>
      <x:c r="C444" s="13" t="n">
        <x:v>0.5972222222222222</x:v>
      </x:c>
      <x:c r="D444" t="str">
        <x:v>Damak</x:v>
      </x:c>
      <x:c r="E444" t="str">
        <x:v>Late Night Cravings</x:v>
      </x:c>
      <x:c r="F444" t="str">
        <x:v>Bottled Water 1L</x:v>
      </x:c>
      <x:c r="G444" t="str">
        <x:v>Drink</x:v>
      </x:c>
      <x:c r="H444" t="n">
        <x:v>4</x:v>
      </x:c>
      <x:c r="I444" s="14" t="n">
        <x:v>35</x:v>
      </x:c>
      <x:c r="J444" s="14" t="n">
        <x:v>140</x:v>
      </x:c>
      <x:c r="K444" t="str">
        <x:v>DEMO / SIMULATED</x:v>
      </x:c>
    </x:row>
    <x:row r="445">
      <x:c r="A445" t="str">
        <x:v>JFD-20230616-0257</x:v>
      </x:c>
      <x:c r="B445" s="11" t="n">
        <x:v>45093.84930555556</x:v>
      </x:c>
      <x:c r="C445" s="13" t="n">
        <x:v>0.8493055555555555</x:v>
      </x:c>
      <x:c r="D445" t="str">
        <x:v>Damak</x:v>
      </x:c>
      <x:c r="E445" t="str">
        <x:v>Late Night Cravings</x:v>
      </x:c>
      <x:c r="F445" t="str">
        <x:v>Veg Fry Rice</x:v>
      </x:c>
      <x:c r="G445" t="str">
        <x:v>Food</x:v>
      </x:c>
      <x:c r="H445" t="n">
        <x:v>4</x:v>
      </x:c>
      <x:c r="I445" s="14" t="n">
        <x:v>130</x:v>
      </x:c>
      <x:c r="J445" s="14" t="n">
        <x:v>520</x:v>
      </x:c>
      <x:c r="K445" t="str">
        <x:v>DEMO / SIMULATED</x:v>
      </x:c>
    </x:row>
    <x:row r="446">
      <x:c r="A446" t="str">
        <x:v>JFD-20230521-0258</x:v>
      </x:c>
      <x:c r="B446" s="11" t="n">
        <x:v>45067.75833333333</x:v>
      </x:c>
      <x:c r="C446" s="13" t="n">
        <x:v>0.7583333333333333</x:v>
      </x:c>
      <x:c r="D446" t="str">
        <x:v>Damak</x:v>
      </x:c>
      <x:c r="E446" t="str">
        <x:v>Milan’s Bakery</x:v>
      </x:c>
      <x:c r="F446" t="str">
        <x:v>Vanilla Cake</x:v>
      </x:c>
      <x:c r="G446" t="str">
        <x:v>Food</x:v>
      </x:c>
      <x:c r="H446" t="n">
        <x:v>1</x:v>
      </x:c>
      <x:c r="I446" s="14" t="n">
        <x:v>245</x:v>
      </x:c>
      <x:c r="J446" s="14" t="n">
        <x:v>245</x:v>
      </x:c>
      <x:c r="K446" t="str">
        <x:v>DEMO / SIMULATED</x:v>
      </x:c>
    </x:row>
    <x:row r="447">
      <x:c r="A447" t="str">
        <x:v>JFD-20230521-0258</x:v>
      </x:c>
      <x:c r="B447" s="11" t="n">
        <x:v>45067.65277777778</x:v>
      </x:c>
      <x:c r="C447" s="13" t="n">
        <x:v>0.6527777777777778</x:v>
      </x:c>
      <x:c r="D447" t="str">
        <x:v>Damak</x:v>
      </x:c>
      <x:c r="E447" t="str">
        <x:v>Milan’s Bakery</x:v>
      </x:c>
      <x:c r="F447" t="str">
        <x:v>Chocolate Cake</x:v>
      </x:c>
      <x:c r="G447" t="str">
        <x:v>Food</x:v>
      </x:c>
      <x:c r="H447" t="n">
        <x:v>2</x:v>
      </x:c>
      <x:c r="I447" s="14" t="n">
        <x:v>285</x:v>
      </x:c>
      <x:c r="J447" s="14" t="n">
        <x:v>570</x:v>
      </x:c>
      <x:c r="K447" t="str">
        <x:v>DEMO / SIMULATED</x:v>
      </x:c>
    </x:row>
    <x:row r="448">
      <x:c r="A448" t="str">
        <x:v>JFD-20260202-0259</x:v>
      </x:c>
      <x:c r="B448" s="11" t="n">
        <x:v>46055.779861111114</x:v>
      </x:c>
      <x:c r="C448" s="13" t="n">
        <x:v>0.7798611111111111</x:v>
      </x:c>
      <x:c r="D448" t="str">
        <x:v>Birtamode</x:v>
      </x:c>
      <x:c r="E448" t="str">
        <x:v>Pizza Ghar</x:v>
      </x:c>
      <x:c r="F448" t="str">
        <x:v>Chicken BBQ Feast Pizza</x:v>
      </x:c>
      <x:c r="G448" t="str">
        <x:v>Food</x:v>
      </x:c>
      <x:c r="H448" t="n">
        <x:v>3</x:v>
      </x:c>
      <x:c r="I448" s="14" t="n">
        <x:v>580</x:v>
      </x:c>
      <x:c r="J448" s="14" t="n">
        <x:v>1740</x:v>
      </x:c>
      <x:c r="K448" t="str">
        <x:v>DEMO / SIMULATED</x:v>
      </x:c>
    </x:row>
    <x:row r="449">
      <x:c r="A449" t="str">
        <x:v>JFD-20260202-0259</x:v>
      </x:c>
      <x:c r="B449" s="11" t="n">
        <x:v>46055.53472222222</x:v>
      </x:c>
      <x:c r="C449" s="13" t="n">
        <x:v>0.5347222222222222</x:v>
      </x:c>
      <x:c r="D449" t="str">
        <x:v>Birtamode</x:v>
      </x:c>
      <x:c r="E449" t="str">
        <x:v>Pizza Ghar</x:v>
      </x:c>
      <x:c r="F449" t="str">
        <x:v>Coca-Cola 500ml</x:v>
      </x:c>
      <x:c r="G449" t="str">
        <x:v>Drink</x:v>
      </x:c>
      <x:c r="H449" t="n">
        <x:v>1</x:v>
      </x:c>
      <x:c r="I449" s="14" t="n">
        <x:v>100</x:v>
      </x:c>
      <x:c r="J449" s="14" t="n">
        <x:v>100</x:v>
      </x:c>
      <x:c r="K449" t="str">
        <x:v>DEMO / SIMULATED</x:v>
      </x:c>
    </x:row>
    <x:row r="450">
      <x:c r="A450" t="str">
        <x:v>JFD-20260202-0259</x:v>
      </x:c>
      <x:c r="B450" s="11" t="n">
        <x:v>46055.87986111111</x:v>
      </x:c>
      <x:c r="C450" s="13" t="n">
        <x:v>0.8798611111111111</x:v>
      </x:c>
      <x:c r="D450" t="str">
        <x:v>Birtamode</x:v>
      </x:c>
      <x:c r="E450" t="str">
        <x:v>Pizza Ghar</x:v>
      </x:c>
      <x:c r="F450" t="str">
        <x:v>Egg Fried Rice</x:v>
      </x:c>
      <x:c r="G450" t="str">
        <x:v>Food</x:v>
      </x:c>
      <x:c r="H450" t="n">
        <x:v>1</x:v>
      </x:c>
      <x:c r="I450" s="14" t="n">
        <x:v>270</x:v>
      </x:c>
      <x:c r="J450" s="14" t="n">
        <x:v>270</x:v>
      </x:c>
      <x:c r="K450" t="str">
        <x:v>DEMO / SIMULATED</x:v>
      </x:c>
    </x:row>
    <x:row r="451">
      <x:c r="A451" t="str">
        <x:v>JFD-20241227-0260</x:v>
      </x:c>
      <x:c r="B451" s="11" t="n">
        <x:v>45653.895833333336</x:v>
      </x:c>
      <x:c r="C451" s="13" t="n">
        <x:v>0.8958333333333334</x:v>
      </x:c>
      <x:c r="D451" t="str">
        <x:v>Damak</x:v>
      </x:c>
      <x:c r="E451" t="str">
        <x:v>Milan’s Bakery</x:v>
      </x:c>
      <x:c r="F451" t="str">
        <x:v>Chocolate Cake</x:v>
      </x:c>
      <x:c r="G451" t="str">
        <x:v>Food</x:v>
      </x:c>
      <x:c r="H451" t="n">
        <x:v>4</x:v>
      </x:c>
      <x:c r="I451" s="14" t="n">
        <x:v>310</x:v>
      </x:c>
      <x:c r="J451" s="14" t="n">
        <x:v>1240</x:v>
      </x:c>
      <x:c r="K451" t="str">
        <x:v>DEMO / SIMULATED</x:v>
      </x:c>
    </x:row>
    <x:row r="452">
      <x:c r="A452" t="str">
        <x:v>JFD-20250720-0261</x:v>
      </x:c>
      <x:c r="B452" s="11" t="n">
        <x:v>45858.873611111114</x:v>
      </x:c>
      <x:c r="C452" s="13" t="n">
        <x:v>0.8736111111111111</x:v>
      </x:c>
      <x:c r="D452" t="str">
        <x:v>Damak</x:v>
      </x:c>
      <x:c r="E452" t="str">
        <x:v>Late Night Cravings</x:v>
      </x:c>
      <x:c r="F452" t="str">
        <x:v>Coca-Cola 500ml</x:v>
      </x:c>
      <x:c r="G452" t="str">
        <x:v>Drink</x:v>
      </x:c>
      <x:c r="H452" t="n">
        <x:v>2</x:v>
      </x:c>
      <x:c r="I452" s="14" t="n">
        <x:v>95</x:v>
      </x:c>
      <x:c r="J452" s="14" t="n">
        <x:v>190</x:v>
      </x:c>
      <x:c r="K452" t="str">
        <x:v>DEMO / SIMULATED</x:v>
      </x:c>
    </x:row>
    <x:row r="453">
      <x:c r="A453" t="str">
        <x:v>JFD-20230223-0262</x:v>
      </x:c>
      <x:c r="B453" s="11" t="n">
        <x:v>44980.79236111111</x:v>
      </x:c>
      <x:c r="C453" s="13" t="n">
        <x:v>0.7923611111111111</x:v>
      </x:c>
      <x:c r="D453" t="str">
        <x:v>Birtamode</x:v>
      </x:c>
      <x:c r="E453" t="str">
        <x:v>The Underground Cafe &amp; Restaurant</x:v>
      </x:c>
      <x:c r="F453" t="str">
        <x:v>Bottled Water 1L</x:v>
      </x:c>
      <x:c r="G453" t="str">
        <x:v>Drink</x:v>
      </x:c>
      <x:c r="H453" t="n">
        <x:v>3</x:v>
      </x:c>
      <x:c r="I453" s="14" t="n">
        <x:v>35</x:v>
      </x:c>
      <x:c r="J453" s="14" t="n">
        <x:v>105</x:v>
      </x:c>
      <x:c r="K453" t="str">
        <x:v>DEMO / SIMULATED</x:v>
      </x:c>
    </x:row>
    <x:row r="454">
      <x:c r="A454" t="str">
        <x:v>JFD-20230223-0262</x:v>
      </x:c>
      <x:c r="B454" s="11" t="n">
        <x:v>44980.495833333334</x:v>
      </x:c>
      <x:c r="C454" s="13" t="n">
        <x:v>0.49583333333333335</x:v>
      </x:c>
      <x:c r="D454" t="str">
        <x:v>Birtamode</x:v>
      </x:c>
      <x:c r="E454" t="str">
        <x:v>The Underground Cafe &amp; Restaurant</x:v>
      </x:c>
      <x:c r="F454" t="str">
        <x:v>Paneer Pakauda</x:v>
      </x:c>
      <x:c r="G454" t="str">
        <x:v>Food</x:v>
      </x:c>
      <x:c r="H454" t="n">
        <x:v>2</x:v>
      </x:c>
      <x:c r="I454" s="14" t="n">
        <x:v>185</x:v>
      </x:c>
      <x:c r="J454" s="14" t="n">
        <x:v>370</x:v>
      </x:c>
      <x:c r="K454" t="str">
        <x:v>DEMO / SIMULATED</x:v>
      </x:c>
    </x:row>
    <x:row r="455">
      <x:c r="A455" t="str">
        <x:v>JFD-20230223-0262</x:v>
      </x:c>
      <x:c r="B455" s="11" t="n">
        <x:v>44980.44027777778</x:v>
      </x:c>
      <x:c r="C455" s="13" t="n">
        <x:v>0.44027777777777777</x:v>
      </x:c>
      <x:c r="D455" t="str">
        <x:v>Birtamode</x:v>
      </x:c>
      <x:c r="E455" t="str">
        <x:v>The Underground Cafe &amp; Restaurant</x:v>
      </x:c>
      <x:c r="F455" t="str">
        <x:v>Coca-Cola 500ml</x:v>
      </x:c>
      <x:c r="G455" t="str">
        <x:v>Drink</x:v>
      </x:c>
      <x:c r="H455" t="n">
        <x:v>4</x:v>
      </x:c>
      <x:c r="I455" s="14" t="n">
        <x:v>80</x:v>
      </x:c>
      <x:c r="J455" s="14" t="n">
        <x:v>320</x:v>
      </x:c>
      <x:c r="K455" t="str">
        <x:v>DEMO / SIMULATED</x:v>
      </x:c>
    </x:row>
    <x:row r="456">
      <x:c r="A456" t="str">
        <x:v>JFD-20250616-0263</x:v>
      </x:c>
      <x:c r="B456" s="11" t="n">
        <x:v>45824.65069444444</x:v>
      </x:c>
      <x:c r="C456" s="13" t="n">
        <x:v>0.6506944444444445</x:v>
      </x:c>
      <x:c r="D456" t="str">
        <x:v>Damak</x:v>
      </x:c>
      <x:c r="E456" t="str">
        <x:v>Late Night Cravings</x:v>
      </x:c>
      <x:c r="F456" t="str">
        <x:v>Egg Fry Rice</x:v>
      </x:c>
      <x:c r="G456" t="str">
        <x:v>Food</x:v>
      </x:c>
      <x:c r="H456" t="n">
        <x:v>4</x:v>
      </x:c>
      <x:c r="I456" s="14" t="n">
        <x:v>190</x:v>
      </x:c>
      <x:c r="J456" s="14" t="n">
        <x:v>760</x:v>
      </x:c>
      <x:c r="K456" t="str">
        <x:v>DEMO / SIMULATED</x:v>
      </x:c>
    </x:row>
    <x:row r="457">
      <x:c r="A457" t="str">
        <x:v>JFD-20250616-0263</x:v>
      </x:c>
      <x:c r="B457" s="11" t="n">
        <x:v>45824.80902777778</x:v>
      </x:c>
      <x:c r="C457" s="13" t="n">
        <x:v>0.8090277777777778</x:v>
      </x:c>
      <x:c r="D457" t="str">
        <x:v>Damak</x:v>
      </x:c>
      <x:c r="E457" t="str">
        <x:v>Late Night Cravings</x:v>
      </x:c>
      <x:c r="F457" t="str">
        <x:v>Veg Fry Rice</x:v>
      </x:c>
      <x:c r="G457" t="str">
        <x:v>Food</x:v>
      </x:c>
      <x:c r="H457" t="n">
        <x:v>4</x:v>
      </x:c>
      <x:c r="I457" s="14" t="n">
        <x:v>150</x:v>
      </x:c>
      <x:c r="J457" s="14" t="n">
        <x:v>600</x:v>
      </x:c>
      <x:c r="K457" t="str">
        <x:v>DEMO / SIMULATED</x:v>
      </x:c>
    </x:row>
    <x:row r="458">
      <x:c r="A458" t="str">
        <x:v>JFD-20230208-0264</x:v>
      </x:c>
      <x:c r="B458" s="11" t="n">
        <x:v>44965.606944444444</x:v>
      </x:c>
      <x:c r="C458" s="13" t="n">
        <x:v>0.6069444444444444</x:v>
      </x:c>
      <x:c r="D458" t="str">
        <x:v>Damak</x:v>
      </x:c>
      <x:c r="E458" t="str">
        <x:v>Milan’s Bakery</x:v>
      </x:c>
      <x:c r="F458" t="str">
        <x:v>Red Velvet Cake</x:v>
      </x:c>
      <x:c r="G458" t="str">
        <x:v>Food</x:v>
      </x:c>
      <x:c r="H458" t="n">
        <x:v>3</x:v>
      </x:c>
      <x:c r="I458" s="14" t="n">
        <x:v>740</x:v>
      </x:c>
      <x:c r="J458" s="14" t="n">
        <x:v>2220</x:v>
      </x:c>
      <x:c r="K458" t="str">
        <x:v>DEMO / SIMULATED</x:v>
      </x:c>
    </x:row>
    <x:row r="459">
      <x:c r="A459" t="str">
        <x:v>JFD-20251021-0265</x:v>
      </x:c>
      <x:c r="B459" s="11" t="n">
        <x:v>45951.697916666664</x:v>
      </x:c>
      <x:c r="C459" s="13" t="n">
        <x:v>0.6979166666666666</x:v>
      </x:c>
      <x:c r="D459" t="str">
        <x:v>Damak</x:v>
      </x:c>
      <x:c r="E459" t="str">
        <x:v>Milan’s Bakery</x:v>
      </x:c>
      <x:c r="F459" t="str">
        <x:v>Chocolate Cake</x:v>
      </x:c>
      <x:c r="G459" t="str">
        <x:v>Food</x:v>
      </x:c>
      <x:c r="H459" t="n">
        <x:v>3</x:v>
      </x:c>
      <x:c r="I459" s="14" t="n">
        <x:v>330</x:v>
      </x:c>
      <x:c r="J459" s="14" t="n">
        <x:v>990</x:v>
      </x:c>
      <x:c r="K459" t="str">
        <x:v>DEMO / SIMULATED</x:v>
      </x:c>
    </x:row>
    <x:row r="460">
      <x:c r="A460" t="str">
        <x:v>JFD-20251021-0265</x:v>
      </x:c>
      <x:c r="B460" s="11" t="n">
        <x:v>45951.76666666667</x:v>
      </x:c>
      <x:c r="C460" s="13" t="n">
        <x:v>0.7666666666666667</x:v>
      </x:c>
      <x:c r="D460" t="str">
        <x:v>Damak</x:v>
      </x:c>
      <x:c r="E460" t="str">
        <x:v>Milan’s Bakery</x:v>
      </x:c>
      <x:c r="F460" t="str">
        <x:v>Coca-Cola 500ml</x:v>
      </x:c>
      <x:c r="G460" t="str">
        <x:v>Drink</x:v>
      </x:c>
      <x:c r="H460" t="n">
        <x:v>1</x:v>
      </x:c>
      <x:c r="I460" s="14" t="n">
        <x:v>95</x:v>
      </x:c>
      <x:c r="J460" s="14" t="n">
        <x:v>95</x:v>
      </x:c>
      <x:c r="K460" t="str">
        <x:v>DEMO / SIMULATED</x:v>
      </x:c>
    </x:row>
    <x:row r="461">
      <x:c r="A461" t="str">
        <x:v>JFD-20251021-0265</x:v>
      </x:c>
      <x:c r="B461" s="11" t="n">
        <x:v>45951.47152777778</x:v>
      </x:c>
      <x:c r="C461" s="13" t="n">
        <x:v>0.47152777777777777</x:v>
      </x:c>
      <x:c r="D461" t="str">
        <x:v>Damak</x:v>
      </x:c>
      <x:c r="E461" t="str">
        <x:v>Milan’s Bakery</x:v>
      </x:c>
      <x:c r="F461" t="str">
        <x:v>Black Forest Cake</x:v>
      </x:c>
      <x:c r="G461" t="str">
        <x:v>Food</x:v>
      </x:c>
      <x:c r="H461" t="n">
        <x:v>1</x:v>
      </x:c>
      <x:c r="I461" s="14" t="n">
        <x:v>280</x:v>
      </x:c>
      <x:c r="J461" s="14" t="n">
        <x:v>280</x:v>
      </x:c>
      <x:c r="K461" t="str">
        <x:v>DEMO / SIMULATED</x:v>
      </x:c>
    </x:row>
    <x:row r="462">
      <x:c r="A462" t="str">
        <x:v>JFD-20260303-0266</x:v>
      </x:c>
      <x:c r="B462" s="11" t="n">
        <x:v>46084.83263888889</x:v>
      </x:c>
      <x:c r="C462" s="13" t="n">
        <x:v>0.8326388888888889</x:v>
      </x:c>
      <x:c r="D462" t="str">
        <x:v>Birtamode</x:v>
      </x:c>
      <x:c r="E462" t="str">
        <x:v>Pizza Ghar</x:v>
      </x:c>
      <x:c r="F462" t="str">
        <x:v>Egg Fried Rice</x:v>
      </x:c>
      <x:c r="G462" t="str">
        <x:v>Food</x:v>
      </x:c>
      <x:c r="H462" t="n">
        <x:v>2</x:v>
      </x:c>
      <x:c r="I462" s="14" t="n">
        <x:v>270</x:v>
      </x:c>
      <x:c r="J462" s="14" t="n">
        <x:v>540</x:v>
      </x:c>
      <x:c r="K462" t="str">
        <x:v>DEMO / SIMULATED</x:v>
      </x:c>
    </x:row>
    <x:row r="463">
      <x:c r="A463" t="str">
        <x:v>JFD-20260303-0266</x:v>
      </x:c>
      <x:c r="B463" s="11" t="n">
        <x:v>46084.8125</x:v>
      </x:c>
      <x:c r="C463" s="13" t="n">
        <x:v>0.8125</x:v>
      </x:c>
      <x:c r="D463" t="str">
        <x:v>Birtamode</x:v>
      </x:c>
      <x:c r="E463" t="str">
        <x:v>Pizza Ghar</x:v>
      </x:c>
      <x:c r="F463" t="str">
        <x:v>Bottled Water 1L</x:v>
      </x:c>
      <x:c r="G463" t="str">
        <x:v>Drink</x:v>
      </x:c>
      <x:c r="H463" t="n">
        <x:v>2</x:v>
      </x:c>
      <x:c r="I463" s="14" t="n">
        <x:v>40</x:v>
      </x:c>
      <x:c r="J463" s="14" t="n">
        <x:v>80</x:v>
      </x:c>
      <x:c r="K463" t="str">
        <x:v>DEMO / SIMULATED</x:v>
      </x:c>
    </x:row>
    <x:row r="464">
      <x:c r="A464" t="str">
        <x:v>JFD-20260615-0267</x:v>
      </x:c>
      <x:c r="B464" s="11" t="n">
        <x:v>46189</x:v>
      </x:c>
      <x:c r="C464" s="13" t="n">
        <x:v>0.7604166666666666</x:v>
      </x:c>
      <x:c r="D464" t="str">
        <x:v>Damak</x:v>
      </x:c>
      <x:c r="E464" t="str">
        <x:v>Milan’s Bakery</x:v>
      </x:c>
      <x:c r="F464" t="str">
        <x:v>Vanilla Cake</x:v>
      </x:c>
      <x:c r="G464" t="str">
        <x:v>Food</x:v>
      </x:c>
      <x:c r="H464" t="n">
        <x:v>2</x:v>
      </x:c>
      <x:c r="I464" s="14" t="n">
        <x:v>300</x:v>
      </x:c>
      <x:c r="J464" s="14" t="n">
        <x:v>600</x:v>
      </x:c>
      <x:c r="K464" t="str">
        <x:v>DEMO / SIMULATED</x:v>
      </x:c>
    </x:row>
    <x:row r="465">
      <x:c r="A465" t="str">
        <x:v>JFD-20260615-0267</x:v>
      </x:c>
      <x:c r="B465" s="11" t="n">
        <x:v>46188.84652777778</x:v>
      </x:c>
      <x:c r="C465" s="13" t="n">
        <x:v>0.8465277777777778</x:v>
      </x:c>
      <x:c r="D465" t="str">
        <x:v>Damak</x:v>
      </x:c>
      <x:c r="E465" t="str">
        <x:v>Milan’s Bakery</x:v>
      </x:c>
      <x:c r="F465" t="str">
        <x:v>Bottled Water 1L</x:v>
      </x:c>
      <x:c r="G465" t="str">
        <x:v>Drink</x:v>
      </x:c>
      <x:c r="H465" t="n">
        <x:v>4</x:v>
      </x:c>
      <x:c r="I465" s="14" t="n">
        <x:v>40</x:v>
      </x:c>
      <x:c r="J465" s="14" t="n">
        <x:v>160</x:v>
      </x:c>
      <x:c r="K465" t="str">
        <x:v>DEMO / SIMULATED</x:v>
      </x:c>
    </x:row>
    <x:row r="466">
      <x:c r="A466" t="str">
        <x:v>JFD-20250627-0268</x:v>
      </x:c>
      <x:c r="B466" s="11" t="n">
        <x:v>45835.436111111114</x:v>
      </x:c>
      <x:c r="C466" s="13" t="n">
        <x:v>0.4361111111111111</x:v>
      </x:c>
      <x:c r="D466" t="str">
        <x:v>Damak</x:v>
      </x:c>
      <x:c r="E466" t="str">
        <x:v>Late Night Cravings</x:v>
      </x:c>
      <x:c r="F466" t="str">
        <x:v>Veg Fry Rice</x:v>
      </x:c>
      <x:c r="G466" t="str">
        <x:v>Food</x:v>
      </x:c>
      <x:c r="H466" t="n">
        <x:v>2</x:v>
      </x:c>
      <x:c r="I466" s="14" t="n">
        <x:v>150</x:v>
      </x:c>
      <x:c r="J466" s="14" t="n">
        <x:v>300</x:v>
      </x:c>
      <x:c r="K466" t="str">
        <x:v>DEMO / SIMULATED</x:v>
      </x:c>
    </x:row>
    <x:row r="467">
      <x:c r="A467" t="str">
        <x:v>JFD-20250627-0268</x:v>
      </x:c>
      <x:c r="B467" s="11" t="n">
        <x:v>45835.538194444445</x:v>
      </x:c>
      <x:c r="C467" s="13" t="n">
        <x:v>0.5381944444444444</x:v>
      </x:c>
      <x:c r="D467" t="str">
        <x:v>Damak</x:v>
      </x:c>
      <x:c r="E467" t="str">
        <x:v>Late Night Cravings</x:v>
      </x:c>
      <x:c r="F467" t="str">
        <x:v>Bottled Water 1L</x:v>
      </x:c>
      <x:c r="G467" t="str">
        <x:v>Drink</x:v>
      </x:c>
      <x:c r="H467" t="n">
        <x:v>3</x:v>
      </x:c>
      <x:c r="I467" s="14" t="n">
        <x:v>40</x:v>
      </x:c>
      <x:c r="J467" s="14" t="n">
        <x:v>120</x:v>
      </x:c>
      <x:c r="K467" t="str">
        <x:v>DEMO / SIMULATED</x:v>
      </x:c>
    </x:row>
    <x:row r="468">
      <x:c r="A468" t="str">
        <x:v>JFD-20250427-0269</x:v>
      </x:c>
      <x:c r="B468" s="11" t="n">
        <x:v>45774.836805555555</x:v>
      </x:c>
      <x:c r="C468" s="13" t="n">
        <x:v>0.8368055555555556</x:v>
      </x:c>
      <x:c r="D468" t="str">
        <x:v>Damak</x:v>
      </x:c>
      <x:c r="E468" t="str">
        <x:v>Late Night Cravings</x:v>
      </x:c>
      <x:c r="F468" t="str">
        <x:v>Coca-Cola 500ml</x:v>
      </x:c>
      <x:c r="G468" t="str">
        <x:v>Drink</x:v>
      </x:c>
      <x:c r="H468" t="n">
        <x:v>3</x:v>
      </x:c>
      <x:c r="I468" s="14" t="n">
        <x:v>95</x:v>
      </x:c>
      <x:c r="J468" s="14" t="n">
        <x:v>285</x:v>
      </x:c>
      <x:c r="K468" t="str">
        <x:v>DEMO / SIMULATED</x:v>
      </x:c>
    </x:row>
    <x:row r="469">
      <x:c r="A469" t="str">
        <x:v>JFD-20250427-0269</x:v>
      </x:c>
      <x:c r="B469" s="11" t="n">
        <x:v>45774.913194444445</x:v>
      </x:c>
      <x:c r="C469" s="13" t="n">
        <x:v>0.9131944444444444</x:v>
      </x:c>
      <x:c r="D469" t="str">
        <x:v>Damak</x:v>
      </x:c>
      <x:c r="E469" t="str">
        <x:v>Late Night Cravings</x:v>
      </x:c>
      <x:c r="F469" t="str">
        <x:v>Veg Fry Rice</x:v>
      </x:c>
      <x:c r="G469" t="str">
        <x:v>Food</x:v>
      </x:c>
      <x:c r="H469" t="n">
        <x:v>1</x:v>
      </x:c>
      <x:c r="I469" s="14" t="n">
        <x:v>150</x:v>
      </x:c>
      <x:c r="J469" s="14" t="n">
        <x:v>150</x:v>
      </x:c>
      <x:c r="K469" t="str">
        <x:v>DEMO / SIMULATED</x:v>
      </x:c>
    </x:row>
    <x:row r="470">
      <x:c r="A470" t="str">
        <x:v>JFD-20250821-0270</x:v>
      </x:c>
      <x:c r="B470" s="11" t="n">
        <x:v>45890.42847222222</x:v>
      </x:c>
      <x:c r="C470" s="13" t="n">
        <x:v>0.4284722222222222</x:v>
      </x:c>
      <x:c r="D470" t="str">
        <x:v>Damak</x:v>
      </x:c>
      <x:c r="E470" t="str">
        <x:v>Milan’s Bakery</x:v>
      </x:c>
      <x:c r="F470" t="str">
        <x:v>Black Forest Cake</x:v>
      </x:c>
      <x:c r="G470" t="str">
        <x:v>Food</x:v>
      </x:c>
      <x:c r="H470" t="n">
        <x:v>2</x:v>
      </x:c>
      <x:c r="I470" s="14" t="n">
        <x:v>280</x:v>
      </x:c>
      <x:c r="J470" s="14" t="n">
        <x:v>560</x:v>
      </x:c>
      <x:c r="K470" t="str">
        <x:v>DEMO / SIMULATED</x:v>
      </x:c>
    </x:row>
    <x:row r="471">
      <x:c r="A471" t="str">
        <x:v>JFD-20240512-0271</x:v>
      </x:c>
      <x:c r="B471" s="11" t="n">
        <x:v>45424.88263888889</x:v>
      </x:c>
      <x:c r="C471" s="13" t="n">
        <x:v>0.8826388888888889</x:v>
      </x:c>
      <x:c r="D471" t="str">
        <x:v>Damak</x:v>
      </x:c>
      <x:c r="E471" t="str">
        <x:v>Late Night Cravings</x:v>
      </x:c>
      <x:c r="F471" t="str">
        <x:v>Mix Fry Rice</x:v>
      </x:c>
      <x:c r="G471" t="str">
        <x:v>Food</x:v>
      </x:c>
      <x:c r="H471" t="n">
        <x:v>2</x:v>
      </x:c>
      <x:c r="I471" s="14" t="n">
        <x:v>245</x:v>
      </x:c>
      <x:c r="J471" s="14" t="n">
        <x:v>490</x:v>
      </x:c>
      <x:c r="K471" t="str">
        <x:v>DEMO / SIMULATED</x:v>
      </x:c>
    </x:row>
    <x:row r="472">
      <x:c r="A472" t="str">
        <x:v>JFD-20240512-0271</x:v>
      </x:c>
      <x:c r="B472" s="11" t="n">
        <x:v>45424.572916666664</x:v>
      </x:c>
      <x:c r="C472" s="13" t="n">
        <x:v>0.5729166666666666</x:v>
      </x:c>
      <x:c r="D472" t="str">
        <x:v>Damak</x:v>
      </x:c>
      <x:c r="E472" t="str">
        <x:v>Late Night Cravings</x:v>
      </x:c>
      <x:c r="F472" t="str">
        <x:v>Veg Fry Rice</x:v>
      </x:c>
      <x:c r="G472" t="str">
        <x:v>Food</x:v>
      </x:c>
      <x:c r="H472" t="n">
        <x:v>4</x:v>
      </x:c>
      <x:c r="I472" s="14" t="n">
        <x:v>140</x:v>
      </x:c>
      <x:c r="J472" s="14" t="n">
        <x:v>560</x:v>
      </x:c>
      <x:c r="K472" t="str">
        <x:v>DEMO / SIMULATED</x:v>
      </x:c>
    </x:row>
    <x:row r="473">
      <x:c r="A473" t="str">
        <x:v>JFD-20260924-0272</x:v>
      </x:c>
      <x:c r="B473" s="11" t="n">
        <x:v>46289.84652777778</x:v>
      </x:c>
      <x:c r="C473" s="13" t="n">
        <x:v>0.8465277777777778</x:v>
      </x:c>
      <x:c r="D473" t="str">
        <x:v>Birtamode</x:v>
      </x:c>
      <x:c r="E473" t="str">
        <x:v>The Underground Cafe &amp; Restaurant</x:v>
      </x:c>
      <x:c r="F473" t="str">
        <x:v>Veg Pakauda</x:v>
      </x:c>
      <x:c r="G473" t="str">
        <x:v>Food</x:v>
      </x:c>
      <x:c r="H473" t="n">
        <x:v>3</x:v>
      </x:c>
      <x:c r="I473" s="14" t="n">
        <x:v>175</x:v>
      </x:c>
      <x:c r="J473" s="14" t="n">
        <x:v>525</x:v>
      </x:c>
      <x:c r="K473" t="str">
        <x:v>DEMO / SIMULATED</x:v>
      </x:c>
    </x:row>
    <x:row r="474">
      <x:c r="A474" t="str">
        <x:v>JFD-20260924-0272</x:v>
      </x:c>
      <x:c r="B474" s="11" t="n">
        <x:v>46289.441666666666</x:v>
      </x:c>
      <x:c r="C474" s="13" t="n">
        <x:v>0.44166666666666665</x:v>
      </x:c>
      <x:c r="D474" t="str">
        <x:v>Birtamode</x:v>
      </x:c>
      <x:c r="E474" t="str">
        <x:v>The Underground Cafe &amp; Restaurant</x:v>
      </x:c>
      <x:c r="F474" t="str">
        <x:v>Coca-Cola 500ml</x:v>
      </x:c>
      <x:c r="G474" t="str">
        <x:v>Drink</x:v>
      </x:c>
      <x:c r="H474" t="n">
        <x:v>3</x:v>
      </x:c>
      <x:c r="I474" s="14" t="n">
        <x:v>100</x:v>
      </x:c>
      <x:c r="J474" s="14" t="n">
        <x:v>300</x:v>
      </x:c>
      <x:c r="K474" t="str">
        <x:v>DEMO / SIMULATED</x:v>
      </x:c>
    </x:row>
    <x:row r="475">
      <x:c r="A475" t="str">
        <x:v>JFD-20260924-0272</x:v>
      </x:c>
      <x:c r="B475" s="11" t="n">
        <x:v>46289.55763888889</x:v>
      </x:c>
      <x:c r="C475" s="13" t="n">
        <x:v>0.5576388888888889</x:v>
      </x:c>
      <x:c r="D475" t="str">
        <x:v>Birtamode</x:v>
      </x:c>
      <x:c r="E475" t="str">
        <x:v>The Underground Cafe &amp; Restaurant</x:v>
      </x:c>
      <x:c r="F475" t="str">
        <x:v>Aalu Jeera</x:v>
      </x:c>
      <x:c r="G475" t="str">
        <x:v>Food</x:v>
      </x:c>
      <x:c r="H475" t="n">
        <x:v>2</x:v>
      </x:c>
      <x:c r="I475" s="14" t="n">
        <x:v>155</x:v>
      </x:c>
      <x:c r="J475" s="14" t="n">
        <x:v>310</x:v>
      </x:c>
      <x:c r="K475" t="str">
        <x:v>DEMO / SIMULATED</x:v>
      </x:c>
    </x:row>
    <x:row r="476">
      <x:c r="A476" t="str">
        <x:v>JFD-20250106-0273</x:v>
      </x:c>
      <x:c r="B476" s="11" t="n">
        <x:v>45663.89166666667</x:v>
      </x:c>
      <x:c r="C476" s="13" t="n">
        <x:v>0.8916666666666667</x:v>
      </x:c>
      <x:c r="D476" t="str">
        <x:v>Birtamode</x:v>
      </x:c>
      <x:c r="E476" t="str">
        <x:v>The Underground Cafe &amp; Restaurant</x:v>
      </x:c>
      <x:c r="F476" t="str">
        <x:v>Bottled Water 1L</x:v>
      </x:c>
      <x:c r="G476" t="str">
        <x:v>Drink</x:v>
      </x:c>
      <x:c r="H476" t="n">
        <x:v>3</x:v>
      </x:c>
      <x:c r="I476" s="14" t="n">
        <x:v>40</x:v>
      </x:c>
      <x:c r="J476" s="14" t="n">
        <x:v>120</x:v>
      </x:c>
      <x:c r="K476" t="str">
        <x:v>DEMO / SIMULATED</x:v>
      </x:c>
    </x:row>
    <x:row r="477">
      <x:c r="A477" t="str">
        <x:v>JFD-20240402-0274</x:v>
      </x:c>
      <x:c r="B477" s="11" t="n">
        <x:v>45384.53680555556</x:v>
      </x:c>
      <x:c r="C477" s="13" t="n">
        <x:v>0.5368055555555555</x:v>
      </x:c>
      <x:c r="D477" t="str">
        <x:v>Damak</x:v>
      </x:c>
      <x:c r="E477" t="str">
        <x:v>Late Night Cravings</x:v>
      </x:c>
      <x:c r="F477" t="str">
        <x:v>Bottled Water 1L</x:v>
      </x:c>
      <x:c r="G477" t="str">
        <x:v>Drink</x:v>
      </x:c>
      <x:c r="H477" t="n">
        <x:v>1</x:v>
      </x:c>
      <x:c r="I477" s="14" t="n">
        <x:v>35</x:v>
      </x:c>
      <x:c r="J477" s="14" t="n">
        <x:v>35</x:v>
      </x:c>
      <x:c r="K477" t="str">
        <x:v>DEMO / SIMULATED</x:v>
      </x:c>
    </x:row>
    <x:row r="478">
      <x:c r="A478" t="str">
        <x:v>JFD-20250917-0275</x:v>
      </x:c>
      <x:c r="B478" s="11" t="n">
        <x:v>45917.74791666667</x:v>
      </x:c>
      <x:c r="C478" s="13" t="n">
        <x:v>0.7479166666666667</x:v>
      </x:c>
      <x:c r="D478" t="str">
        <x:v>Birtamode</x:v>
      </x:c>
      <x:c r="E478" t="str">
        <x:v>The Underground Cafe &amp; Restaurant</x:v>
      </x:c>
      <x:c r="F478" t="str">
        <x:v>Coca-Cola 500ml</x:v>
      </x:c>
      <x:c r="G478" t="str">
        <x:v>Drink</x:v>
      </x:c>
      <x:c r="H478" t="n">
        <x:v>4</x:v>
      </x:c>
      <x:c r="I478" s="14" t="n">
        <x:v>95</x:v>
      </x:c>
      <x:c r="J478" s="14" t="n">
        <x:v>380</x:v>
      </x:c>
      <x:c r="K478" t="str">
        <x:v>DEMO / SIMULATED</x:v>
      </x:c>
    </x:row>
    <x:row r="479">
      <x:c r="A479" t="str">
        <x:v>JFD-20240102-0276</x:v>
      </x:c>
      <x:c r="B479" s="11" t="n">
        <x:v>45293.763194444444</x:v>
      </x:c>
      <x:c r="C479" s="13" t="n">
        <x:v>0.7631944444444444</x:v>
      </x:c>
      <x:c r="D479" t="str">
        <x:v>Damak</x:v>
      </x:c>
      <x:c r="E479" t="str">
        <x:v>Milan’s Bakery</x:v>
      </x:c>
      <x:c r="F479" t="str">
        <x:v>Black Forest Cake</x:v>
      </x:c>
      <x:c r="G479" t="str">
        <x:v>Food</x:v>
      </x:c>
      <x:c r="H479" t="n">
        <x:v>4</x:v>
      </x:c>
      <x:c r="I479" s="14" t="n">
        <x:v>265</x:v>
      </x:c>
      <x:c r="J479" s="14" t="n">
        <x:v>1060</x:v>
      </x:c>
      <x:c r="K479" t="str">
        <x:v>DEMO / SIMULATED</x:v>
      </x:c>
    </x:row>
    <x:row r="480">
      <x:c r="A480" t="str">
        <x:v>JFD-20240102-0276</x:v>
      </x:c>
      <x:c r="B480" s="11" t="n">
        <x:v>45293.72222222222</x:v>
      </x:c>
      <x:c r="C480" s="13" t="n">
        <x:v>0.7222222222222222</x:v>
      </x:c>
      <x:c r="D480" t="str">
        <x:v>Damak</x:v>
      </x:c>
      <x:c r="E480" t="str">
        <x:v>Milan’s Bakery</x:v>
      </x:c>
      <x:c r="F480" t="str">
        <x:v>Bottled Water 1L</x:v>
      </x:c>
      <x:c r="G480" t="str">
        <x:v>Drink</x:v>
      </x:c>
      <x:c r="H480" t="n">
        <x:v>1</x:v>
      </x:c>
      <x:c r="I480" s="14" t="n">
        <x:v>35</x:v>
      </x:c>
      <x:c r="J480" s="14" t="n">
        <x:v>35</x:v>
      </x:c>
      <x:c r="K480" t="str">
        <x:v>DEMO / SIMULATED</x:v>
      </x:c>
    </x:row>
    <x:row r="481">
      <x:c r="A481" t="str">
        <x:v>JFD-20240129-0277</x:v>
      </x:c>
      <x:c r="B481" s="11" t="n">
        <x:v>45320.57916666667</x:v>
      </x:c>
      <x:c r="C481" s="13" t="n">
        <x:v>0.5791666666666667</x:v>
      </x:c>
      <x:c r="D481" t="str">
        <x:v>Birtamode</x:v>
      </x:c>
      <x:c r="E481" t="str">
        <x:v>Pizza Ghar</x:v>
      </x:c>
      <x:c r="F481" t="str">
        <x:v>Coca-Cola 500ml</x:v>
      </x:c>
      <x:c r="G481" t="str">
        <x:v>Drink</x:v>
      </x:c>
      <x:c r="H481" t="n">
        <x:v>3</x:v>
      </x:c>
      <x:c r="I481" s="14" t="n">
        <x:v>90</x:v>
      </x:c>
      <x:c r="J481" s="14" t="n">
        <x:v>270</x:v>
      </x:c>
      <x:c r="K481" t="str">
        <x:v>DEMO / SIMULATED</x:v>
      </x:c>
    </x:row>
    <x:row r="482">
      <x:c r="A482" t="str">
        <x:v>JFD-20240129-0277</x:v>
      </x:c>
      <x:c r="B482" s="11" t="n">
        <x:v>45320.856944444444</x:v>
      </x:c>
      <x:c r="C482" s="13" t="n">
        <x:v>0.8569444444444444</x:v>
      </x:c>
      <x:c r="D482" t="str">
        <x:v>Birtamode</x:v>
      </x:c>
      <x:c r="E482" t="str">
        <x:v>Pizza Ghar</x:v>
      </x:c>
      <x:c r="F482" t="str">
        <x:v>Chicken BBQ Feast Pizza</x:v>
      </x:c>
      <x:c r="G482" t="str">
        <x:v>Food</x:v>
      </x:c>
      <x:c r="H482" t="n">
        <x:v>2</x:v>
      </x:c>
      <x:c r="I482" s="14" t="n">
        <x:v>510</x:v>
      </x:c>
      <x:c r="J482" s="14" t="n">
        <x:v>1020</x:v>
      </x:c>
      <x:c r="K482" t="str">
        <x:v>DEMO / SIMULATED</x:v>
      </x:c>
    </x:row>
    <x:row r="483">
      <x:c r="A483" t="str">
        <x:v>JFD-20240129-0277</x:v>
      </x:c>
      <x:c r="B483" s="11" t="n">
        <x:v>45320.529861111114</x:v>
      </x:c>
      <x:c r="C483" s="13" t="n">
        <x:v>0.5298611111111111</x:v>
      </x:c>
      <x:c r="D483" t="str">
        <x:v>Birtamode</x:v>
      </x:c>
      <x:c r="E483" t="str">
        <x:v>Pizza Ghar</x:v>
      </x:c>
      <x:c r="F483" t="str">
        <x:v>Chicken Fried Rice</x:v>
      </x:c>
      <x:c r="G483" t="str">
        <x:v>Food</x:v>
      </x:c>
      <x:c r="H483" t="n">
        <x:v>2</x:v>
      </x:c>
      <x:c r="I483" s="14" t="n">
        <x:v>265</x:v>
      </x:c>
      <x:c r="J483" s="14" t="n">
        <x:v>530</x:v>
      </x:c>
      <x:c r="K483" t="str">
        <x:v>DEMO / SIMULATED</x:v>
      </x:c>
    </x:row>
    <x:row r="484">
      <x:c r="A484" t="str">
        <x:v>JFD-20231001-0278</x:v>
      </x:c>
      <x:c r="B484" s="11" t="n">
        <x:v>45200.70277777778</x:v>
      </x:c>
      <x:c r="C484" s="13" t="n">
        <x:v>0.7027777777777777</x:v>
      </x:c>
      <x:c r="D484" t="str">
        <x:v>Birtamode</x:v>
      </x:c>
      <x:c r="E484" t="str">
        <x:v>The Underground Cafe &amp; Restaurant</x:v>
      </x:c>
      <x:c r="F484" t="str">
        <x:v>Coca-Cola 500ml</x:v>
      </x:c>
      <x:c r="G484" t="str">
        <x:v>Drink</x:v>
      </x:c>
      <x:c r="H484" t="n">
        <x:v>3</x:v>
      </x:c>
      <x:c r="I484" s="14" t="n">
        <x:v>80</x:v>
      </x:c>
      <x:c r="J484" s="14" t="n">
        <x:v>240</x:v>
      </x:c>
      <x:c r="K484" t="str">
        <x:v>DEMO / SIMULATED</x:v>
      </x:c>
    </x:row>
    <x:row r="485">
      <x:c r="A485" t="str">
        <x:v>JFD-20231001-0278</x:v>
      </x:c>
      <x:c r="B485" s="11" t="n">
        <x:v>45200.54027777778</x:v>
      </x:c>
      <x:c r="C485" s="13" t="n">
        <x:v>0.5402777777777777</x:v>
      </x:c>
      <x:c r="D485" t="str">
        <x:v>Birtamode</x:v>
      </x:c>
      <x:c r="E485" t="str">
        <x:v>The Underground Cafe &amp; Restaurant</x:v>
      </x:c>
      <x:c r="F485" t="str">
        <x:v>Aalu Jeera</x:v>
      </x:c>
      <x:c r="G485" t="str">
        <x:v>Food</x:v>
      </x:c>
      <x:c r="H485" t="n">
        <x:v>4</x:v>
      </x:c>
      <x:c r="I485" s="14" t="n">
        <x:v>125</x:v>
      </x:c>
      <x:c r="J485" s="14" t="n">
        <x:v>500</x:v>
      </x:c>
      <x:c r="K485" t="str">
        <x:v>DEMO / SIMULATED</x:v>
      </x:c>
    </x:row>
    <x:row r="486">
      <x:c r="A486" t="str">
        <x:v>JFD-20240106-0279</x:v>
      </x:c>
      <x:c r="B486" s="11" t="n">
        <x:v>45297.72430555556</x:v>
      </x:c>
      <x:c r="C486" s="13" t="n">
        <x:v>0.7243055555555555</x:v>
      </x:c>
      <x:c r="D486" t="str">
        <x:v>Birtamode</x:v>
      </x:c>
      <x:c r="E486" t="str">
        <x:v>The Underground Cafe &amp; Restaurant</x:v>
      </x:c>
      <x:c r="F486" t="str">
        <x:v>Veg Pakauda</x:v>
      </x:c>
      <x:c r="G486" t="str">
        <x:v>Food</x:v>
      </x:c>
      <x:c r="H486" t="n">
        <x:v>3</x:v>
      </x:c>
      <x:c r="I486" s="14" t="n">
        <x:v>155</x:v>
      </x:c>
      <x:c r="J486" s="14" t="n">
        <x:v>465</x:v>
      </x:c>
      <x:c r="K486" t="str">
        <x:v>DEMO / SIMULATED</x:v>
      </x:c>
    </x:row>
    <x:row r="487">
      <x:c r="A487" t="str">
        <x:v>JFD-20251222-0280</x:v>
      </x:c>
      <x:c r="B487" s="11" t="n">
        <x:v>46013.75763888889</x:v>
      </x:c>
      <x:c r="C487" s="13" t="n">
        <x:v>0.7576388888888889</x:v>
      </x:c>
      <x:c r="D487" t="str">
        <x:v>Birtamode</x:v>
      </x:c>
      <x:c r="E487" t="str">
        <x:v>The Underground Cafe &amp; Restaurant</x:v>
      </x:c>
      <x:c r="F487" t="str">
        <x:v>Bottled Water 1L</x:v>
      </x:c>
      <x:c r="G487" t="str">
        <x:v>Drink</x:v>
      </x:c>
      <x:c r="H487" t="n">
        <x:v>1</x:v>
      </x:c>
      <x:c r="I487" s="14" t="n">
        <x:v>40</x:v>
      </x:c>
      <x:c r="J487" s="14" t="n">
        <x:v>40</x:v>
      </x:c>
      <x:c r="K487" t="str">
        <x:v>DEMO / SIMULATED</x:v>
      </x:c>
    </x:row>
    <x:row r="488">
      <x:c r="A488" t="str">
        <x:v>JFD-20251222-0280</x:v>
      </x:c>
      <x:c r="B488" s="11" t="n">
        <x:v>46013.48125</x:v>
      </x:c>
      <x:c r="C488" s="13" t="n">
        <x:v>0.48125</x:v>
      </x:c>
      <x:c r="D488" t="str">
        <x:v>Birtamode</x:v>
      </x:c>
      <x:c r="E488" t="str">
        <x:v>The Underground Cafe &amp; Restaurant</x:v>
      </x:c>
      <x:c r="F488" t="str">
        <x:v>Paneer Pakauda</x:v>
      </x:c>
      <x:c r="G488" t="str">
        <x:v>Food</x:v>
      </x:c>
      <x:c r="H488" t="n">
        <x:v>3</x:v>
      </x:c>
      <x:c r="I488" s="14" t="n">
        <x:v>210</x:v>
      </x:c>
      <x:c r="J488" s="14" t="n">
        <x:v>630</x:v>
      </x:c>
      <x:c r="K488" t="str">
        <x:v>DEMO / SIMULATED</x:v>
      </x:c>
    </x:row>
    <x:row r="489">
      <x:c r="A489" t="str">
        <x:v>JFD-20230921-0281</x:v>
      </x:c>
      <x:c r="B489" s="11" t="n">
        <x:v>45190.82986111111</x:v>
      </x:c>
      <x:c r="C489" s="13" t="n">
        <x:v>0.8298611111111112</x:v>
      </x:c>
      <x:c r="D489" t="str">
        <x:v>Birtamode</x:v>
      </x:c>
      <x:c r="E489" t="str">
        <x:v>The Underground Cafe &amp; Restaurant</x:v>
      </x:c>
      <x:c r="F489" t="str">
        <x:v>Paneer Pakauda</x:v>
      </x:c>
      <x:c r="G489" t="str">
        <x:v>Food</x:v>
      </x:c>
      <x:c r="H489" t="n">
        <x:v>1</x:v>
      </x:c>
      <x:c r="I489" s="14" t="n">
        <x:v>185</x:v>
      </x:c>
      <x:c r="J489" s="14" t="n">
        <x:v>185</x:v>
      </x:c>
      <x:c r="K489" t="str">
        <x:v>DEMO / SIMULATED</x:v>
      </x:c>
    </x:row>
    <x:row r="490">
      <x:c r="A490" t="str">
        <x:v>JFD-20240507-0282</x:v>
      </x:c>
      <x:c r="B490" s="11" t="n">
        <x:v>45419.675</x:v>
      </x:c>
      <x:c r="C490" s="13" t="n">
        <x:v>0.675</x:v>
      </x:c>
      <x:c r="D490" t="str">
        <x:v>Birtamode</x:v>
      </x:c>
      <x:c r="E490" t="str">
        <x:v>Pizza Ghar</x:v>
      </x:c>
      <x:c r="F490" t="str">
        <x:v>Chicken Fried Rice</x:v>
      </x:c>
      <x:c r="G490" t="str">
        <x:v>Food</x:v>
      </x:c>
      <x:c r="H490" t="n">
        <x:v>1</x:v>
      </x:c>
      <x:c r="I490" s="14" t="n">
        <x:v>265</x:v>
      </x:c>
      <x:c r="J490" s="14" t="n">
        <x:v>265</x:v>
      </x:c>
      <x:c r="K490" t="str">
        <x:v>DEMO / SIMULATED</x:v>
      </x:c>
    </x:row>
    <x:row r="491">
      <x:c r="A491" t="str">
        <x:v>JFD-20240507-0282</x:v>
      </x:c>
      <x:c r="B491" s="11" t="n">
        <x:v>45419.45972222222</x:v>
      </x:c>
      <x:c r="C491" s="13" t="n">
        <x:v>0.4597222222222222</x:v>
      </x:c>
      <x:c r="D491" t="str">
        <x:v>Birtamode</x:v>
      </x:c>
      <x:c r="E491" t="str">
        <x:v>Pizza Ghar</x:v>
      </x:c>
      <x:c r="F491" t="str">
        <x:v>Coca-Cola 500ml</x:v>
      </x:c>
      <x:c r="G491" t="str">
        <x:v>Drink</x:v>
      </x:c>
      <x:c r="H491" t="n">
        <x:v>1</x:v>
      </x:c>
      <x:c r="I491" s="14" t="n">
        <x:v>90</x:v>
      </x:c>
      <x:c r="J491" s="14" t="n">
        <x:v>90</x:v>
      </x:c>
      <x:c r="K491" t="str">
        <x:v>DEMO / SIMULATED</x:v>
      </x:c>
    </x:row>
    <x:row r="492">
      <x:c r="A492" t="str">
        <x:v>JFD-20240529-0283</x:v>
      </x:c>
      <x:c r="B492" s="11" t="n">
        <x:v>45441.90416666667</x:v>
      </x:c>
      <x:c r="C492" s="13" t="n">
        <x:v>0.9041666666666667</x:v>
      </x:c>
      <x:c r="D492" t="str">
        <x:v>Damak</x:v>
      </x:c>
      <x:c r="E492" t="str">
        <x:v>Milan’s Bakery</x:v>
      </x:c>
      <x:c r="F492" t="str">
        <x:v>Chocolate Cake</x:v>
      </x:c>
      <x:c r="G492" t="str">
        <x:v>Food</x:v>
      </x:c>
      <x:c r="H492" t="n">
        <x:v>2</x:v>
      </x:c>
      <x:c r="I492" s="14" t="n">
        <x:v>310</x:v>
      </x:c>
      <x:c r="J492" s="14" t="n">
        <x:v>620</x:v>
      </x:c>
      <x:c r="K492" t="str">
        <x:v>DEMO / SIMULATED</x:v>
      </x:c>
    </x:row>
    <x:row r="493">
      <x:c r="A493" t="str">
        <x:v>JFD-20240529-0283</x:v>
      </x:c>
      <x:c r="B493" s="11" t="n">
        <x:v>45441.70138888889</x:v>
      </x:c>
      <x:c r="C493" s="13" t="n">
        <x:v>0.7013888888888888</x:v>
      </x:c>
      <x:c r="D493" t="str">
        <x:v>Damak</x:v>
      </x:c>
      <x:c r="E493" t="str">
        <x:v>Milan’s Bakery</x:v>
      </x:c>
      <x:c r="F493" t="str">
        <x:v>Coca-Cola 500ml</x:v>
      </x:c>
      <x:c r="G493" t="str">
        <x:v>Drink</x:v>
      </x:c>
      <x:c r="H493" t="n">
        <x:v>2</x:v>
      </x:c>
      <x:c r="I493" s="14" t="n">
        <x:v>90</x:v>
      </x:c>
      <x:c r="J493" s="14" t="n">
        <x:v>180</x:v>
      </x:c>
      <x:c r="K493" t="str">
        <x:v>DEMO / SIMULATED</x:v>
      </x:c>
    </x:row>
    <x:row r="494">
      <x:c r="A494" t="str">
        <x:v>JFD-20260910-0284</x:v>
      </x:c>
      <x:c r="B494" s="11" t="n">
        <x:v>46275.620833333334</x:v>
      </x:c>
      <x:c r="C494" s="13" t="n">
        <x:v>0.6208333333333333</x:v>
      </x:c>
      <x:c r="D494" t="str">
        <x:v>Birtamode</x:v>
      </x:c>
      <x:c r="E494" t="str">
        <x:v>Pizza Ghar</x:v>
      </x:c>
      <x:c r="F494" t="str">
        <x:v>Chicken BBQ Feast Pizza</x:v>
      </x:c>
      <x:c r="G494" t="str">
        <x:v>Food</x:v>
      </x:c>
      <x:c r="H494" t="n">
        <x:v>2</x:v>
      </x:c>
      <x:c r="I494" s="14" t="n">
        <x:v>580</x:v>
      </x:c>
      <x:c r="J494" s="14" t="n">
        <x:v>1160</x:v>
      </x:c>
      <x:c r="K494" t="str">
        <x:v>DEMO / SIMULATED</x:v>
      </x:c>
    </x:row>
    <x:row r="495">
      <x:c r="A495" t="str">
        <x:v>JFD-20260910-0284</x:v>
      </x:c>
      <x:c r="B495" s="11" t="n">
        <x:v>46275.76666666667</x:v>
      </x:c>
      <x:c r="C495" s="13" t="n">
        <x:v>0.7666666666666667</x:v>
      </x:c>
      <x:c r="D495" t="str">
        <x:v>Birtamode</x:v>
      </x:c>
      <x:c r="E495" t="str">
        <x:v>Pizza Ghar</x:v>
      </x:c>
      <x:c r="F495" t="str">
        <x:v>Coca-Cola 500ml</x:v>
      </x:c>
      <x:c r="G495" t="str">
        <x:v>Drink</x:v>
      </x:c>
      <x:c r="H495" t="n">
        <x:v>1</x:v>
      </x:c>
      <x:c r="I495" s="14" t="n">
        <x:v>100</x:v>
      </x:c>
      <x:c r="J495" s="14" t="n">
        <x:v>100</x:v>
      </x:c>
      <x:c r="K495" t="str">
        <x:v>DEMO / SIMULATED</x:v>
      </x:c>
    </x:row>
    <x:row r="496">
      <x:c r="A496" t="str">
        <x:v>JFD-20230517-0285</x:v>
      </x:c>
      <x:c r="B496" s="11" t="n">
        <x:v>45063.819444444445</x:v>
      </x:c>
      <x:c r="C496" s="13" t="n">
        <x:v>0.8194444444444444</x:v>
      </x:c>
      <x:c r="D496" t="str">
        <x:v>Birtamode</x:v>
      </x:c>
      <x:c r="E496" t="str">
        <x:v>The Underground Cafe &amp; Restaurant</x:v>
      </x:c>
      <x:c r="F496" t="str">
        <x:v>Bottled Water 1L</x:v>
      </x:c>
      <x:c r="G496" t="str">
        <x:v>Drink</x:v>
      </x:c>
      <x:c r="H496" t="n">
        <x:v>1</x:v>
      </x:c>
      <x:c r="I496" s="14" t="n">
        <x:v>35</x:v>
      </x:c>
      <x:c r="J496" s="14" t="n">
        <x:v>35</x:v>
      </x:c>
      <x:c r="K496" t="str">
        <x:v>DEMO / SIMULATED</x:v>
      </x:c>
    </x:row>
    <x:row r="497">
      <x:c r="A497" t="str">
        <x:v>JFD-20230517-0285</x:v>
      </x:c>
      <x:c r="B497" s="11" t="n">
        <x:v>45063.604166666664</x:v>
      </x:c>
      <x:c r="C497" s="13" t="n">
        <x:v>0.6041666666666666</x:v>
      </x:c>
      <x:c r="D497" t="str">
        <x:v>Birtamode</x:v>
      </x:c>
      <x:c r="E497" t="str">
        <x:v>The Underground Cafe &amp; Restaurant</x:v>
      </x:c>
      <x:c r="F497" t="str">
        <x:v>Aalu Jeera</x:v>
      </x:c>
      <x:c r="G497" t="str">
        <x:v>Food</x:v>
      </x:c>
      <x:c r="H497" t="n">
        <x:v>1</x:v>
      </x:c>
      <x:c r="I497" s="14" t="n">
        <x:v>125</x:v>
      </x:c>
      <x:c r="J497" s="14" t="n">
        <x:v>125</x:v>
      </x:c>
      <x:c r="K497" t="str">
        <x:v>DEMO / SIMULATED</x:v>
      </x:c>
    </x:row>
    <x:row r="498">
      <x:c r="A498" t="str">
        <x:v>JFD-20251110-0286</x:v>
      </x:c>
      <x:c r="B498" s="11" t="n">
        <x:v>45971.544444444444</x:v>
      </x:c>
      <x:c r="C498" s="13" t="n">
        <x:v>0.5444444444444444</x:v>
      </x:c>
      <x:c r="D498" t="str">
        <x:v>Birtamode</x:v>
      </x:c>
      <x:c r="E498" t="str">
        <x:v>The Underground Cafe &amp; Restaurant</x:v>
      </x:c>
      <x:c r="F498" t="str">
        <x:v>Aalu Jeera</x:v>
      </x:c>
      <x:c r="G498" t="str">
        <x:v>Food</x:v>
      </x:c>
      <x:c r="H498" t="n">
        <x:v>1</x:v>
      </x:c>
      <x:c r="I498" s="14" t="n">
        <x:v>145</x:v>
      </x:c>
      <x:c r="J498" s="14" t="n">
        <x:v>145</x:v>
      </x:c>
      <x:c r="K498" t="str">
        <x:v>DEMO / SIMULATED</x:v>
      </x:c>
    </x:row>
    <x:row r="499">
      <x:c r="A499" t="str">
        <x:v>JFD-20251110-0286</x:v>
      </x:c>
      <x:c r="B499" s="11" t="n">
        <x:v>45971.45486111111</x:v>
      </x:c>
      <x:c r="C499" s="13" t="n">
        <x:v>0.4548611111111111</x:v>
      </x:c>
      <x:c r="D499" t="str">
        <x:v>Birtamode</x:v>
      </x:c>
      <x:c r="E499" t="str">
        <x:v>The Underground Cafe &amp; Restaurant</x:v>
      </x:c>
      <x:c r="F499" t="str">
        <x:v>Coca-Cola 500ml</x:v>
      </x:c>
      <x:c r="G499" t="str">
        <x:v>Drink</x:v>
      </x:c>
      <x:c r="H499" t="n">
        <x:v>1</x:v>
      </x:c>
      <x:c r="I499" s="14" t="n">
        <x:v>95</x:v>
      </x:c>
      <x:c r="J499" s="14" t="n">
        <x:v>95</x:v>
      </x:c>
      <x:c r="K499" t="str">
        <x:v>DEMO / SIMULATED</x:v>
      </x:c>
    </x:row>
    <x:row r="500">
      <x:c r="A500" t="str">
        <x:v>JFD-20241126-0287</x:v>
      </x:c>
      <x:c r="B500" s="11" t="n">
        <x:v>45622.46319444444</x:v>
      </x:c>
      <x:c r="C500" s="13" t="n">
        <x:v>0.46319444444444446</x:v>
      </x:c>
      <x:c r="D500" t="str">
        <x:v>Birtamode</x:v>
      </x:c>
      <x:c r="E500" t="str">
        <x:v>Pizza Ghar</x:v>
      </x:c>
      <x:c r="F500" t="str">
        <x:v>Bottled Water 1L</x:v>
      </x:c>
      <x:c r="G500" t="str">
        <x:v>Drink</x:v>
      </x:c>
      <x:c r="H500" t="n">
        <x:v>2</x:v>
      </x:c>
      <x:c r="I500" s="14" t="n">
        <x:v>35</x:v>
      </x:c>
      <x:c r="J500" s="14" t="n">
        <x:v>70</x:v>
      </x:c>
      <x:c r="K500" t="str">
        <x:v>DEMO / SIMULATED</x:v>
      </x:c>
    </x:row>
    <x:row r="501">
      <x:c r="A501" t="str">
        <x:v>JFD-20230109-0288</x:v>
      </x:c>
      <x:c r="B501" s="11" t="n">
        <x:v>44935.55347222222</x:v>
      </x:c>
      <x:c r="C501" s="13" t="n">
        <x:v>0.5534722222222223</x:v>
      </x:c>
      <x:c r="D501" t="str">
        <x:v>Damak</x:v>
      </x:c>
      <x:c r="E501" t="str">
        <x:v>Milan’s Bakery</x:v>
      </x:c>
      <x:c r="F501" t="str">
        <x:v>Bottled Water 1L</x:v>
      </x:c>
      <x:c r="G501" t="str">
        <x:v>Drink</x:v>
      </x:c>
      <x:c r="H501" t="n">
        <x:v>1</x:v>
      </x:c>
      <x:c r="I501" s="14" t="n">
        <x:v>35</x:v>
      </x:c>
      <x:c r="J501" s="14" t="n">
        <x:v>35</x:v>
      </x:c>
      <x:c r="K501" t="str">
        <x:v>DEMO / SIMULATED</x:v>
      </x:c>
    </x:row>
    <x:row r="502">
      <x:c r="A502" t="str">
        <x:v>JFD-20240228-0289</x:v>
      </x:c>
      <x:c r="B502" s="11" t="n">
        <x:v>45350.61736111111</x:v>
      </x:c>
      <x:c r="C502" s="13" t="n">
        <x:v>0.6173611111111111</x:v>
      </x:c>
      <x:c r="D502" t="str">
        <x:v>Damak</x:v>
      </x:c>
      <x:c r="E502" t="str">
        <x:v>Late Night Cravings</x:v>
      </x:c>
      <x:c r="F502" t="str">
        <x:v>Bottled Water 1L</x:v>
      </x:c>
      <x:c r="G502" t="str">
        <x:v>Drink</x:v>
      </x:c>
      <x:c r="H502" t="n">
        <x:v>3</x:v>
      </x:c>
      <x:c r="I502" s="14" t="n">
        <x:v>35</x:v>
      </x:c>
      <x:c r="J502" s="14" t="n">
        <x:v>105</x:v>
      </x:c>
      <x:c r="K502" t="str">
        <x:v>DEMO / SIMULATED</x:v>
      </x:c>
    </x:row>
    <x:row r="503">
      <x:c r="A503" t="str">
        <x:v>JFD-20240228-0289</x:v>
      </x:c>
      <x:c r="B503" s="11" t="n">
        <x:v>45350.67361111111</x:v>
      </x:c>
      <x:c r="C503" s="13" t="n">
        <x:v>0.6736111111111112</x:v>
      </x:c>
      <x:c r="D503" t="str">
        <x:v>Damak</x:v>
      </x:c>
      <x:c r="E503" t="str">
        <x:v>Late Night Cravings</x:v>
      </x:c>
      <x:c r="F503" t="str">
        <x:v>Veg Fry Rice</x:v>
      </x:c>
      <x:c r="G503" t="str">
        <x:v>Food</x:v>
      </x:c>
      <x:c r="H503" t="n">
        <x:v>2</x:v>
      </x:c>
      <x:c r="I503" s="14" t="n">
        <x:v>140</x:v>
      </x:c>
      <x:c r="J503" s="14" t="n">
        <x:v>280</x:v>
      </x:c>
      <x:c r="K503" t="str">
        <x:v>DEMO / SIMULATED</x:v>
      </x:c>
    </x:row>
    <x:row r="504">
      <x:c r="A504" t="str">
        <x:v>JFD-20260522-0290</x:v>
      </x:c>
      <x:c r="B504" s="11" t="n">
        <x:v>46164.64027777778</x:v>
      </x:c>
      <x:c r="C504" s="13" t="n">
        <x:v>0.6402777777777777</x:v>
      </x:c>
      <x:c r="D504" t="str">
        <x:v>Birtamode</x:v>
      </x:c>
      <x:c r="E504" t="str">
        <x:v>Pizza Ghar</x:v>
      </x:c>
      <x:c r="F504" t="str">
        <x:v>Egg Fried Rice</x:v>
      </x:c>
      <x:c r="G504" t="str">
        <x:v>Food</x:v>
      </x:c>
      <x:c r="H504" t="n">
        <x:v>2</x:v>
      </x:c>
      <x:c r="I504" s="14" t="n">
        <x:v>270</x:v>
      </x:c>
      <x:c r="J504" s="14" t="n">
        <x:v>540</x:v>
      </x:c>
      <x:c r="K504" t="str">
        <x:v>DEMO / SIMULATED</x:v>
      </x:c>
    </x:row>
    <x:row r="505">
      <x:c r="A505" t="str">
        <x:v>JFD-20260522-0290</x:v>
      </x:c>
      <x:c r="B505" s="11" t="n">
        <x:v>46164.69375</x:v>
      </x:c>
      <x:c r="C505" s="13" t="n">
        <x:v>0.69375</x:v>
      </x:c>
      <x:c r="D505" t="str">
        <x:v>Birtamode</x:v>
      </x:c>
      <x:c r="E505" t="str">
        <x:v>Pizza Ghar</x:v>
      </x:c>
      <x:c r="F505" t="str">
        <x:v>Coca-Cola 500ml</x:v>
      </x:c>
      <x:c r="G505" t="str">
        <x:v>Drink</x:v>
      </x:c>
      <x:c r="H505" t="n">
        <x:v>1</x:v>
      </x:c>
      <x:c r="I505" s="14" t="n">
        <x:v>100</x:v>
      </x:c>
      <x:c r="J505" s="14" t="n">
        <x:v>100</x:v>
      </x:c>
      <x:c r="K505" t="str">
        <x:v>DEMO / SIMULATED</x:v>
      </x:c>
    </x:row>
    <x:row r="506">
      <x:c r="A506" t="str">
        <x:v>JFD-20260522-0290</x:v>
      </x:c>
      <x:c r="B506" s="11" t="n">
        <x:v>46164.42847222222</x:v>
      </x:c>
      <x:c r="C506" s="13" t="n">
        <x:v>0.4284722222222222</x:v>
      </x:c>
      <x:c r="D506" t="str">
        <x:v>Birtamode</x:v>
      </x:c>
      <x:c r="E506" t="str">
        <x:v>Pizza Ghar</x:v>
      </x:c>
      <x:c r="F506" t="str">
        <x:v>Veg Fried Rice</x:v>
      </x:c>
      <x:c r="G506" t="str">
        <x:v>Food</x:v>
      </x:c>
      <x:c r="H506" t="n">
        <x:v>4</x:v>
      </x:c>
      <x:c r="I506" s="14" t="n">
        <x:v>220</x:v>
      </x:c>
      <x:c r="J506" s="14" t="n">
        <x:v>880</x:v>
      </x:c>
      <x:c r="K506" t="str">
        <x:v>DEMO / SIMULATED</x:v>
      </x:c>
    </x:row>
    <x:row r="507">
      <x:c r="A507" t="str">
        <x:v>JFD-20230324-0291</x:v>
      </x:c>
      <x:c r="B507" s="11" t="n">
        <x:v>45009.529861111114</x:v>
      </x:c>
      <x:c r="C507" s="13" t="n">
        <x:v>0.5298611111111111</x:v>
      </x:c>
      <x:c r="D507" t="str">
        <x:v>Damak</x:v>
      </x:c>
      <x:c r="E507" t="str">
        <x:v>Late Night Cravings</x:v>
      </x:c>
      <x:c r="F507" t="str">
        <x:v>Veg Fry Rice</x:v>
      </x:c>
      <x:c r="G507" t="str">
        <x:v>Food</x:v>
      </x:c>
      <x:c r="H507" t="n">
        <x:v>3</x:v>
      </x:c>
      <x:c r="I507" s="14" t="n">
        <x:v>130</x:v>
      </x:c>
      <x:c r="J507" s="14" t="n">
        <x:v>390</x:v>
      </x:c>
      <x:c r="K507" t="str">
        <x:v>DEMO / SIMULATED</x:v>
      </x:c>
    </x:row>
    <x:row r="508">
      <x:c r="A508" t="str">
        <x:v>JFD-20230324-0291</x:v>
      </x:c>
      <x:c r="B508" s="11" t="n">
        <x:v>45009.73472222222</x:v>
      </x:c>
      <x:c r="C508" s="13" t="n">
        <x:v>0.7347222222222223</x:v>
      </x:c>
      <x:c r="D508" t="str">
        <x:v>Damak</x:v>
      </x:c>
      <x:c r="E508" t="str">
        <x:v>Late Night Cravings</x:v>
      </x:c>
      <x:c r="F508" t="str">
        <x:v>Egg Fry Rice</x:v>
      </x:c>
      <x:c r="G508" t="str">
        <x:v>Food</x:v>
      </x:c>
      <x:c r="H508" t="n">
        <x:v>3</x:v>
      </x:c>
      <x:c r="I508" s="14" t="n">
        <x:v>165</x:v>
      </x:c>
      <x:c r="J508" s="14" t="n">
        <x:v>495</x:v>
      </x:c>
      <x:c r="K508" t="str">
        <x:v>DEMO / SIMULATED</x:v>
      </x:c>
    </x:row>
    <x:row r="509">
      <x:c r="A509" t="str">
        <x:v>JFD-20230312-0292</x:v>
      </x:c>
      <x:c r="B509" s="11" t="n">
        <x:v>44997.71944444445</x:v>
      </x:c>
      <x:c r="C509" s="13" t="n">
        <x:v>0.7194444444444444</x:v>
      </x:c>
      <x:c r="D509" t="str">
        <x:v>Damak</x:v>
      </x:c>
      <x:c r="E509" t="str">
        <x:v>Late Night Cravings</x:v>
      </x:c>
      <x:c r="F509" t="str">
        <x:v>Mix Fry Rice</x:v>
      </x:c>
      <x:c r="G509" t="str">
        <x:v>Food</x:v>
      </x:c>
      <x:c r="H509" t="n">
        <x:v>4</x:v>
      </x:c>
      <x:c r="I509" s="14" t="n">
        <x:v>230</x:v>
      </x:c>
      <x:c r="J509" s="14" t="n">
        <x:v>920</x:v>
      </x:c>
      <x:c r="K509" t="str">
        <x:v>DEMO / SIMULATED</x:v>
      </x:c>
    </x:row>
    <x:row r="510">
      <x:c r="A510" t="str">
        <x:v>JFD-20230408-0293</x:v>
      </x:c>
      <x:c r="B510" s="11" t="n">
        <x:v>45024.620833333334</x:v>
      </x:c>
      <x:c r="C510" s="13" t="n">
        <x:v>0.6208333333333333</x:v>
      </x:c>
      <x:c r="D510" t="str">
        <x:v>Damak</x:v>
      </x:c>
      <x:c r="E510" t="str">
        <x:v>Late Night Cravings</x:v>
      </x:c>
      <x:c r="F510" t="str">
        <x:v>Mix Fry Rice</x:v>
      </x:c>
      <x:c r="G510" t="str">
        <x:v>Food</x:v>
      </x:c>
      <x:c r="H510" t="n">
        <x:v>4</x:v>
      </x:c>
      <x:c r="I510" s="14" t="n">
        <x:v>230</x:v>
      </x:c>
      <x:c r="J510" s="14" t="n">
        <x:v>920</x:v>
      </x:c>
      <x:c r="K510" t="str">
        <x:v>DEMO / SIMULATED</x:v>
      </x:c>
    </x:row>
    <x:row r="511">
      <x:c r="A511" t="str">
        <x:v>JFD-20230408-0293</x:v>
      </x:c>
      <x:c r="B511" s="11" t="n">
        <x:v>45024.51180555556</x:v>
      </x:c>
      <x:c r="C511" s="13" t="n">
        <x:v>0.5118055555555555</x:v>
      </x:c>
      <x:c r="D511" t="str">
        <x:v>Damak</x:v>
      </x:c>
      <x:c r="E511" t="str">
        <x:v>Late Night Cravings</x:v>
      </x:c>
      <x:c r="F511" t="str">
        <x:v>Egg Fry Rice</x:v>
      </x:c>
      <x:c r="G511" t="str">
        <x:v>Food</x:v>
      </x:c>
      <x:c r="H511" t="n">
        <x:v>4</x:v>
      </x:c>
      <x:c r="I511" s="14" t="n">
        <x:v>165</x:v>
      </x:c>
      <x:c r="J511" s="14" t="n">
        <x:v>660</x:v>
      </x:c>
      <x:c r="K511" t="str">
        <x:v>DEMO / SIMULATED</x:v>
      </x:c>
    </x:row>
    <x:row r="512">
      <x:c r="A512" t="str">
        <x:v>JFD-20250621-0294</x:v>
      </x:c>
      <x:c r="B512" s="11" t="n">
        <x:v>45829.48819444444</x:v>
      </x:c>
      <x:c r="C512" s="13" t="n">
        <x:v>0.48819444444444443</x:v>
      </x:c>
      <x:c r="D512" t="str">
        <x:v>Damak</x:v>
      </x:c>
      <x:c r="E512" t="str">
        <x:v>Late Night Cravings</x:v>
      </x:c>
      <x:c r="F512" t="str">
        <x:v>Coca-Cola 500ml</x:v>
      </x:c>
      <x:c r="G512" t="str">
        <x:v>Drink</x:v>
      </x:c>
      <x:c r="H512" t="n">
        <x:v>3</x:v>
      </x:c>
      <x:c r="I512" s="14" t="n">
        <x:v>95</x:v>
      </x:c>
      <x:c r="J512" s="14" t="n">
        <x:v>285</x:v>
      </x:c>
      <x:c r="K512" t="str">
        <x:v>DEMO / SIMULATED</x:v>
      </x:c>
    </x:row>
    <x:row r="513">
      <x:c r="A513" t="str">
        <x:v>JFD-20250621-0294</x:v>
      </x:c>
      <x:c r="B513" s="11" t="n">
        <x:v>45829.82986111111</x:v>
      </x:c>
      <x:c r="C513" s="13" t="n">
        <x:v>0.8298611111111112</x:v>
      </x:c>
      <x:c r="D513" t="str">
        <x:v>Damak</x:v>
      </x:c>
      <x:c r="E513" t="str">
        <x:v>Late Night Cravings</x:v>
      </x:c>
      <x:c r="F513" t="str">
        <x:v>Bottled Water 1L</x:v>
      </x:c>
      <x:c r="G513" t="str">
        <x:v>Drink</x:v>
      </x:c>
      <x:c r="H513" t="n">
        <x:v>4</x:v>
      </x:c>
      <x:c r="I513" s="14" t="n">
        <x:v>40</x:v>
      </x:c>
      <x:c r="J513" s="14" t="n">
        <x:v>160</x:v>
      </x:c>
      <x:c r="K513" t="str">
        <x:v>DEMO / SIMULATED</x:v>
      </x:c>
    </x:row>
    <x:row r="514">
      <x:c r="A514" t="str">
        <x:v>JFD-20250621-0294</x:v>
      </x:c>
      <x:c r="B514" s="11" t="n">
        <x:v>45829.850694444445</x:v>
      </x:c>
      <x:c r="C514" s="13" t="n">
        <x:v>0.8506944444444444</x:v>
      </x:c>
      <x:c r="D514" t="str">
        <x:v>Damak</x:v>
      </x:c>
      <x:c r="E514" t="str">
        <x:v>Late Night Cravings</x:v>
      </x:c>
      <x:c r="F514" t="str">
        <x:v>Egg Fry Rice</x:v>
      </x:c>
      <x:c r="G514" t="str">
        <x:v>Food</x:v>
      </x:c>
      <x:c r="H514" t="n">
        <x:v>1</x:v>
      </x:c>
      <x:c r="I514" s="14" t="n">
        <x:v>190</x:v>
      </x:c>
      <x:c r="J514" s="14" t="n">
        <x:v>190</x:v>
      </x:c>
      <x:c r="K514" t="str">
        <x:v>DEMO / SIMULATED</x:v>
      </x:c>
    </x:row>
    <x:row r="515">
      <x:c r="A515" t="str">
        <x:v>JFD-20251014-0295</x:v>
      </x:c>
      <x:c r="B515" s="11" t="n">
        <x:v>45944.856944444444</x:v>
      </x:c>
      <x:c r="C515" s="13" t="n">
        <x:v>0.8569444444444444</x:v>
      </x:c>
      <x:c r="D515" t="str">
        <x:v>Birtamode</x:v>
      </x:c>
      <x:c r="E515" t="str">
        <x:v>The Underground Cafe &amp; Restaurant</x:v>
      </x:c>
      <x:c r="F515" t="str">
        <x:v>Paneer Pakauda</x:v>
      </x:c>
      <x:c r="G515" t="str">
        <x:v>Food</x:v>
      </x:c>
      <x:c r="H515" t="n">
        <x:v>3</x:v>
      </x:c>
      <x:c r="I515" s="14" t="n">
        <x:v>210</x:v>
      </x:c>
      <x:c r="J515" s="14" t="n">
        <x:v>630</x:v>
      </x:c>
      <x:c r="K515" t="str">
        <x:v>DEMO / SIMULATED</x:v>
      </x:c>
    </x:row>
    <x:row r="516">
      <x:c r="A516" t="str">
        <x:v>JFD-20260309-0296</x:v>
      </x:c>
      <x:c r="B516" s="11" t="n">
        <x:v>46090.61597222222</x:v>
      </x:c>
      <x:c r="C516" s="13" t="n">
        <x:v>0.6159722222222223</x:v>
      </x:c>
      <x:c r="D516" t="str">
        <x:v>Birtamode</x:v>
      </x:c>
      <x:c r="E516" t="str">
        <x:v>Pizza Ghar</x:v>
      </x:c>
      <x:c r="F516" t="str">
        <x:v>Bottled Water 1L</x:v>
      </x:c>
      <x:c r="G516" t="str">
        <x:v>Drink</x:v>
      </x:c>
      <x:c r="H516" t="n">
        <x:v>4</x:v>
      </x:c>
      <x:c r="I516" s="14" t="n">
        <x:v>40</x:v>
      </x:c>
      <x:c r="J516" s="14" t="n">
        <x:v>160</x:v>
      </x:c>
      <x:c r="K516" t="str">
        <x:v>DEMO / SIMULATED</x:v>
      </x:c>
    </x:row>
    <x:row r="517">
      <x:c r="A517" t="str">
        <x:v>JFD-20250316-0297</x:v>
      </x:c>
      <x:c r="B517" s="11" t="n">
        <x:v>45732.54027777778</x:v>
      </x:c>
      <x:c r="C517" s="13" t="n">
        <x:v>0.5402777777777777</x:v>
      </x:c>
      <x:c r="D517" t="str">
        <x:v>Birtamode</x:v>
      </x:c>
      <x:c r="E517" t="str">
        <x:v>The Underground Cafe &amp; Restaurant</x:v>
      </x:c>
      <x:c r="F517" t="str">
        <x:v>Paneer Pakauda</x:v>
      </x:c>
      <x:c r="G517" t="str">
        <x:v>Food</x:v>
      </x:c>
      <x:c r="H517" t="n">
        <x:v>1</x:v>
      </x:c>
      <x:c r="I517" s="14" t="n">
        <x:v>210</x:v>
      </x:c>
      <x:c r="J517" s="14" t="n">
        <x:v>210</x:v>
      </x:c>
      <x:c r="K517" t="str">
        <x:v>DEMO / SIMULATED</x:v>
      </x:c>
    </x:row>
    <x:row r="518">
      <x:c r="A518" t="str">
        <x:v>JFD-20240228-0298</x:v>
      </x:c>
      <x:c r="B518" s="11" t="n">
        <x:v>45350.73055555556</x:v>
      </x:c>
      <x:c r="C518" s="13" t="n">
        <x:v>0.7305555555555555</x:v>
      </x:c>
      <x:c r="D518" t="str">
        <x:v>Birtamode</x:v>
      </x:c>
      <x:c r="E518" t="str">
        <x:v>Pizza Ghar</x:v>
      </x:c>
      <x:c r="F518" t="str">
        <x:v>Veg Fried Rice</x:v>
      </x:c>
      <x:c r="G518" t="str">
        <x:v>Food</x:v>
      </x:c>
      <x:c r="H518" t="n">
        <x:v>3</x:v>
      </x:c>
      <x:c r="I518" s="14" t="n">
        <x:v>195</x:v>
      </x:c>
      <x:c r="J518" s="14" t="n">
        <x:v>585</x:v>
      </x:c>
      <x:c r="K518" t="str">
        <x:v>DEMO / SIMULATED</x:v>
      </x:c>
    </x:row>
    <x:row r="519">
      <x:c r="A519" t="str">
        <x:v>JFD-20240228-0298</x:v>
      </x:c>
      <x:c r="B519" s="11" t="n">
        <x:v>45350.71111111111</x:v>
      </x:c>
      <x:c r="C519" s="13" t="n">
        <x:v>0.7111111111111111</x:v>
      </x:c>
      <x:c r="D519" t="str">
        <x:v>Birtamode</x:v>
      </x:c>
      <x:c r="E519" t="str">
        <x:v>Pizza Ghar</x:v>
      </x:c>
      <x:c r="F519" t="str">
        <x:v>Bottled Water 1L</x:v>
      </x:c>
      <x:c r="G519" t="str">
        <x:v>Drink</x:v>
      </x:c>
      <x:c r="H519" t="n">
        <x:v>2</x:v>
      </x:c>
      <x:c r="I519" s="14" t="n">
        <x:v>35</x:v>
      </x:c>
      <x:c r="J519" s="14" t="n">
        <x:v>70</x:v>
      </x:c>
      <x:c r="K519" t="str">
        <x:v>DEMO / SIMULATED</x:v>
      </x:c>
    </x:row>
    <x:row r="520">
      <x:c r="A520" t="str">
        <x:v>JFD-20240228-0298</x:v>
      </x:c>
      <x:c r="B520" s="11" t="n">
        <x:v>45350.78611111111</x:v>
      </x:c>
      <x:c r="C520" s="13" t="n">
        <x:v>0.7861111111111111</x:v>
      </x:c>
      <x:c r="D520" t="str">
        <x:v>Birtamode</x:v>
      </x:c>
      <x:c r="E520" t="str">
        <x:v>Pizza Ghar</x:v>
      </x:c>
      <x:c r="F520" t="str">
        <x:v>Egg Fried Rice</x:v>
      </x:c>
      <x:c r="G520" t="str">
        <x:v>Food</x:v>
      </x:c>
      <x:c r="H520" t="n">
        <x:v>1</x:v>
      </x:c>
      <x:c r="I520" s="14" t="n">
        <x:v>240</x:v>
      </x:c>
      <x:c r="J520" s="14" t="n">
        <x:v>240</x:v>
      </x:c>
      <x:c r="K520" t="str">
        <x:v>DEMO / SIMULATED</x:v>
      </x:c>
    </x:row>
    <x:row r="521">
      <x:c r="A521" t="str">
        <x:v>JFD-20260901-0299</x:v>
      </x:c>
      <x:c r="B521" s="11" t="n">
        <x:v>46266.66875</x:v>
      </x:c>
      <x:c r="C521" s="13" t="n">
        <x:v>0.66875</x:v>
      </x:c>
      <x:c r="D521" t="str">
        <x:v>Birtamode</x:v>
      </x:c>
      <x:c r="E521" t="str">
        <x:v>The Underground Cafe &amp; Restaurant</x:v>
      </x:c>
      <x:c r="F521" t="str">
        <x:v>Bottled Water 1L</x:v>
      </x:c>
      <x:c r="G521" t="str">
        <x:v>Drink</x:v>
      </x:c>
      <x:c r="H521" t="n">
        <x:v>2</x:v>
      </x:c>
      <x:c r="I521" s="14" t="n">
        <x:v>40</x:v>
      </x:c>
      <x:c r="J521" s="14" t="n">
        <x:v>80</x:v>
      </x:c>
      <x:c r="K521" t="str">
        <x:v>DEMO / SIMULATED</x:v>
      </x:c>
    </x:row>
    <x:row r="522">
      <x:c r="A522" t="str">
        <x:v>JFD-20230523-0300</x:v>
      </x:c>
      <x:c r="B522" s="11" t="n">
        <x:v>45069.888194444444</x:v>
      </x:c>
      <x:c r="C522" s="13" t="n">
        <x:v>0.8881944444444444</x:v>
      </x:c>
      <x:c r="D522" t="str">
        <x:v>Birtamode</x:v>
      </x:c>
      <x:c r="E522" t="str">
        <x:v>Pizza Ghar</x:v>
      </x:c>
      <x:c r="F522" t="str">
        <x:v>Bottled Water 1L</x:v>
      </x:c>
      <x:c r="G522" t="str">
        <x:v>Drink</x:v>
      </x:c>
      <x:c r="H522" t="n">
        <x:v>1</x:v>
      </x:c>
      <x:c r="I522" s="14" t="n">
        <x:v>35</x:v>
      </x:c>
      <x:c r="J522" s="14" t="n">
        <x:v>35</x:v>
      </x:c>
      <x:c r="K522" t="str">
        <x:v>DEMO / SIMULATED</x:v>
      </x:c>
    </x:row>
    <x:row r="523">
      <x:c r="A523" t="str">
        <x:v>JFD-20230523-0300</x:v>
      </x:c>
      <x:c r="B523" s="11" t="n">
        <x:v>45069.751388888886</x:v>
      </x:c>
      <x:c r="C523" s="13" t="n">
        <x:v>0.7513888888888889</x:v>
      </x:c>
      <x:c r="D523" t="str">
        <x:v>Birtamode</x:v>
      </x:c>
      <x:c r="E523" t="str">
        <x:v>Pizza Ghar</x:v>
      </x:c>
      <x:c r="F523" t="str">
        <x:v>Chicken Fried Rice</x:v>
      </x:c>
      <x:c r="G523" t="str">
        <x:v>Food</x:v>
      </x:c>
      <x:c r="H523" t="n">
        <x:v>3</x:v>
      </x:c>
      <x:c r="I523" s="14" t="n">
        <x:v>245</x:v>
      </x:c>
      <x:c r="J523" s="14" t="n">
        <x:v>735</x:v>
      </x:c>
      <x:c r="K523" t="str">
        <x:v>DEMO / SIMULATED</x:v>
      </x:c>
    </x:row>
    <x:row r="524">
      <x:c r="A524" t="str">
        <x:v>JFD-20230427-0301</x:v>
      </x:c>
      <x:c r="B524" s="11" t="n">
        <x:v>45043.665972222225</x:v>
      </x:c>
      <x:c r="C524" s="13" t="n">
        <x:v>0.6659722222222222</x:v>
      </x:c>
      <x:c r="D524" t="str">
        <x:v>Damak</x:v>
      </x:c>
      <x:c r="E524" t="str">
        <x:v>Late Night Cravings</x:v>
      </x:c>
      <x:c r="F524" t="str">
        <x:v>Egg Fry Rice</x:v>
      </x:c>
      <x:c r="G524" t="str">
        <x:v>Food</x:v>
      </x:c>
      <x:c r="H524" t="n">
        <x:v>4</x:v>
      </x:c>
      <x:c r="I524" s="14" t="n">
        <x:v>165</x:v>
      </x:c>
      <x:c r="J524" s="14" t="n">
        <x:v>660</x:v>
      </x:c>
      <x:c r="K524" t="str">
        <x:v>DEMO / SIMULATED</x:v>
      </x:c>
    </x:row>
    <x:row r="525">
      <x:c r="A525" t="str">
        <x:v>JFD-20230316-0302</x:v>
      </x:c>
      <x:c r="B525" s="11" t="n">
        <x:v>45001.73472222222</x:v>
      </x:c>
      <x:c r="C525" s="13" t="n">
        <x:v>0.7347222222222223</x:v>
      </x:c>
      <x:c r="D525" t="str">
        <x:v>Birtamode</x:v>
      </x:c>
      <x:c r="E525" t="str">
        <x:v>Pizza Ghar</x:v>
      </x:c>
      <x:c r="F525" t="str">
        <x:v>Veg Fried Rice</x:v>
      </x:c>
      <x:c r="G525" t="str">
        <x:v>Food</x:v>
      </x:c>
      <x:c r="H525" t="n">
        <x:v>1</x:v>
      </x:c>
      <x:c r="I525" s="14" t="n">
        <x:v>180</x:v>
      </x:c>
      <x:c r="J525" s="14" t="n">
        <x:v>180</x:v>
      </x:c>
      <x:c r="K525" t="str">
        <x:v>DEMO / SIMULATED</x:v>
      </x:c>
    </x:row>
    <x:row r="526">
      <x:c r="A526" t="str">
        <x:v>JFD-20230316-0302</x:v>
      </x:c>
      <x:c r="B526" s="11" t="n">
        <x:v>45001.58819444444</x:v>
      </x:c>
      <x:c r="C526" s="13" t="n">
        <x:v>0.5881944444444445</x:v>
      </x:c>
      <x:c r="D526" t="str">
        <x:v>Birtamode</x:v>
      </x:c>
      <x:c r="E526" t="str">
        <x:v>Pizza Ghar</x:v>
      </x:c>
      <x:c r="F526" t="str">
        <x:v>Chicken Fried Rice</x:v>
      </x:c>
      <x:c r="G526" t="str">
        <x:v>Food</x:v>
      </x:c>
      <x:c r="H526" t="n">
        <x:v>3</x:v>
      </x:c>
      <x:c r="I526" s="14" t="n">
        <x:v>245</x:v>
      </x:c>
      <x:c r="J526" s="14" t="n">
        <x:v>735</x:v>
      </x:c>
      <x:c r="K526" t="str">
        <x:v>DEMO / SIMULATED</x:v>
      </x:c>
    </x:row>
    <x:row r="527">
      <x:c r="A527" t="str">
        <x:v>JFD-20250612-0303</x:v>
      </x:c>
      <x:c r="B527" s="11" t="n">
        <x:v>45820.725</x:v>
      </x:c>
      <x:c r="C527" s="13" t="n">
        <x:v>0.725</x:v>
      </x:c>
      <x:c r="D527" t="str">
        <x:v>Damak</x:v>
      </x:c>
      <x:c r="E527" t="str">
        <x:v>Milan’s Bakery</x:v>
      </x:c>
      <x:c r="F527" t="str">
        <x:v>Chocolate Cake</x:v>
      </x:c>
      <x:c r="G527" t="str">
        <x:v>Food</x:v>
      </x:c>
      <x:c r="H527" t="n">
        <x:v>1</x:v>
      </x:c>
      <x:c r="I527" s="14" t="n">
        <x:v>330</x:v>
      </x:c>
      <x:c r="J527" s="14" t="n">
        <x:v>330</x:v>
      </x:c>
      <x:c r="K527" t="str">
        <x:v>DEMO / SIMULATED</x:v>
      </x:c>
    </x:row>
    <x:row r="528">
      <x:c r="A528" t="str">
        <x:v>JFD-20250612-0303</x:v>
      </x:c>
      <x:c r="B528" s="11" t="n">
        <x:v>45820.68194444444</x:v>
      </x:c>
      <x:c r="C528" s="13" t="n">
        <x:v>0.6819444444444445</x:v>
      </x:c>
      <x:c r="D528" t="str">
        <x:v>Damak</x:v>
      </x:c>
      <x:c r="E528" t="str">
        <x:v>Milan’s Bakery</x:v>
      </x:c>
      <x:c r="F528" t="str">
        <x:v>Coca-Cola 500ml</x:v>
      </x:c>
      <x:c r="G528" t="str">
        <x:v>Drink</x:v>
      </x:c>
      <x:c r="H528" t="n">
        <x:v>1</x:v>
      </x:c>
      <x:c r="I528" s="14" t="n">
        <x:v>95</x:v>
      </x:c>
      <x:c r="J528" s="14" t="n">
        <x:v>95</x:v>
      </x:c>
      <x:c r="K528" t="str">
        <x:v>DEMO / SIMULATED</x:v>
      </x:c>
    </x:row>
    <x:row r="529">
      <x:c r="A529" t="str">
        <x:v>JFD-20250612-0303</x:v>
      </x:c>
      <x:c r="B529" s="11" t="n">
        <x:v>45820.467361111114</x:v>
      </x:c>
      <x:c r="C529" s="13" t="n">
        <x:v>0.4673611111111111</x:v>
      </x:c>
      <x:c r="D529" t="str">
        <x:v>Damak</x:v>
      </x:c>
      <x:c r="E529" t="str">
        <x:v>Milan’s Bakery</x:v>
      </x:c>
      <x:c r="F529" t="str">
        <x:v>Red Velvet Cake</x:v>
      </x:c>
      <x:c r="G529" t="str">
        <x:v>Food</x:v>
      </x:c>
      <x:c r="H529" t="n">
        <x:v>1</x:v>
      </x:c>
      <x:c r="I529" s="14" t="n">
        <x:v>845</x:v>
      </x:c>
      <x:c r="J529" s="14" t="n">
        <x:v>845</x:v>
      </x:c>
      <x:c r="K529" t="str">
        <x:v>DEMO / SIMULATED</x:v>
      </x:c>
    </x:row>
    <x:row r="530">
      <x:c r="A530" t="str">
        <x:v>JFD-20260215-0304</x:v>
      </x:c>
      <x:c r="B530" s="11" t="n">
        <x:v>46068.53333333333</x:v>
      </x:c>
      <x:c r="C530" s="13" t="n">
        <x:v>0.5333333333333333</x:v>
      </x:c>
      <x:c r="D530" t="str">
        <x:v>Damak</x:v>
      </x:c>
      <x:c r="E530" t="str">
        <x:v>Milan’s Bakery</x:v>
      </x:c>
      <x:c r="F530" t="str">
        <x:v>Coca-Cola 500ml</x:v>
      </x:c>
      <x:c r="G530" t="str">
        <x:v>Drink</x:v>
      </x:c>
      <x:c r="H530" t="n">
        <x:v>1</x:v>
      </x:c>
      <x:c r="I530" s="14" t="n">
        <x:v>100</x:v>
      </x:c>
      <x:c r="J530" s="14" t="n">
        <x:v>100</x:v>
      </x:c>
      <x:c r="K530" t="str">
        <x:v>DEMO / SIMULATED</x:v>
      </x:c>
    </x:row>
    <x:row r="531">
      <x:c r="A531" t="str">
        <x:v>JFD-20230103-0305</x:v>
      </x:c>
      <x:c r="B531" s="11" t="n">
        <x:v>44929.45208333333</x:v>
      </x:c>
      <x:c r="C531" s="13" t="n">
        <x:v>0.45208333333333334</x:v>
      </x:c>
      <x:c r="D531" t="str">
        <x:v>Damak</x:v>
      </x:c>
      <x:c r="E531" t="str">
        <x:v>Late Night Cravings</x:v>
      </x:c>
      <x:c r="F531" t="str">
        <x:v>Mix Fry Rice</x:v>
      </x:c>
      <x:c r="G531" t="str">
        <x:v>Food</x:v>
      </x:c>
      <x:c r="H531" t="n">
        <x:v>2</x:v>
      </x:c>
      <x:c r="I531" s="14" t="n">
        <x:v>230</x:v>
      </x:c>
      <x:c r="J531" s="14" t="n">
        <x:v>460</x:v>
      </x:c>
      <x:c r="K531" t="str">
        <x:v>DEMO / SIMULATED</x:v>
      </x:c>
    </x:row>
    <x:row r="532">
      <x:c r="A532" t="str">
        <x:v>JFD-20240712-0306</x:v>
      </x:c>
      <x:c r="B532" s="11" t="n">
        <x:v>45485.58125</x:v>
      </x:c>
      <x:c r="C532" s="13" t="n">
        <x:v>0.58125</x:v>
      </x:c>
      <x:c r="D532" t="str">
        <x:v>Birtamode</x:v>
      </x:c>
      <x:c r="E532" t="str">
        <x:v>Pizza Ghar</x:v>
      </x:c>
      <x:c r="F532" t="str">
        <x:v>Bottled Water 1L</x:v>
      </x:c>
      <x:c r="G532" t="str">
        <x:v>Drink</x:v>
      </x:c>
      <x:c r="H532" t="n">
        <x:v>3</x:v>
      </x:c>
      <x:c r="I532" s="14" t="n">
        <x:v>35</x:v>
      </x:c>
      <x:c r="J532" s="14" t="n">
        <x:v>105</x:v>
      </x:c>
      <x:c r="K532" t="str">
        <x:v>DEMO / SIMULATED</x:v>
      </x:c>
    </x:row>
    <x:row r="533">
      <x:c r="A533" t="str">
        <x:v>JFD-20240712-0306</x:v>
      </x:c>
      <x:c r="B533" s="11" t="n">
        <x:v>45485.5125</x:v>
      </x:c>
      <x:c r="C533" s="13" t="n">
        <x:v>0.5125</x:v>
      </x:c>
      <x:c r="D533" t="str">
        <x:v>Birtamode</x:v>
      </x:c>
      <x:c r="E533" t="str">
        <x:v>Pizza Ghar</x:v>
      </x:c>
      <x:c r="F533" t="str">
        <x:v>Chicken Fried Rice</x:v>
      </x:c>
      <x:c r="G533" t="str">
        <x:v>Food</x:v>
      </x:c>
      <x:c r="H533" t="n">
        <x:v>4</x:v>
      </x:c>
      <x:c r="I533" s="14" t="n">
        <x:v>265</x:v>
      </x:c>
      <x:c r="J533" s="14" t="n">
        <x:v>1060</x:v>
      </x:c>
      <x:c r="K533" t="str">
        <x:v>DEMO / SIMULATED</x:v>
      </x:c>
    </x:row>
    <x:row r="534">
      <x:c r="A534" t="str">
        <x:v>JFD-20250416-0307</x:v>
      </x:c>
      <x:c r="B534" s="11" t="n">
        <x:v>45763.83125</x:v>
      </x:c>
      <x:c r="C534" s="13" t="n">
        <x:v>0.83125</x:v>
      </x:c>
      <x:c r="D534" t="str">
        <x:v>Damak</x:v>
      </x:c>
      <x:c r="E534" t="str">
        <x:v>Milan’s Bakery</x:v>
      </x:c>
      <x:c r="F534" t="str">
        <x:v>Coca-Cola 500ml</x:v>
      </x:c>
      <x:c r="G534" t="str">
        <x:v>Drink</x:v>
      </x:c>
      <x:c r="H534" t="n">
        <x:v>3</x:v>
      </x:c>
      <x:c r="I534" s="14" t="n">
        <x:v>95</x:v>
      </x:c>
      <x:c r="J534" s="14" t="n">
        <x:v>285</x:v>
      </x:c>
      <x:c r="K534" t="str">
        <x:v>DEMO / SIMULATED</x:v>
      </x:c>
    </x:row>
    <x:row r="535">
      <x:c r="A535" t="str">
        <x:v>JFD-20250416-0307</x:v>
      </x:c>
      <x:c r="B535" s="11" t="n">
        <x:v>45763.69861111111</x:v>
      </x:c>
      <x:c r="C535" s="13" t="n">
        <x:v>0.6986111111111111</x:v>
      </x:c>
      <x:c r="D535" t="str">
        <x:v>Damak</x:v>
      </x:c>
      <x:c r="E535" t="str">
        <x:v>Milan’s Bakery</x:v>
      </x:c>
      <x:c r="F535" t="str">
        <x:v>Chocolate Cake</x:v>
      </x:c>
      <x:c r="G535" t="str">
        <x:v>Food</x:v>
      </x:c>
      <x:c r="H535" t="n">
        <x:v>2</x:v>
      </x:c>
      <x:c r="I535" s="14" t="n">
        <x:v>330</x:v>
      </x:c>
      <x:c r="J535" s="14" t="n">
        <x:v>660</x:v>
      </x:c>
      <x:c r="K535" t="str">
        <x:v>DEMO / SIMULATED</x:v>
      </x:c>
    </x:row>
    <x:row r="536">
      <x:c r="A536" t="str">
        <x:v>JFD-20230722-0308</x:v>
      </x:c>
      <x:c r="B536" s="11" t="n">
        <x:v>45129.427777777775</x:v>
      </x:c>
      <x:c r="C536" s="13" t="n">
        <x:v>0.42777777777777776</x:v>
      </x:c>
      <x:c r="D536" t="str">
        <x:v>Birtamode</x:v>
      </x:c>
      <x:c r="E536" t="str">
        <x:v>Pizza Ghar</x:v>
      </x:c>
      <x:c r="F536" t="str">
        <x:v>Egg Fried Rice</x:v>
      </x:c>
      <x:c r="G536" t="str">
        <x:v>Food</x:v>
      </x:c>
      <x:c r="H536" t="n">
        <x:v>1</x:v>
      </x:c>
      <x:c r="I536" s="14" t="n">
        <x:v>220</x:v>
      </x:c>
      <x:c r="J536" s="14" t="n">
        <x:v>220</x:v>
      </x:c>
      <x:c r="K536" t="str">
        <x:v>DEMO / SIMULATED</x:v>
      </x:c>
    </x:row>
    <x:row r="537">
      <x:c r="A537" t="str">
        <x:v>JFD-20240819-0309</x:v>
      </x:c>
      <x:c r="B537" s="11" t="n">
        <x:v>45523.57638888889</x:v>
      </x:c>
      <x:c r="C537" s="13" t="n">
        <x:v>0.5763888888888888</x:v>
      </x:c>
      <x:c r="D537" t="str">
        <x:v>Damak</x:v>
      </x:c>
      <x:c r="E537" t="str">
        <x:v>Milan’s Bakery</x:v>
      </x:c>
      <x:c r="F537" t="str">
        <x:v>Black Forest Cake</x:v>
      </x:c>
      <x:c r="G537" t="str">
        <x:v>Food</x:v>
      </x:c>
      <x:c r="H537" t="n">
        <x:v>4</x:v>
      </x:c>
      <x:c r="I537" s="14" t="n">
        <x:v>265</x:v>
      </x:c>
      <x:c r="J537" s="14" t="n">
        <x:v>1060</x:v>
      </x:c>
      <x:c r="K537" t="str">
        <x:v>DEMO / SIMULATED</x:v>
      </x:c>
    </x:row>
    <x:row r="538">
      <x:c r="A538" t="str">
        <x:v>JFD-20230604-0310</x:v>
      </x:c>
      <x:c r="B538" s="11" t="n">
        <x:v>45081.510416666664</x:v>
      </x:c>
      <x:c r="C538" s="13" t="n">
        <x:v>0.5104166666666666</x:v>
      </x:c>
      <x:c r="D538" t="str">
        <x:v>Damak</x:v>
      </x:c>
      <x:c r="E538" t="str">
        <x:v>Late Night Cravings</x:v>
      </x:c>
      <x:c r="F538" t="str">
        <x:v>Egg Fry Rice</x:v>
      </x:c>
      <x:c r="G538" t="str">
        <x:v>Food</x:v>
      </x:c>
      <x:c r="H538" t="n">
        <x:v>4</x:v>
      </x:c>
      <x:c r="I538" s="14" t="n">
        <x:v>165</x:v>
      </x:c>
      <x:c r="J538" s="14" t="n">
        <x:v>660</x:v>
      </x:c>
      <x:c r="K538" t="str">
        <x:v>DEMO / SIMULATED</x:v>
      </x:c>
    </x:row>
    <x:row r="539">
      <x:c r="A539" t="str">
        <x:v>JFD-20230604-0310</x:v>
      </x:c>
      <x:c r="B539" s="11" t="n">
        <x:v>45081.67638888889</x:v>
      </x:c>
      <x:c r="C539" s="13" t="n">
        <x:v>0.6763888888888889</x:v>
      </x:c>
      <x:c r="D539" t="str">
        <x:v>Damak</x:v>
      </x:c>
      <x:c r="E539" t="str">
        <x:v>Late Night Cravings</x:v>
      </x:c>
      <x:c r="F539" t="str">
        <x:v>Bottled Water 1L</x:v>
      </x:c>
      <x:c r="G539" t="str">
        <x:v>Drink</x:v>
      </x:c>
      <x:c r="H539" t="n">
        <x:v>4</x:v>
      </x:c>
      <x:c r="I539" s="14" t="n">
        <x:v>35</x:v>
      </x:c>
      <x:c r="J539" s="14" t="n">
        <x:v>140</x:v>
      </x:c>
      <x:c r="K539" t="str">
        <x:v>DEMO / SIMULATED</x:v>
      </x:c>
    </x:row>
    <x:row r="540">
      <x:c r="A540" t="str">
        <x:v>JFD-20231130-0311</x:v>
      </x:c>
      <x:c r="B540" s="11" t="n">
        <x:v>45260.77222222222</x:v>
      </x:c>
      <x:c r="C540" s="13" t="n">
        <x:v>0.7722222222222223</x:v>
      </x:c>
      <x:c r="D540" t="str">
        <x:v>Damak</x:v>
      </x:c>
      <x:c r="E540" t="str">
        <x:v>Milan’s Bakery</x:v>
      </x:c>
      <x:c r="F540" t="str">
        <x:v>Coca-Cola 500ml</x:v>
      </x:c>
      <x:c r="G540" t="str">
        <x:v>Drink</x:v>
      </x:c>
      <x:c r="H540" t="n">
        <x:v>4</x:v>
      </x:c>
      <x:c r="I540" s="14" t="n">
        <x:v>80</x:v>
      </x:c>
      <x:c r="J540" s="14" t="n">
        <x:v>320</x:v>
      </x:c>
      <x:c r="K540" t="str">
        <x:v>DEMO / SIMULATED</x:v>
      </x:c>
    </x:row>
    <x:row r="541">
      <x:c r="A541" t="str">
        <x:v>JFD-20231130-0311</x:v>
      </x:c>
      <x:c r="B541" s="11" t="n">
        <x:v>45260.89027777778</x:v>
      </x:c>
      <x:c r="C541" s="13" t="n">
        <x:v>0.8902777777777777</x:v>
      </x:c>
      <x:c r="D541" t="str">
        <x:v>Damak</x:v>
      </x:c>
      <x:c r="E541" t="str">
        <x:v>Milan’s Bakery</x:v>
      </x:c>
      <x:c r="F541" t="str">
        <x:v>Bottled Water 1L</x:v>
      </x:c>
      <x:c r="G541" t="str">
        <x:v>Drink</x:v>
      </x:c>
      <x:c r="H541" t="n">
        <x:v>2</x:v>
      </x:c>
      <x:c r="I541" s="14" t="n">
        <x:v>35</x:v>
      </x:c>
      <x:c r="J541" s="14" t="n">
        <x:v>70</x:v>
      </x:c>
      <x:c r="K541" t="str">
        <x:v>DEMO / SIMULATED</x:v>
      </x:c>
    </x:row>
    <x:row r="542">
      <x:c r="A542" t="str">
        <x:v>JFD-20241130-0312</x:v>
      </x:c>
      <x:c r="B542" s="11" t="n">
        <x:v>45626.430555555555</x:v>
      </x:c>
      <x:c r="C542" s="13" t="n">
        <x:v>0.4305555555555556</x:v>
      </x:c>
      <x:c r="D542" t="str">
        <x:v>Birtamode</x:v>
      </x:c>
      <x:c r="E542" t="str">
        <x:v>Pizza Ghar</x:v>
      </x:c>
      <x:c r="F542" t="str">
        <x:v>Veg Fried Rice</x:v>
      </x:c>
      <x:c r="G542" t="str">
        <x:v>Food</x:v>
      </x:c>
      <x:c r="H542" t="n">
        <x:v>2</x:v>
      </x:c>
      <x:c r="I542" s="14" t="n">
        <x:v>195</x:v>
      </x:c>
      <x:c r="J542" s="14" t="n">
        <x:v>390</x:v>
      </x:c>
      <x:c r="K542" t="str">
        <x:v>DEMO / SIMULATED</x:v>
      </x:c>
    </x:row>
    <x:row r="543">
      <x:c r="A543" t="str">
        <x:v>JFD-20241130-0312</x:v>
      </x:c>
      <x:c r="B543" s="11" t="n">
        <x:v>45626.71527777778</x:v>
      </x:c>
      <x:c r="C543" s="13" t="n">
        <x:v>0.7152777777777778</x:v>
      </x:c>
      <x:c r="D543" t="str">
        <x:v>Birtamode</x:v>
      </x:c>
      <x:c r="E543" t="str">
        <x:v>Pizza Ghar</x:v>
      </x:c>
      <x:c r="F543" t="str">
        <x:v>Bottled Water 1L</x:v>
      </x:c>
      <x:c r="G543" t="str">
        <x:v>Drink</x:v>
      </x:c>
      <x:c r="H543" t="n">
        <x:v>4</x:v>
      </x:c>
      <x:c r="I543" s="14" t="n">
        <x:v>35</x:v>
      </x:c>
      <x:c r="J543" s="14" t="n">
        <x:v>140</x:v>
      </x:c>
      <x:c r="K543" t="str">
        <x:v>DEMO / SIMULATED</x:v>
      </x:c>
    </x:row>
    <x:row r="544">
      <x:c r="A544" t="str">
        <x:v>JFD-20250820-0313</x:v>
      </x:c>
      <x:c r="B544" s="11" t="n">
        <x:v>45889.88958333333</x:v>
      </x:c>
      <x:c r="C544" s="13" t="n">
        <x:v>0.8895833333333333</x:v>
      </x:c>
      <x:c r="D544" t="str">
        <x:v>Birtamode</x:v>
      </x:c>
      <x:c r="E544" t="str">
        <x:v>The Underground Cafe &amp; Restaurant</x:v>
      </x:c>
      <x:c r="F544" t="str">
        <x:v>Coca-Cola 500ml</x:v>
      </x:c>
      <x:c r="G544" t="str">
        <x:v>Drink</x:v>
      </x:c>
      <x:c r="H544" t="n">
        <x:v>4</x:v>
      </x:c>
      <x:c r="I544" s="14" t="n">
        <x:v>95</x:v>
      </x:c>
      <x:c r="J544" s="14" t="n">
        <x:v>380</x:v>
      </x:c>
      <x:c r="K544" t="str">
        <x:v>DEMO / SIMULATED</x:v>
      </x:c>
    </x:row>
    <x:row r="545">
      <x:c r="A545" t="str">
        <x:v>JFD-20250820-0313</x:v>
      </x:c>
      <x:c r="B545" s="11" t="n">
        <x:v>45889.751388888886</x:v>
      </x:c>
      <x:c r="C545" s="13" t="n">
        <x:v>0.7513888888888889</x:v>
      </x:c>
      <x:c r="D545" t="str">
        <x:v>Birtamode</x:v>
      </x:c>
      <x:c r="E545" t="str">
        <x:v>The Underground Cafe &amp; Restaurant</x:v>
      </x:c>
      <x:c r="F545" t="str">
        <x:v>Veg Pakauda</x:v>
      </x:c>
      <x:c r="G545" t="str">
        <x:v>Food</x:v>
      </x:c>
      <x:c r="H545" t="n">
        <x:v>4</x:v>
      </x:c>
      <x:c r="I545" s="14" t="n">
        <x:v>165</x:v>
      </x:c>
      <x:c r="J545" s="14" t="n">
        <x:v>660</x:v>
      </x:c>
      <x:c r="K545" t="str">
        <x:v>DEMO / SIMULATED</x:v>
      </x:c>
    </x:row>
    <x:row r="546">
      <x:c r="A546" t="str">
        <x:v>JFD-20260130-0314</x:v>
      </x:c>
      <x:c r="B546" s="11" t="n">
        <x:v>46052.830555555556</x:v>
      </x:c>
      <x:c r="C546" s="13" t="n">
        <x:v>0.8305555555555556</x:v>
      </x:c>
      <x:c r="D546" t="str">
        <x:v>Damak</x:v>
      </x:c>
      <x:c r="E546" t="str">
        <x:v>Milan’s Bakery</x:v>
      </x:c>
      <x:c r="F546" t="str">
        <x:v>Chocolate Cake</x:v>
      </x:c>
      <x:c r="G546" t="str">
        <x:v>Food</x:v>
      </x:c>
      <x:c r="H546" t="n">
        <x:v>1</x:v>
      </x:c>
      <x:c r="I546" s="14" t="n">
        <x:v>350</x:v>
      </x:c>
      <x:c r="J546" s="14" t="n">
        <x:v>350</x:v>
      </x:c>
      <x:c r="K546" t="str">
        <x:v>DEMO / SIMULATED</x:v>
      </x:c>
    </x:row>
    <x:row r="547">
      <x:c r="A547" t="str">
        <x:v>JFD-20240622-0315</x:v>
      </x:c>
      <x:c r="B547" s="11" t="n">
        <x:v>45465.66527777778</x:v>
      </x:c>
      <x:c r="C547" s="13" t="n">
        <x:v>0.6652777777777777</x:v>
      </x:c>
      <x:c r="D547" t="str">
        <x:v>Birtamode</x:v>
      </x:c>
      <x:c r="E547" t="str">
        <x:v>The Underground Cafe &amp; Restaurant</x:v>
      </x:c>
      <x:c r="F547" t="str">
        <x:v>Paneer Pakauda</x:v>
      </x:c>
      <x:c r="G547" t="str">
        <x:v>Food</x:v>
      </x:c>
      <x:c r="H547" t="n">
        <x:v>4</x:v>
      </x:c>
      <x:c r="I547" s="14" t="n">
        <x:v>200</x:v>
      </x:c>
      <x:c r="J547" s="14" t="n">
        <x:v>800</x:v>
      </x:c>
      <x:c r="K547" t="str">
        <x:v>DEMO / SIMULATED</x:v>
      </x:c>
    </x:row>
    <x:row r="548">
      <x:c r="A548" t="str">
        <x:v>JFD-20240622-0315</x:v>
      </x:c>
      <x:c r="B548" s="11" t="n">
        <x:v>45465.71111111111</x:v>
      </x:c>
      <x:c r="C548" s="13" t="n">
        <x:v>0.7111111111111111</x:v>
      </x:c>
      <x:c r="D548" t="str">
        <x:v>Birtamode</x:v>
      </x:c>
      <x:c r="E548" t="str">
        <x:v>The Underground Cafe &amp; Restaurant</x:v>
      </x:c>
      <x:c r="F548" t="str">
        <x:v>Bottled Water 1L</x:v>
      </x:c>
      <x:c r="G548" t="str">
        <x:v>Drink</x:v>
      </x:c>
      <x:c r="H548" t="n">
        <x:v>4</x:v>
      </x:c>
      <x:c r="I548" s="14" t="n">
        <x:v>35</x:v>
      </x:c>
      <x:c r="J548" s="14" t="n">
        <x:v>140</x:v>
      </x:c>
      <x:c r="K548" t="str">
        <x:v>DEMO / SIMULATED</x:v>
      </x:c>
    </x:row>
    <x:row r="549">
      <x:c r="A549" t="str">
        <x:v>JFD-20260915-0316</x:v>
      </x:c>
      <x:c r="B549" s="11" t="n">
        <x:v>46280.71944444445</x:v>
      </x:c>
      <x:c r="C549" s="13" t="n">
        <x:v>0.7194444444444444</x:v>
      </x:c>
      <x:c r="D549" t="str">
        <x:v>Damak</x:v>
      </x:c>
      <x:c r="E549" t="str">
        <x:v>Milan’s Bakery</x:v>
      </x:c>
      <x:c r="F549" t="str">
        <x:v>Bottled Water 1L</x:v>
      </x:c>
      <x:c r="G549" t="str">
        <x:v>Drink</x:v>
      </x:c>
      <x:c r="H549" t="n">
        <x:v>2</x:v>
      </x:c>
      <x:c r="I549" s="14" t="n">
        <x:v>40</x:v>
      </x:c>
      <x:c r="J549" s="14" t="n">
        <x:v>80</x:v>
      </x:c>
      <x:c r="K549" t="str">
        <x:v>DEMO / SIMULATED</x:v>
      </x:c>
    </x:row>
    <x:row r="550">
      <x:c r="A550" t="str">
        <x:v>JFD-20260922-0317</x:v>
      </x:c>
      <x:c r="B550" s="11" t="n">
        <x:v>46287.65833333333</x:v>
      </x:c>
      <x:c r="C550" s="13" t="n">
        <x:v>0.6583333333333333</x:v>
      </x:c>
      <x:c r="D550" t="str">
        <x:v>Birtamode</x:v>
      </x:c>
      <x:c r="E550" t="str">
        <x:v>The Underground Cafe &amp; Restaurant</x:v>
      </x:c>
      <x:c r="F550" t="str">
        <x:v>Aalu Jeera</x:v>
      </x:c>
      <x:c r="G550" t="str">
        <x:v>Food</x:v>
      </x:c>
      <x:c r="H550" t="n">
        <x:v>2</x:v>
      </x:c>
      <x:c r="I550" s="14" t="n">
        <x:v>155</x:v>
      </x:c>
      <x:c r="J550" s="14" t="n">
        <x:v>310</x:v>
      </x:c>
      <x:c r="K550" t="str">
        <x:v>DEMO / SIMULATED</x:v>
      </x:c>
    </x:row>
    <x:row r="551">
      <x:c r="A551" t="str">
        <x:v>JFD-20260727-0318</x:v>
      </x:c>
      <x:c r="B551" s="11" t="n">
        <x:v>46230.691666666666</x:v>
      </x:c>
      <x:c r="C551" s="13" t="n">
        <x:v>0.6916666666666667</x:v>
      </x:c>
      <x:c r="D551" t="str">
        <x:v>Damak</x:v>
      </x:c>
      <x:c r="E551" t="str">
        <x:v>Milan’s Bakery</x:v>
      </x:c>
      <x:c r="F551" t="str">
        <x:v>Bottled Water 1L</x:v>
      </x:c>
      <x:c r="G551" t="str">
        <x:v>Drink</x:v>
      </x:c>
      <x:c r="H551" t="n">
        <x:v>3</x:v>
      </x:c>
      <x:c r="I551" s="14" t="n">
        <x:v>40</x:v>
      </x:c>
      <x:c r="J551" s="14" t="n">
        <x:v>120</x:v>
      </x:c>
      <x:c r="K551" t="str">
        <x:v>DEMO / SIMULATED</x:v>
      </x:c>
    </x:row>
    <x:row r="552">
      <x:c r="A552" t="str">
        <x:v>JFD-20250701-0319</x:v>
      </x:c>
      <x:c r="B552" s="11" t="n">
        <x:v>45839.881944444445</x:v>
      </x:c>
      <x:c r="C552" s="13" t="n">
        <x:v>0.8819444444444444</x:v>
      </x:c>
      <x:c r="D552" t="str">
        <x:v>Birtamode</x:v>
      </x:c>
      <x:c r="E552" t="str">
        <x:v>The Underground Cafe &amp; Restaurant</x:v>
      </x:c>
      <x:c r="F552" t="str">
        <x:v>Aalu Jeera</x:v>
      </x:c>
      <x:c r="G552" t="str">
        <x:v>Food</x:v>
      </x:c>
      <x:c r="H552" t="n">
        <x:v>3</x:v>
      </x:c>
      <x:c r="I552" s="14" t="n">
        <x:v>145</x:v>
      </x:c>
      <x:c r="J552" s="14" t="n">
        <x:v>435</x:v>
      </x:c>
      <x:c r="K552" t="str">
        <x:v>DEMO / SIMULATED</x:v>
      </x:c>
    </x:row>
    <x:row r="553">
      <x:c r="A553" t="str">
        <x:v>JFD-20230813-0320</x:v>
      </x:c>
      <x:c r="B553" s="11" t="n">
        <x:v>45151.89097222222</x:v>
      </x:c>
      <x:c r="C553" s="13" t="n">
        <x:v>0.8909722222222223</x:v>
      </x:c>
      <x:c r="D553" t="str">
        <x:v>Damak</x:v>
      </x:c>
      <x:c r="E553" t="str">
        <x:v>Milan’s Bakery</x:v>
      </x:c>
      <x:c r="F553" t="str">
        <x:v>Black Forest Cake</x:v>
      </x:c>
      <x:c r="G553" t="str">
        <x:v>Food</x:v>
      </x:c>
      <x:c r="H553" t="n">
        <x:v>1</x:v>
      </x:c>
      <x:c r="I553" s="14" t="n">
        <x:v>245</x:v>
      </x:c>
      <x:c r="J553" s="14" t="n">
        <x:v>245</x:v>
      </x:c>
      <x:c r="K553" t="str">
        <x:v>DEMO / SIMULATED</x:v>
      </x:c>
    </x:row>
    <x:row r="554">
      <x:c r="A554" t="str">
        <x:v>JFD-20230813-0320</x:v>
      </x:c>
      <x:c r="B554" s="11" t="n">
        <x:v>45151.510416666664</x:v>
      </x:c>
      <x:c r="C554" s="13" t="n">
        <x:v>0.5104166666666666</x:v>
      </x:c>
      <x:c r="D554" t="str">
        <x:v>Damak</x:v>
      </x:c>
      <x:c r="E554" t="str">
        <x:v>Milan’s Bakery</x:v>
      </x:c>
      <x:c r="F554" t="str">
        <x:v>Chocolate Cake</x:v>
      </x:c>
      <x:c r="G554" t="str">
        <x:v>Food</x:v>
      </x:c>
      <x:c r="H554" t="n">
        <x:v>1</x:v>
      </x:c>
      <x:c r="I554" s="14" t="n">
        <x:v>285</x:v>
      </x:c>
      <x:c r="J554" s="14" t="n">
        <x:v>285</x:v>
      </x:c>
      <x:c r="K554" t="str">
        <x:v>DEMO / SIMULATED</x:v>
      </x:c>
    </x:row>
    <x:row r="555">
      <x:c r="A555" t="str">
        <x:v>JFD-20260427-0321</x:v>
      </x:c>
      <x:c r="B555" s="11" t="n">
        <x:v>46139.45208333333</x:v>
      </x:c>
      <x:c r="C555" s="13" t="n">
        <x:v>0.45208333333333334</x:v>
      </x:c>
      <x:c r="D555" t="str">
        <x:v>Birtamode</x:v>
      </x:c>
      <x:c r="E555" t="str">
        <x:v>Pizza Ghar</x:v>
      </x:c>
      <x:c r="F555" t="str">
        <x:v>Chicken Fried Rice</x:v>
      </x:c>
      <x:c r="G555" t="str">
        <x:v>Food</x:v>
      </x:c>
      <x:c r="H555" t="n">
        <x:v>1</x:v>
      </x:c>
      <x:c r="I555" s="14" t="n">
        <x:v>300</x:v>
      </x:c>
      <x:c r="J555" s="14" t="n">
        <x:v>300</x:v>
      </x:c>
      <x:c r="K555" t="str">
        <x:v>DEMO / SIMULATED</x:v>
      </x:c>
    </x:row>
    <x:row r="556">
      <x:c r="A556" t="str">
        <x:v>JFD-20260427-0321</x:v>
      </x:c>
      <x:c r="B556" s="11" t="n">
        <x:v>46139.799305555556</x:v>
      </x:c>
      <x:c r="C556" s="13" t="n">
        <x:v>0.7993055555555556</x:v>
      </x:c>
      <x:c r="D556" t="str">
        <x:v>Birtamode</x:v>
      </x:c>
      <x:c r="E556" t="str">
        <x:v>Pizza Ghar</x:v>
      </x:c>
      <x:c r="F556" t="str">
        <x:v>Bottled Water 1L</x:v>
      </x:c>
      <x:c r="G556" t="str">
        <x:v>Drink</x:v>
      </x:c>
      <x:c r="H556" t="n">
        <x:v>3</x:v>
      </x:c>
      <x:c r="I556" s="14" t="n">
        <x:v>40</x:v>
      </x:c>
      <x:c r="J556" s="14" t="n">
        <x:v>120</x:v>
      </x:c>
      <x:c r="K556" t="str">
        <x:v>DEMO / SIMULATED</x:v>
      </x:c>
    </x:row>
    <x:row r="557">
      <x:c r="A557" t="str">
        <x:v>JFD-20240829-0322</x:v>
      </x:c>
      <x:c r="B557" s="11" t="n">
        <x:v>45533.58194444444</x:v>
      </x:c>
      <x:c r="C557" s="13" t="n">
        <x:v>0.5819444444444445</x:v>
      </x:c>
      <x:c r="D557" t="str">
        <x:v>Birtamode</x:v>
      </x:c>
      <x:c r="E557" t="str">
        <x:v>Pizza Ghar</x:v>
      </x:c>
      <x:c r="F557" t="str">
        <x:v>Bottled Water 1L</x:v>
      </x:c>
      <x:c r="G557" t="str">
        <x:v>Drink</x:v>
      </x:c>
      <x:c r="H557" t="n">
        <x:v>4</x:v>
      </x:c>
      <x:c r="I557" s="14" t="n">
        <x:v>35</x:v>
      </x:c>
      <x:c r="J557" s="14" t="n">
        <x:v>140</x:v>
      </x:c>
      <x:c r="K557" t="str">
        <x:v>DEMO / SIMULATED</x:v>
      </x:c>
    </x:row>
    <x:row r="558">
      <x:c r="A558" t="str">
        <x:v>JFD-20240829-0322</x:v>
      </x:c>
      <x:c r="B558" s="11" t="n">
        <x:v>45533.84722222222</x:v>
      </x:c>
      <x:c r="C558" s="13" t="n">
        <x:v>0.8472222222222222</x:v>
      </x:c>
      <x:c r="D558" t="str">
        <x:v>Birtamode</x:v>
      </x:c>
      <x:c r="E558" t="str">
        <x:v>Pizza Ghar</x:v>
      </x:c>
      <x:c r="F558" t="str">
        <x:v>Coca-Cola 500ml</x:v>
      </x:c>
      <x:c r="G558" t="str">
        <x:v>Drink</x:v>
      </x:c>
      <x:c r="H558" t="n">
        <x:v>2</x:v>
      </x:c>
      <x:c r="I558" s="14" t="n">
        <x:v>90</x:v>
      </x:c>
      <x:c r="J558" s="14" t="n">
        <x:v>180</x:v>
      </x:c>
      <x:c r="K558" t="str">
        <x:v>DEMO / SIMULATED</x:v>
      </x:c>
    </x:row>
    <x:row r="559">
      <x:c r="A559" t="str">
        <x:v>JFD-20240825-0323</x:v>
      </x:c>
      <x:c r="B559" s="11" t="n">
        <x:v>45529.74722222222</x:v>
      </x:c>
      <x:c r="C559" s="13" t="n">
        <x:v>0.7472222222222222</x:v>
      </x:c>
      <x:c r="D559" t="str">
        <x:v>Damak</x:v>
      </x:c>
      <x:c r="E559" t="str">
        <x:v>Milan’s Bakery</x:v>
      </x:c>
      <x:c r="F559" t="str">
        <x:v>Chocolate Cake</x:v>
      </x:c>
      <x:c r="G559" t="str">
        <x:v>Food</x:v>
      </x:c>
      <x:c r="H559" t="n">
        <x:v>1</x:v>
      </x:c>
      <x:c r="I559" s="14" t="n">
        <x:v>310</x:v>
      </x:c>
      <x:c r="J559" s="14" t="n">
        <x:v>310</x:v>
      </x:c>
      <x:c r="K559" t="str">
        <x:v>DEMO / SIMULATED</x:v>
      </x:c>
    </x:row>
    <x:row r="560">
      <x:c r="A560" t="str">
        <x:v>JFD-20250907-0324</x:v>
      </x:c>
      <x:c r="B560" s="11" t="n">
        <x:v>45907.802083333336</x:v>
      </x:c>
      <x:c r="C560" s="13" t="n">
        <x:v>0.8020833333333334</x:v>
      </x:c>
      <x:c r="D560" t="str">
        <x:v>Damak</x:v>
      </x:c>
      <x:c r="E560" t="str">
        <x:v>Milan’s Bakery</x:v>
      </x:c>
      <x:c r="F560" t="str">
        <x:v>Black Forest Cake</x:v>
      </x:c>
      <x:c r="G560" t="str">
        <x:v>Food</x:v>
      </x:c>
      <x:c r="H560" t="n">
        <x:v>1</x:v>
      </x:c>
      <x:c r="I560" s="14" t="n">
        <x:v>280</x:v>
      </x:c>
      <x:c r="J560" s="14" t="n">
        <x:v>280</x:v>
      </x:c>
      <x:c r="K560" t="str">
        <x:v>DEMO / SIMULATED</x:v>
      </x:c>
    </x:row>
    <x:row r="561">
      <x:c r="A561" t="str">
        <x:v>JFD-20250907-0324</x:v>
      </x:c>
      <x:c r="B561" s="11" t="n">
        <x:v>45907.5</x:v>
      </x:c>
      <x:c r="C561" s="13" t="n">
        <x:v>0.5</x:v>
      </x:c>
      <x:c r="D561" t="str">
        <x:v>Damak</x:v>
      </x:c>
      <x:c r="E561" t="str">
        <x:v>Milan’s Bakery</x:v>
      </x:c>
      <x:c r="F561" t="str">
        <x:v>Bottled Water 1L</x:v>
      </x:c>
      <x:c r="G561" t="str">
        <x:v>Drink</x:v>
      </x:c>
      <x:c r="H561" t="n">
        <x:v>1</x:v>
      </x:c>
      <x:c r="I561" s="14" t="n">
        <x:v>40</x:v>
      </x:c>
      <x:c r="J561" s="14" t="n">
        <x:v>40</x:v>
      </x:c>
      <x:c r="K561" t="str">
        <x:v>DEMO / SIMULATED</x:v>
      </x:c>
    </x:row>
    <x:row r="562">
      <x:c r="A562" t="str">
        <x:v>JFD-20260714-0325</x:v>
      </x:c>
      <x:c r="B562" s="11" t="n">
        <x:v>46217.615277777775</x:v>
      </x:c>
      <x:c r="C562" s="13" t="n">
        <x:v>0.6152777777777778</x:v>
      </x:c>
      <x:c r="D562" t="str">
        <x:v>Damak</x:v>
      </x:c>
      <x:c r="E562" t="str">
        <x:v>Milan’s Bakery</x:v>
      </x:c>
      <x:c r="F562" t="str">
        <x:v>Vanilla Cake</x:v>
      </x:c>
      <x:c r="G562" t="str">
        <x:v>Food</x:v>
      </x:c>
      <x:c r="H562" t="n">
        <x:v>3</x:v>
      </x:c>
      <x:c r="I562" s="14" t="n">
        <x:v>300</x:v>
      </x:c>
      <x:c r="J562" s="14" t="n">
        <x:v>900</x:v>
      </x:c>
      <x:c r="K562" t="str">
        <x:v>DEMO / SIMULATED</x:v>
      </x:c>
    </x:row>
    <x:row r="563">
      <x:c r="A563" t="str">
        <x:v>JFD-20260714-0325</x:v>
      </x:c>
      <x:c r="B563" s="11" t="n">
        <x:v>46217.725</x:v>
      </x:c>
      <x:c r="C563" s="13" t="n">
        <x:v>0.725</x:v>
      </x:c>
      <x:c r="D563" t="str">
        <x:v>Damak</x:v>
      </x:c>
      <x:c r="E563" t="str">
        <x:v>Milan’s Bakery</x:v>
      </x:c>
      <x:c r="F563" t="str">
        <x:v>Black Forest Cake</x:v>
      </x:c>
      <x:c r="G563" t="str">
        <x:v>Food</x:v>
      </x:c>
      <x:c r="H563" t="n">
        <x:v>2</x:v>
      </x:c>
      <x:c r="I563" s="14" t="n">
        <x:v>300</x:v>
      </x:c>
      <x:c r="J563" s="14" t="n">
        <x:v>600</x:v>
      </x:c>
      <x:c r="K563" t="str">
        <x:v>DEMO / SIMULATED</x:v>
      </x:c>
    </x:row>
    <x:row r="564">
      <x:c r="A564" t="str">
        <x:v>JFD-20241224-0326</x:v>
      </x:c>
      <x:c r="B564" s="11" t="n">
        <x:v>45650.535416666666</x:v>
      </x:c>
      <x:c r="C564" s="13" t="n">
        <x:v>0.5354166666666667</x:v>
      </x:c>
      <x:c r="D564" t="str">
        <x:v>Birtamode</x:v>
      </x:c>
      <x:c r="E564" t="str">
        <x:v>The Underground Cafe &amp; Restaurant</x:v>
      </x:c>
      <x:c r="F564" t="str">
        <x:v>Paneer Pakauda</x:v>
      </x:c>
      <x:c r="G564" t="str">
        <x:v>Food</x:v>
      </x:c>
      <x:c r="H564" t="n">
        <x:v>3</x:v>
      </x:c>
      <x:c r="I564" s="14" t="n">
        <x:v>200</x:v>
      </x:c>
      <x:c r="J564" s="14" t="n">
        <x:v>600</x:v>
      </x:c>
      <x:c r="K564" t="str">
        <x:v>DEMO / SIMULATED</x:v>
      </x:c>
    </x:row>
    <x:row r="565">
      <x:c r="A565" t="str">
        <x:v>JFD-20241224-0326</x:v>
      </x:c>
      <x:c r="B565" s="11" t="n">
        <x:v>45650.82083333333</x:v>
      </x:c>
      <x:c r="C565" s="13" t="n">
        <x:v>0.8208333333333333</x:v>
      </x:c>
      <x:c r="D565" t="str">
        <x:v>Birtamode</x:v>
      </x:c>
      <x:c r="E565" t="str">
        <x:v>The Underground Cafe &amp; Restaurant</x:v>
      </x:c>
      <x:c r="F565" t="str">
        <x:v>Bottled Water 1L</x:v>
      </x:c>
      <x:c r="G565" t="str">
        <x:v>Drink</x:v>
      </x:c>
      <x:c r="H565" t="n">
        <x:v>2</x:v>
      </x:c>
      <x:c r="I565" s="14" t="n">
        <x:v>35</x:v>
      </x:c>
      <x:c r="J565" s="14" t="n">
        <x:v>70</x:v>
      </x:c>
      <x:c r="K565" t="str">
        <x:v>DEMO / SIMULATED</x:v>
      </x:c>
    </x:row>
    <x:row r="566">
      <x:c r="A566" t="str">
        <x:v>JFD-20241224-0326</x:v>
      </x:c>
      <x:c r="B566" s="11" t="n">
        <x:v>45650.85625</x:v>
      </x:c>
      <x:c r="C566" s="13" t="n">
        <x:v>0.85625</x:v>
      </x:c>
      <x:c r="D566" t="str">
        <x:v>Birtamode</x:v>
      </x:c>
      <x:c r="E566" t="str">
        <x:v>The Underground Cafe &amp; Restaurant</x:v>
      </x:c>
      <x:c r="F566" t="str">
        <x:v>Aalu Jeera</x:v>
      </x:c>
      <x:c r="G566" t="str">
        <x:v>Food</x:v>
      </x:c>
      <x:c r="H566" t="n">
        <x:v>2</x:v>
      </x:c>
      <x:c r="I566" s="14" t="n">
        <x:v>135</x:v>
      </x:c>
      <x:c r="J566" s="14" t="n">
        <x:v>270</x:v>
      </x:c>
      <x:c r="K566" t="str">
        <x:v>DEMO / SIMULATED</x:v>
      </x:c>
    </x:row>
    <x:row r="567">
      <x:c r="A567" t="str">
        <x:v>JFD-20240813-0327</x:v>
      </x:c>
      <x:c r="B567" s="11" t="n">
        <x:v>45517.649305555555</x:v>
      </x:c>
      <x:c r="C567" s="13" t="n">
        <x:v>0.6493055555555556</x:v>
      </x:c>
      <x:c r="D567" t="str">
        <x:v>Birtamode</x:v>
      </x:c>
      <x:c r="E567" t="str">
        <x:v>The Underground Cafe &amp; Restaurant</x:v>
      </x:c>
      <x:c r="F567" t="str">
        <x:v>Paneer Pakauda</x:v>
      </x:c>
      <x:c r="G567" t="str">
        <x:v>Food</x:v>
      </x:c>
      <x:c r="H567" t="n">
        <x:v>4</x:v>
      </x:c>
      <x:c r="I567" s="14" t="n">
        <x:v>200</x:v>
      </x:c>
      <x:c r="J567" s="14" t="n">
        <x:v>800</x:v>
      </x:c>
      <x:c r="K567" t="str">
        <x:v>DEMO / SIMULATED</x:v>
      </x:c>
    </x:row>
    <x:row r="568">
      <x:c r="A568" t="str">
        <x:v>JFD-20230107-0328</x:v>
      </x:c>
      <x:c r="B568" s="11" t="n">
        <x:v>44933.67013888889</x:v>
      </x:c>
      <x:c r="C568" s="13" t="n">
        <x:v>0.6701388888888888</x:v>
      </x:c>
      <x:c r="D568" t="str">
        <x:v>Damak</x:v>
      </x:c>
      <x:c r="E568" t="str">
        <x:v>Late Night Cravings</x:v>
      </x:c>
      <x:c r="F568" t="str">
        <x:v>Egg Fry Rice</x:v>
      </x:c>
      <x:c r="G568" t="str">
        <x:v>Food</x:v>
      </x:c>
      <x:c r="H568" t="n">
        <x:v>3</x:v>
      </x:c>
      <x:c r="I568" s="14" t="n">
        <x:v>165</x:v>
      </x:c>
      <x:c r="J568" s="14" t="n">
        <x:v>495</x:v>
      </x:c>
      <x:c r="K568" t="str">
        <x:v>DEMO / SIMULATED</x:v>
      </x:c>
    </x:row>
    <x:row r="569">
      <x:c r="A569" t="str">
        <x:v>JFD-20230722-0329</x:v>
      </x:c>
      <x:c r="B569" s="11" t="n">
        <x:v>45129.47777777778</x:v>
      </x:c>
      <x:c r="C569" s="13" t="n">
        <x:v>0.4777777777777778</x:v>
      </x:c>
      <x:c r="D569" t="str">
        <x:v>Birtamode</x:v>
      </x:c>
      <x:c r="E569" t="str">
        <x:v>Pizza Ghar</x:v>
      </x:c>
      <x:c r="F569" t="str">
        <x:v>Chicken Fried Rice</x:v>
      </x:c>
      <x:c r="G569" t="str">
        <x:v>Food</x:v>
      </x:c>
      <x:c r="H569" t="n">
        <x:v>4</x:v>
      </x:c>
      <x:c r="I569" s="14" t="n">
        <x:v>245</x:v>
      </x:c>
      <x:c r="J569" s="14" t="n">
        <x:v>980</x:v>
      </x:c>
      <x:c r="K569" t="str">
        <x:v>DEMO / SIMULATED</x:v>
      </x:c>
    </x:row>
    <x:row r="570">
      <x:c r="A570" t="str">
        <x:v>JFD-20250621-0330</x:v>
      </x:c>
      <x:c r="B570" s="11" t="n">
        <x:v>45829.56180555555</x:v>
      </x:c>
      <x:c r="C570" s="13" t="n">
        <x:v>0.5618055555555556</x:v>
      </x:c>
      <x:c r="D570" t="str">
        <x:v>Birtamode</x:v>
      </x:c>
      <x:c r="E570" t="str">
        <x:v>The Underground Cafe &amp; Restaurant</x:v>
      </x:c>
      <x:c r="F570" t="str">
        <x:v>Aalu Jeera</x:v>
      </x:c>
      <x:c r="G570" t="str">
        <x:v>Food</x:v>
      </x:c>
      <x:c r="H570" t="n">
        <x:v>4</x:v>
      </x:c>
      <x:c r="I570" s="14" t="n">
        <x:v>145</x:v>
      </x:c>
      <x:c r="J570" s="14" t="n">
        <x:v>580</x:v>
      </x:c>
      <x:c r="K570" t="str">
        <x:v>DEMO / SIMULATED</x:v>
      </x:c>
    </x:row>
    <x:row r="571">
      <x:c r="A571" t="str">
        <x:v>JFD-20240412-0331</x:v>
      </x:c>
      <x:c r="B571" s="11" t="n">
        <x:v>45394.825</x:v>
      </x:c>
      <x:c r="C571" s="13" t="n">
        <x:v>0.825</x:v>
      </x:c>
      <x:c r="D571" t="str">
        <x:v>Birtamode</x:v>
      </x:c>
      <x:c r="E571" t="str">
        <x:v>Pizza Ghar</x:v>
      </x:c>
      <x:c r="F571" t="str">
        <x:v>Bottled Water 1L</x:v>
      </x:c>
      <x:c r="G571" t="str">
        <x:v>Drink</x:v>
      </x:c>
      <x:c r="H571" t="n">
        <x:v>4</x:v>
      </x:c>
      <x:c r="I571" s="14" t="n">
        <x:v>35</x:v>
      </x:c>
      <x:c r="J571" s="14" t="n">
        <x:v>140</x:v>
      </x:c>
      <x:c r="K571" t="str">
        <x:v>DEMO / SIMULATED</x:v>
      </x:c>
    </x:row>
    <x:row r="572">
      <x:c r="A572" t="str">
        <x:v>JFD-20240412-0331</x:v>
      </x:c>
      <x:c r="B572" s="11" t="n">
        <x:v>45394.74166666667</x:v>
      </x:c>
      <x:c r="C572" s="13" t="n">
        <x:v>0.7416666666666667</x:v>
      </x:c>
      <x:c r="D572" t="str">
        <x:v>Birtamode</x:v>
      </x:c>
      <x:c r="E572" t="str">
        <x:v>Pizza Ghar</x:v>
      </x:c>
      <x:c r="F572" t="str">
        <x:v>Egg Fried Rice</x:v>
      </x:c>
      <x:c r="G572" t="str">
        <x:v>Food</x:v>
      </x:c>
      <x:c r="H572" t="n">
        <x:v>3</x:v>
      </x:c>
      <x:c r="I572" s="14" t="n">
        <x:v>240</x:v>
      </x:c>
      <x:c r="J572" s="14" t="n">
        <x:v>720</x:v>
      </x:c>
      <x:c r="K572" t="str">
        <x:v>DEMO / SIMULATED</x:v>
      </x:c>
    </x:row>
    <x:row r="573">
      <x:c r="A573" t="str">
        <x:v>JFD-20251207-0332</x:v>
      </x:c>
      <x:c r="B573" s="11" t="n">
        <x:v>45998.50902777778</x:v>
      </x:c>
      <x:c r="C573" s="13" t="n">
        <x:v>0.5090277777777777</x:v>
      </x:c>
      <x:c r="D573" t="str">
        <x:v>Birtamode</x:v>
      </x:c>
      <x:c r="E573" t="str">
        <x:v>Pizza Ghar</x:v>
      </x:c>
      <x:c r="F573" t="str">
        <x:v>Egg Fried Rice</x:v>
      </x:c>
      <x:c r="G573" t="str">
        <x:v>Food</x:v>
      </x:c>
      <x:c r="H573" t="n">
        <x:v>1</x:v>
      </x:c>
      <x:c r="I573" s="14" t="n">
        <x:v>255</x:v>
      </x:c>
      <x:c r="J573" s="14" t="n">
        <x:v>255</x:v>
      </x:c>
      <x:c r="K573" t="str">
        <x:v>DEMO / SIMULATED</x:v>
      </x:c>
    </x:row>
    <x:row r="574">
      <x:c r="A574" t="str">
        <x:v>JFD-20231226-0333</x:v>
      </x:c>
      <x:c r="B574" s="11" t="n">
        <x:v>45286.506944444445</x:v>
      </x:c>
      <x:c r="C574" s="13" t="n">
        <x:v>0.5069444444444444</x:v>
      </x:c>
      <x:c r="D574" t="str">
        <x:v>Birtamode</x:v>
      </x:c>
      <x:c r="E574" t="str">
        <x:v>The Underground Cafe &amp; Restaurant</x:v>
      </x:c>
      <x:c r="F574" t="str">
        <x:v>Bottled Water 1L</x:v>
      </x:c>
      <x:c r="G574" t="str">
        <x:v>Drink</x:v>
      </x:c>
      <x:c r="H574" t="n">
        <x:v>1</x:v>
      </x:c>
      <x:c r="I574" s="14" t="n">
        <x:v>35</x:v>
      </x:c>
      <x:c r="J574" s="14" t="n">
        <x:v>35</x:v>
      </x:c>
      <x:c r="K574" t="str">
        <x:v>DEMO / SIMULATED</x:v>
      </x:c>
    </x:row>
    <x:row r="575">
      <x:c r="A575" t="str">
        <x:v>JFD-20231226-0333</x:v>
      </x:c>
      <x:c r="B575" s="11" t="n">
        <x:v>45286.6375</x:v>
      </x:c>
      <x:c r="C575" s="13" t="n">
        <x:v>0.6375</x:v>
      </x:c>
      <x:c r="D575" t="str">
        <x:v>Birtamode</x:v>
      </x:c>
      <x:c r="E575" t="str">
        <x:v>The Underground Cafe &amp; Restaurant</x:v>
      </x:c>
      <x:c r="F575" t="str">
        <x:v>Aalu Jeera</x:v>
      </x:c>
      <x:c r="G575" t="str">
        <x:v>Food</x:v>
      </x:c>
      <x:c r="H575" t="n">
        <x:v>2</x:v>
      </x:c>
      <x:c r="I575" s="14" t="n">
        <x:v>125</x:v>
      </x:c>
      <x:c r="J575" s="14" t="n">
        <x:v>250</x:v>
      </x:c>
      <x:c r="K575" t="str">
        <x:v>DEMO / SIMULATED</x:v>
      </x:c>
    </x:row>
    <x:row r="576">
      <x:c r="A576" t="str">
        <x:v>JFD-20250507-0334</x:v>
      </x:c>
      <x:c r="B576" s="11" t="n">
        <x:v>45784.43194444444</x:v>
      </x:c>
      <x:c r="C576" s="13" t="n">
        <x:v>0.43194444444444446</x:v>
      </x:c>
      <x:c r="D576" t="str">
        <x:v>Damak</x:v>
      </x:c>
      <x:c r="E576" t="str">
        <x:v>Milan’s Bakery</x:v>
      </x:c>
      <x:c r="F576" t="str">
        <x:v>Black Forest Cake</x:v>
      </x:c>
      <x:c r="G576" t="str">
        <x:v>Food</x:v>
      </x:c>
      <x:c r="H576" t="n">
        <x:v>4</x:v>
      </x:c>
      <x:c r="I576" s="14" t="n">
        <x:v>280</x:v>
      </x:c>
      <x:c r="J576" s="14" t="n">
        <x:v>1120</x:v>
      </x:c>
      <x:c r="K576" t="str">
        <x:v>DEMO / SIMULATED</x:v>
      </x:c>
    </x:row>
    <x:row r="577">
      <x:c r="A577" t="str">
        <x:v>JFD-20241020-0335</x:v>
      </x:c>
      <x:c r="B577" s="11" t="n">
        <x:v>45585.58263888889</x:v>
      </x:c>
      <x:c r="C577" s="13" t="n">
        <x:v>0.5826388888888889</x:v>
      </x:c>
      <x:c r="D577" t="str">
        <x:v>Birtamode</x:v>
      </x:c>
      <x:c r="E577" t="str">
        <x:v>The Underground Cafe &amp; Restaurant</x:v>
      </x:c>
      <x:c r="F577" t="str">
        <x:v>Aalu Jeera</x:v>
      </x:c>
      <x:c r="G577" t="str">
        <x:v>Food</x:v>
      </x:c>
      <x:c r="H577" t="n">
        <x:v>4</x:v>
      </x:c>
      <x:c r="I577" s="14" t="n">
        <x:v>135</x:v>
      </x:c>
      <x:c r="J577" s="14" t="n">
        <x:v>540</x:v>
      </x:c>
      <x:c r="K577" t="str">
        <x:v>DEMO / SIMULATED</x:v>
      </x:c>
    </x:row>
    <x:row r="578">
      <x:c r="A578" t="str">
        <x:v>JFD-20230324-0336</x:v>
      </x:c>
      <x:c r="B578" s="11" t="n">
        <x:v>45009.54722222222</x:v>
      </x:c>
      <x:c r="C578" s="13" t="n">
        <x:v>0.5472222222222223</x:v>
      </x:c>
      <x:c r="D578" t="str">
        <x:v>Birtamode</x:v>
      </x:c>
      <x:c r="E578" t="str">
        <x:v>Pizza Ghar</x:v>
      </x:c>
      <x:c r="F578" t="str">
        <x:v>Chicken Fried Rice</x:v>
      </x:c>
      <x:c r="G578" t="str">
        <x:v>Food</x:v>
      </x:c>
      <x:c r="H578" t="n">
        <x:v>2</x:v>
      </x:c>
      <x:c r="I578" s="14" t="n">
        <x:v>245</x:v>
      </x:c>
      <x:c r="J578" s="14" t="n">
        <x:v>490</x:v>
      </x:c>
      <x:c r="K578" t="str">
        <x:v>DEMO / SIMULATED</x:v>
      </x:c>
    </x:row>
    <x:row r="579">
      <x:c r="A579" t="str">
        <x:v>JFD-20230325-0337</x:v>
      </x:c>
      <x:c r="B579" s="11" t="n">
        <x:v>45010.49930555555</x:v>
      </x:c>
      <x:c r="C579" s="13" t="n">
        <x:v>0.49930555555555556</x:v>
      </x:c>
      <x:c r="D579" t="str">
        <x:v>Birtamode</x:v>
      </x:c>
      <x:c r="E579" t="str">
        <x:v>Pizza Ghar</x:v>
      </x:c>
      <x:c r="F579" t="str">
        <x:v>Coca-Cola 500ml</x:v>
      </x:c>
      <x:c r="G579" t="str">
        <x:v>Drink</x:v>
      </x:c>
      <x:c r="H579" t="n">
        <x:v>3</x:v>
      </x:c>
      <x:c r="I579" s="14" t="n">
        <x:v>80</x:v>
      </x:c>
      <x:c r="J579" s="14" t="n">
        <x:v>240</x:v>
      </x:c>
      <x:c r="K579" t="str">
        <x:v>DEMO / SIMULATED</x:v>
      </x:c>
    </x:row>
    <x:row r="580">
      <x:c r="A580" t="str">
        <x:v>JFD-20251030-0338</x:v>
      </x:c>
      <x:c r="B580" s="11" t="n">
        <x:v>45960.802083333336</x:v>
      </x:c>
      <x:c r="C580" s="13" t="n">
        <x:v>0.8020833333333334</x:v>
      </x:c>
      <x:c r="D580" t="str">
        <x:v>Birtamode</x:v>
      </x:c>
      <x:c r="E580" t="str">
        <x:v>Pizza Ghar</x:v>
      </x:c>
      <x:c r="F580" t="str">
        <x:v>Veg Fried Rice</x:v>
      </x:c>
      <x:c r="G580" t="str">
        <x:v>Food</x:v>
      </x:c>
      <x:c r="H580" t="n">
        <x:v>1</x:v>
      </x:c>
      <x:c r="I580" s="14" t="n">
        <x:v>205</x:v>
      </x:c>
      <x:c r="J580" s="14" t="n">
        <x:v>205</x:v>
      </x:c>
      <x:c r="K580" t="str">
        <x:v>DEMO / SIMULATED</x:v>
      </x:c>
    </x:row>
    <x:row r="581">
      <x:c r="A581" t="str">
        <x:v>JFD-20251030-0338</x:v>
      </x:c>
      <x:c r="B581" s="11" t="n">
        <x:v>45960.618055555555</x:v>
      </x:c>
      <x:c r="C581" s="13" t="n">
        <x:v>0.6180555555555556</x:v>
      </x:c>
      <x:c r="D581" t="str">
        <x:v>Birtamode</x:v>
      </x:c>
      <x:c r="E581" t="str">
        <x:v>Pizza Ghar</x:v>
      </x:c>
      <x:c r="F581" t="str">
        <x:v>Bottled Water 1L</x:v>
      </x:c>
      <x:c r="G581" t="str">
        <x:v>Drink</x:v>
      </x:c>
      <x:c r="H581" t="n">
        <x:v>2</x:v>
      </x:c>
      <x:c r="I581" s="14" t="n">
        <x:v>40</x:v>
      </x:c>
      <x:c r="J581" s="14" t="n">
        <x:v>80</x:v>
      </x:c>
      <x:c r="K581" t="str">
        <x:v>DEMO / SIMULATED</x:v>
      </x:c>
    </x:row>
    <x:row r="582">
      <x:c r="A582" t="str">
        <x:v>JFD-20250305-0339</x:v>
      </x:c>
      <x:c r="B582" s="11" t="n">
        <x:v>45721.915972222225</x:v>
      </x:c>
      <x:c r="C582" s="13" t="n">
        <x:v>0.9159722222222222</x:v>
      </x:c>
      <x:c r="D582" t="str">
        <x:v>Birtamode</x:v>
      </x:c>
      <x:c r="E582" t="str">
        <x:v>Pizza Ghar</x:v>
      </x:c>
      <x:c r="F582" t="str">
        <x:v>Coca-Cola 500ml</x:v>
      </x:c>
      <x:c r="G582" t="str">
        <x:v>Drink</x:v>
      </x:c>
      <x:c r="H582" t="n">
        <x:v>2</x:v>
      </x:c>
      <x:c r="I582" s="14" t="n">
        <x:v>95</x:v>
      </x:c>
      <x:c r="J582" s="14" t="n">
        <x:v>190</x:v>
      </x:c>
      <x:c r="K582" t="str">
        <x:v>DEMO / SIMULATED</x:v>
      </x:c>
    </x:row>
    <x:row r="583">
      <x:c r="A583" t="str">
        <x:v>JFD-20240813-0340</x:v>
      </x:c>
      <x:c r="B583" s="11" t="n">
        <x:v>45517.635416666664</x:v>
      </x:c>
      <x:c r="C583" s="13" t="n">
        <x:v>0.6354166666666666</x:v>
      </x:c>
      <x:c r="D583" t="str">
        <x:v>Damak</x:v>
      </x:c>
      <x:c r="E583" t="str">
        <x:v>Late Night Cravings</x:v>
      </x:c>
      <x:c r="F583" t="str">
        <x:v>Egg Fry Rice</x:v>
      </x:c>
      <x:c r="G583" t="str">
        <x:v>Food</x:v>
      </x:c>
      <x:c r="H583" t="n">
        <x:v>4</x:v>
      </x:c>
      <x:c r="I583" s="14" t="n">
        <x:v>175</x:v>
      </x:c>
      <x:c r="J583" s="14" t="n">
        <x:v>700</x:v>
      </x:c>
      <x:c r="K583" t="str">
        <x:v>DEMO / SIMULATED</x:v>
      </x:c>
    </x:row>
    <x:row r="584">
      <x:c r="A584" t="str">
        <x:v>JFD-20240813-0340</x:v>
      </x:c>
      <x:c r="B584" s="11" t="n">
        <x:v>45517.43472222222</x:v>
      </x:c>
      <x:c r="C584" s="13" t="n">
        <x:v>0.43472222222222223</x:v>
      </x:c>
      <x:c r="D584" t="str">
        <x:v>Damak</x:v>
      </x:c>
      <x:c r="E584" t="str">
        <x:v>Late Night Cravings</x:v>
      </x:c>
      <x:c r="F584" t="str">
        <x:v>Bottled Water 1L</x:v>
      </x:c>
      <x:c r="G584" t="str">
        <x:v>Drink</x:v>
      </x:c>
      <x:c r="H584" t="n">
        <x:v>4</x:v>
      </x:c>
      <x:c r="I584" s="14" t="n">
        <x:v>35</x:v>
      </x:c>
      <x:c r="J584" s="14" t="n">
        <x:v>140</x:v>
      </x:c>
      <x:c r="K584" t="str">
        <x:v>DEMO / SIMULATED</x:v>
      </x:c>
    </x:row>
    <x:row r="585">
      <x:c r="A585" t="str">
        <x:v>JFD-20240813-0340</x:v>
      </x:c>
      <x:c r="B585" s="11" t="n">
        <x:v>45517.74166666667</x:v>
      </x:c>
      <x:c r="C585" s="13" t="n">
        <x:v>0.7416666666666667</x:v>
      </x:c>
      <x:c r="D585" t="str">
        <x:v>Damak</x:v>
      </x:c>
      <x:c r="E585" t="str">
        <x:v>Late Night Cravings</x:v>
      </x:c>
      <x:c r="F585" t="str">
        <x:v>Chicken Fry Rice</x:v>
      </x:c>
      <x:c r="G585" t="str">
        <x:v>Food</x:v>
      </x:c>
      <x:c r="H585" t="n">
        <x:v>3</x:v>
      </x:c>
      <x:c r="I585" s="14" t="n">
        <x:v>195</x:v>
      </x:c>
      <x:c r="J585" s="14" t="n">
        <x:v>585</x:v>
      </x:c>
      <x:c r="K585" t="str">
        <x:v>DEMO / SIMULATED</x:v>
      </x:c>
    </x:row>
    <x:row r="586">
      <x:c r="A586" t="str">
        <x:v>JFD-20230819-0341</x:v>
      </x:c>
      <x:c r="B586" s="11" t="n">
        <x:v>45157.597916666666</x:v>
      </x:c>
      <x:c r="C586" s="13" t="n">
        <x:v>0.5979166666666667</x:v>
      </x:c>
      <x:c r="D586" t="str">
        <x:v>Birtamode</x:v>
      </x:c>
      <x:c r="E586" t="str">
        <x:v>Pizza Ghar</x:v>
      </x:c>
      <x:c r="F586" t="str">
        <x:v>Coca-Cola 500ml</x:v>
      </x:c>
      <x:c r="G586" t="str">
        <x:v>Drink</x:v>
      </x:c>
      <x:c r="H586" t="n">
        <x:v>4</x:v>
      </x:c>
      <x:c r="I586" s="14" t="n">
        <x:v>80</x:v>
      </x:c>
      <x:c r="J586" s="14" t="n">
        <x:v>320</x:v>
      </x:c>
      <x:c r="K586" t="str">
        <x:v>DEMO / SIMULATED</x:v>
      </x:c>
    </x:row>
    <x:row r="587">
      <x:c r="A587" t="str">
        <x:v>JFD-20230819-0341</x:v>
      </x:c>
      <x:c r="B587" s="11" t="n">
        <x:v>45157.572222222225</x:v>
      </x:c>
      <x:c r="C587" s="13" t="n">
        <x:v>0.5722222222222222</x:v>
      </x:c>
      <x:c r="D587" t="str">
        <x:v>Birtamode</x:v>
      </x:c>
      <x:c r="E587" t="str">
        <x:v>Pizza Ghar</x:v>
      </x:c>
      <x:c r="F587" t="str">
        <x:v>Bottled Water 1L</x:v>
      </x:c>
      <x:c r="G587" t="str">
        <x:v>Drink</x:v>
      </x:c>
      <x:c r="H587" t="n">
        <x:v>3</x:v>
      </x:c>
      <x:c r="I587" s="14" t="n">
        <x:v>35</x:v>
      </x:c>
      <x:c r="J587" s="14" t="n">
        <x:v>105</x:v>
      </x:c>
      <x:c r="K587" t="str">
        <x:v>DEMO / SIMULATED</x:v>
      </x:c>
    </x:row>
    <x:row r="588">
      <x:c r="A588" t="str">
        <x:v>JFD-20240501-0342</x:v>
      </x:c>
      <x:c r="B588" s="11" t="n">
        <x:v>45413.68402777778</x:v>
      </x:c>
      <x:c r="C588" s="13" t="n">
        <x:v>0.6840277777777778</x:v>
      </x:c>
      <x:c r="D588" t="str">
        <x:v>Damak</x:v>
      </x:c>
      <x:c r="E588" t="str">
        <x:v>Late Night Cravings</x:v>
      </x:c>
      <x:c r="F588" t="str">
        <x:v>Egg Fry Rice</x:v>
      </x:c>
      <x:c r="G588" t="str">
        <x:v>Food</x:v>
      </x:c>
      <x:c r="H588" t="n">
        <x:v>4</x:v>
      </x:c>
      <x:c r="I588" s="14" t="n">
        <x:v>175</x:v>
      </x:c>
      <x:c r="J588" s="14" t="n">
        <x:v>700</x:v>
      </x:c>
      <x:c r="K588" t="str">
        <x:v>DEMO / SIMULATED</x:v>
      </x:c>
    </x:row>
    <x:row r="589">
      <x:c r="A589" t="str">
        <x:v>JFD-20231202-0343</x:v>
      </x:c>
      <x:c r="B589" s="11" t="n">
        <x:v>45262.50069444445</x:v>
      </x:c>
      <x:c r="C589" s="13" t="n">
        <x:v>0.5006944444444444</x:v>
      </x:c>
      <x:c r="D589" t="str">
        <x:v>Damak</x:v>
      </x:c>
      <x:c r="E589" t="str">
        <x:v>Milan’s Bakery</x:v>
      </x:c>
      <x:c r="F589" t="str">
        <x:v>Bottled Water 1L</x:v>
      </x:c>
      <x:c r="G589" t="str">
        <x:v>Drink</x:v>
      </x:c>
      <x:c r="H589" t="n">
        <x:v>1</x:v>
      </x:c>
      <x:c r="I589" s="14" t="n">
        <x:v>35</x:v>
      </x:c>
      <x:c r="J589" s="14" t="n">
        <x:v>35</x:v>
      </x:c>
      <x:c r="K589" t="str">
        <x:v>DEMO / SIMULATED</x:v>
      </x:c>
    </x:row>
    <x:row r="590">
      <x:c r="A590" t="str">
        <x:v>JFD-20231202-0343</x:v>
      </x:c>
      <x:c r="B590" s="11" t="n">
        <x:v>45262.89027777778</x:v>
      </x:c>
      <x:c r="C590" s="13" t="n">
        <x:v>0.8902777777777777</x:v>
      </x:c>
      <x:c r="D590" t="str">
        <x:v>Damak</x:v>
      </x:c>
      <x:c r="E590" t="str">
        <x:v>Milan’s Bakery</x:v>
      </x:c>
      <x:c r="F590" t="str">
        <x:v>Vanilla Cake</x:v>
      </x:c>
      <x:c r="G590" t="str">
        <x:v>Food</x:v>
      </x:c>
      <x:c r="H590" t="n">
        <x:v>4</x:v>
      </x:c>
      <x:c r="I590" s="14" t="n">
        <x:v>245</x:v>
      </x:c>
      <x:c r="J590" s="14" t="n">
        <x:v>980</x:v>
      </x:c>
      <x:c r="K590" t="str">
        <x:v>DEMO / SIMULATED</x:v>
      </x:c>
    </x:row>
    <x:row r="591">
      <x:c r="A591" t="str">
        <x:v>JFD-20260322-0344</x:v>
      </x:c>
      <x:c r="B591" s="11" t="n">
        <x:v>46103.45416666667</x:v>
      </x:c>
      <x:c r="C591" s="13" t="n">
        <x:v>0.45416666666666666</x:v>
      </x:c>
      <x:c r="D591" t="str">
        <x:v>Birtamode</x:v>
      </x:c>
      <x:c r="E591" t="str">
        <x:v>The Underground Cafe &amp; Restaurant</x:v>
      </x:c>
      <x:c r="F591" t="str">
        <x:v>Bottled Water 1L</x:v>
      </x:c>
      <x:c r="G591" t="str">
        <x:v>Drink</x:v>
      </x:c>
      <x:c r="H591" t="n">
        <x:v>2</x:v>
      </x:c>
      <x:c r="I591" s="14" t="n">
        <x:v>40</x:v>
      </x:c>
      <x:c r="J591" s="14" t="n">
        <x:v>80</x:v>
      </x:c>
      <x:c r="K591" t="str">
        <x:v>DEMO / SIMULATED</x:v>
      </x:c>
    </x:row>
    <x:row r="592">
      <x:c r="A592" t="str">
        <x:v>JFD-20260322-0344</x:v>
      </x:c>
      <x:c r="B592" s="11" t="n">
        <x:v>46103.76666666667</x:v>
      </x:c>
      <x:c r="C592" s="13" t="n">
        <x:v>0.7666666666666667</x:v>
      </x:c>
      <x:c r="D592" t="str">
        <x:v>Birtamode</x:v>
      </x:c>
      <x:c r="E592" t="str">
        <x:v>The Underground Cafe &amp; Restaurant</x:v>
      </x:c>
      <x:c r="F592" t="str">
        <x:v>Coca-Cola 500ml</x:v>
      </x:c>
      <x:c r="G592" t="str">
        <x:v>Drink</x:v>
      </x:c>
      <x:c r="H592" t="n">
        <x:v>4</x:v>
      </x:c>
      <x:c r="I592" s="14" t="n">
        <x:v>100</x:v>
      </x:c>
      <x:c r="J592" s="14" t="n">
        <x:v>400</x:v>
      </x:c>
      <x:c r="K592" t="str">
        <x:v>DEMO / SIMULATED</x:v>
      </x:c>
    </x:row>
    <x:row r="593">
      <x:c r="A593" t="str">
        <x:v>JFD-20260322-0344</x:v>
      </x:c>
      <x:c r="B593" s="11" t="n">
        <x:v>46103.52361111111</x:v>
      </x:c>
      <x:c r="C593" s="13" t="n">
        <x:v>0.5236111111111111</x:v>
      </x:c>
      <x:c r="D593" t="str">
        <x:v>Birtamode</x:v>
      </x:c>
      <x:c r="E593" t="str">
        <x:v>The Underground Cafe &amp; Restaurant</x:v>
      </x:c>
      <x:c r="F593" t="str">
        <x:v>Paneer Pakauda</x:v>
      </x:c>
      <x:c r="G593" t="str">
        <x:v>Food</x:v>
      </x:c>
      <x:c r="H593" t="n">
        <x:v>2</x:v>
      </x:c>
      <x:c r="I593" s="14" t="n">
        <x:v>225</x:v>
      </x:c>
      <x:c r="J593" s="14" t="n">
        <x:v>450</x:v>
      </x:c>
      <x:c r="K593" t="str">
        <x:v>DEMO / SIMULATED</x:v>
      </x:c>
    </x:row>
    <x:row r="594">
      <x:c r="A594" t="str">
        <x:v>JFD-20241024-0345</x:v>
      </x:c>
      <x:c r="B594" s="11" t="n">
        <x:v>45589.430555555555</x:v>
      </x:c>
      <x:c r="C594" s="13" t="n">
        <x:v>0.4305555555555556</x:v>
      </x:c>
      <x:c r="D594" t="str">
        <x:v>Damak</x:v>
      </x:c>
      <x:c r="E594" t="str">
        <x:v>Late Night Cravings</x:v>
      </x:c>
      <x:c r="F594" t="str">
        <x:v>Egg Fry Rice</x:v>
      </x:c>
      <x:c r="G594" t="str">
        <x:v>Food</x:v>
      </x:c>
      <x:c r="H594" t="n">
        <x:v>1</x:v>
      </x:c>
      <x:c r="I594" s="14" t="n">
        <x:v>175</x:v>
      </x:c>
      <x:c r="J594" s="14" t="n">
        <x:v>175</x:v>
      </x:c>
      <x:c r="K594" t="str">
        <x:v>DEMO / SIMULATED</x:v>
      </x:c>
    </x:row>
    <x:row r="595">
      <x:c r="A595" t="str">
        <x:v>JFD-20230404-0346</x:v>
      </x:c>
      <x:c r="B595" s="11" t="n">
        <x:v>45020.62013888889</x:v>
      </x:c>
      <x:c r="C595" s="13" t="n">
        <x:v>0.6201388888888889</x:v>
      </x:c>
      <x:c r="D595" t="str">
        <x:v>Birtamode</x:v>
      </x:c>
      <x:c r="E595" t="str">
        <x:v>The Underground Cafe &amp; Restaurant</x:v>
      </x:c>
      <x:c r="F595" t="str">
        <x:v>Bottled Water 1L</x:v>
      </x:c>
      <x:c r="G595" t="str">
        <x:v>Drink</x:v>
      </x:c>
      <x:c r="H595" t="n">
        <x:v>2</x:v>
      </x:c>
      <x:c r="I595" s="14" t="n">
        <x:v>35</x:v>
      </x:c>
      <x:c r="J595" s="14" t="n">
        <x:v>70</x:v>
      </x:c>
      <x:c r="K595" t="str">
        <x:v>DEMO / SIMULATED</x:v>
      </x:c>
    </x:row>
    <x:row r="596">
      <x:c r="A596" t="str">
        <x:v>JFD-20240329-0347</x:v>
      </x:c>
      <x:c r="B596" s="11" t="n">
        <x:v>45380.90555555555</x:v>
      </x:c>
      <x:c r="C596" s="13" t="n">
        <x:v>0.9055555555555556</x:v>
      </x:c>
      <x:c r="D596" t="str">
        <x:v>Damak</x:v>
      </x:c>
      <x:c r="E596" t="str">
        <x:v>Late Night Cravings</x:v>
      </x:c>
      <x:c r="F596" t="str">
        <x:v>Coca-Cola 500ml</x:v>
      </x:c>
      <x:c r="G596" t="str">
        <x:v>Drink</x:v>
      </x:c>
      <x:c r="H596" t="n">
        <x:v>1</x:v>
      </x:c>
      <x:c r="I596" s="14" t="n">
        <x:v>90</x:v>
      </x:c>
      <x:c r="J596" s="14" t="n">
        <x:v>90</x:v>
      </x:c>
      <x:c r="K596" t="str">
        <x:v>DEMO / SIMULATED</x:v>
      </x:c>
    </x:row>
    <x:row r="597">
      <x:c r="A597" t="str">
        <x:v>JFD-20240329-0347</x:v>
      </x:c>
      <x:c r="B597" s="11" t="n">
        <x:v>45380.81180555555</x:v>
      </x:c>
      <x:c r="C597" s="13" t="n">
        <x:v>0.8118055555555556</x:v>
      </x:c>
      <x:c r="D597" t="str">
        <x:v>Damak</x:v>
      </x:c>
      <x:c r="E597" t="str">
        <x:v>Late Night Cravings</x:v>
      </x:c>
      <x:c r="F597" t="str">
        <x:v>Bottled Water 1L</x:v>
      </x:c>
      <x:c r="G597" t="str">
        <x:v>Drink</x:v>
      </x:c>
      <x:c r="H597" t="n">
        <x:v>2</x:v>
      </x:c>
      <x:c r="I597" s="14" t="n">
        <x:v>35</x:v>
      </x:c>
      <x:c r="J597" s="14" t="n">
        <x:v>70</x:v>
      </x:c>
      <x:c r="K597" t="str">
        <x:v>DEMO / SIMULATED</x:v>
      </x:c>
    </x:row>
    <x:row r="598">
      <x:c r="A598" t="str">
        <x:v>JFD-20230708-0348</x:v>
      </x:c>
      <x:c r="B598" s="11" t="n">
        <x:v>45115.475694444445</x:v>
      </x:c>
      <x:c r="C598" s="13" t="n">
        <x:v>0.4756944444444444</x:v>
      </x:c>
      <x:c r="D598" t="str">
        <x:v>Damak</x:v>
      </x:c>
      <x:c r="E598" t="str">
        <x:v>Late Night Cravings</x:v>
      </x:c>
      <x:c r="F598" t="str">
        <x:v>Egg Fry Rice</x:v>
      </x:c>
      <x:c r="G598" t="str">
        <x:v>Food</x:v>
      </x:c>
      <x:c r="H598" t="n">
        <x:v>4</x:v>
      </x:c>
      <x:c r="I598" s="14" t="n">
        <x:v>165</x:v>
      </x:c>
      <x:c r="J598" s="14" t="n">
        <x:v>660</x:v>
      </x:c>
      <x:c r="K598" t="str">
        <x:v>DEMO / SIMULATED</x:v>
      </x:c>
    </x:row>
    <x:row r="599">
      <x:c r="A599" t="str">
        <x:v>JFD-20240617-0349</x:v>
      </x:c>
      <x:c r="B599" s="11" t="n">
        <x:v>45460.91111111111</x:v>
      </x:c>
      <x:c r="C599" s="13" t="n">
        <x:v>0.9111111111111111</x:v>
      </x:c>
      <x:c r="D599" t="str">
        <x:v>Damak</x:v>
      </x:c>
      <x:c r="E599" t="str">
        <x:v>Late Night Cravings</x:v>
      </x:c>
      <x:c r="F599" t="str">
        <x:v>Coca-Cola 500ml</x:v>
      </x:c>
      <x:c r="G599" t="str">
        <x:v>Drink</x:v>
      </x:c>
      <x:c r="H599" t="n">
        <x:v>3</x:v>
      </x:c>
      <x:c r="I599" s="14" t="n">
        <x:v>90</x:v>
      </x:c>
      <x:c r="J599" s="14" t="n">
        <x:v>270</x:v>
      </x:c>
      <x:c r="K599" t="str">
        <x:v>DEMO / SIMULATED</x:v>
      </x:c>
    </x:row>
    <x:row r="600">
      <x:c r="A600" t="str">
        <x:v>JFD-20240617-0349</x:v>
      </x:c>
      <x:c r="B600" s="11" t="n">
        <x:v>45460.70486111111</x:v>
      </x:c>
      <x:c r="C600" s="13" t="n">
        <x:v>0.7048611111111112</x:v>
      </x:c>
      <x:c r="D600" t="str">
        <x:v>Damak</x:v>
      </x:c>
      <x:c r="E600" t="str">
        <x:v>Late Night Cravings</x:v>
      </x:c>
      <x:c r="F600" t="str">
        <x:v>Bottled Water 1L</x:v>
      </x:c>
      <x:c r="G600" t="str">
        <x:v>Drink</x:v>
      </x:c>
      <x:c r="H600" t="n">
        <x:v>3</x:v>
      </x:c>
      <x:c r="I600" s="14" t="n">
        <x:v>35</x:v>
      </x:c>
      <x:c r="J600" s="14" t="n">
        <x:v>105</x:v>
      </x:c>
      <x:c r="K600" t="str">
        <x:v>DEMO / SIMULATED</x:v>
      </x:c>
    </x:row>
    <x:row r="601">
      <x:c r="A601" t="str">
        <x:v>JFD-20260822-0350</x:v>
      </x:c>
      <x:c r="B601" s="11" t="n">
        <x:v>46256.72430555556</x:v>
      </x:c>
      <x:c r="C601" s="13" t="n">
        <x:v>0.7243055555555555</x:v>
      </x:c>
      <x:c r="D601" t="str">
        <x:v>Birtamode</x:v>
      </x:c>
      <x:c r="E601" t="str">
        <x:v>The Underground Cafe &amp; Restaurant</x:v>
      </x:c>
      <x:c r="F601" t="str">
        <x:v>Coca-Cola 500ml</x:v>
      </x:c>
      <x:c r="G601" t="str">
        <x:v>Drink</x:v>
      </x:c>
      <x:c r="H601" t="n">
        <x:v>1</x:v>
      </x:c>
      <x:c r="I601" s="14" t="n">
        <x:v>100</x:v>
      </x:c>
      <x:c r="J601" s="14" t="n">
        <x:v>100</x:v>
      </x:c>
      <x:c r="K601" t="str">
        <x:v>DEMO / SIMULATED</x:v>
      </x:c>
    </x:row>
    <x:row r="602">
      <x:c r="A602" t="str">
        <x:v>JFD-20260822-0350</x:v>
      </x:c>
      <x:c r="B602" s="11" t="n">
        <x:v>46256.58125</x:v>
      </x:c>
      <x:c r="C602" s="13" t="n">
        <x:v>0.58125</x:v>
      </x:c>
      <x:c r="D602" t="str">
        <x:v>Birtamode</x:v>
      </x:c>
      <x:c r="E602" t="str">
        <x:v>The Underground Cafe &amp; Restaurant</x:v>
      </x:c>
      <x:c r="F602" t="str">
        <x:v>Bottled Water 1L</x:v>
      </x:c>
      <x:c r="G602" t="str">
        <x:v>Drink</x:v>
      </x:c>
      <x:c r="H602" t="n">
        <x:v>1</x:v>
      </x:c>
      <x:c r="I602" s="14" t="n">
        <x:v>40</x:v>
      </x:c>
      <x:c r="J602" s="14" t="n">
        <x:v>40</x:v>
      </x:c>
      <x:c r="K602" t="str">
        <x:v>DEMO / SIMULATED</x:v>
      </x:c>
    </x:row>
    <x:row r="603">
      <x:c r="A603" t="str">
        <x:v>JFD-20260822-0350</x:v>
      </x:c>
      <x:c r="B603" s="11" t="n">
        <x:v>46256.915972222225</x:v>
      </x:c>
      <x:c r="C603" s="13" t="n">
        <x:v>0.9159722222222222</x:v>
      </x:c>
      <x:c r="D603" t="str">
        <x:v>Birtamode</x:v>
      </x:c>
      <x:c r="E603" t="str">
        <x:v>The Underground Cafe &amp; Restaurant</x:v>
      </x:c>
      <x:c r="F603" t="str">
        <x:v>Paneer Pakauda</x:v>
      </x:c>
      <x:c r="G603" t="str">
        <x:v>Food</x:v>
      </x:c>
      <x:c r="H603" t="n">
        <x:v>2</x:v>
      </x:c>
      <x:c r="I603" s="14" t="n">
        <x:v>225</x:v>
      </x:c>
      <x:c r="J603" s="14" t="n">
        <x:v>450</x:v>
      </x:c>
      <x:c r="K603" t="str">
        <x:v>DEMO / SIMULATED</x:v>
      </x:c>
    </x:row>
    <x:row r="604">
      <x:c r="A604" t="str">
        <x:v>JFD-20250412-0351</x:v>
      </x:c>
      <x:c r="B604" s="11" t="n">
        <x:v>45759.739583333336</x:v>
      </x:c>
      <x:c r="C604" s="13" t="n">
        <x:v>0.7395833333333334</x:v>
      </x:c>
      <x:c r="D604" t="str">
        <x:v>Damak</x:v>
      </x:c>
      <x:c r="E604" t="str">
        <x:v>Late Night Cravings</x:v>
      </x:c>
      <x:c r="F604" t="str">
        <x:v>Veg Fry Rice</x:v>
      </x:c>
      <x:c r="G604" t="str">
        <x:v>Food</x:v>
      </x:c>
      <x:c r="H604" t="n">
        <x:v>1</x:v>
      </x:c>
      <x:c r="I604" s="14" t="n">
        <x:v>150</x:v>
      </x:c>
      <x:c r="J604" s="14" t="n">
        <x:v>150</x:v>
      </x:c>
      <x:c r="K604" t="str">
        <x:v>DEMO / SIMULATED</x:v>
      </x:c>
    </x:row>
    <x:row r="605">
      <x:c r="A605" t="str">
        <x:v>JFD-20240522-0352</x:v>
      </x:c>
      <x:c r="B605" s="11" t="n">
        <x:v>45434.52847222222</x:v>
      </x:c>
      <x:c r="C605" s="13" t="n">
        <x:v>0.5284722222222222</x:v>
      </x:c>
      <x:c r="D605" t="str">
        <x:v>Birtamode</x:v>
      </x:c>
      <x:c r="E605" t="str">
        <x:v>Pizza Ghar</x:v>
      </x:c>
      <x:c r="F605" t="str">
        <x:v>Coca-Cola 500ml</x:v>
      </x:c>
      <x:c r="G605" t="str">
        <x:v>Drink</x:v>
      </x:c>
      <x:c r="H605" t="n">
        <x:v>2</x:v>
      </x:c>
      <x:c r="I605" s="14" t="n">
        <x:v>90</x:v>
      </x:c>
      <x:c r="J605" s="14" t="n">
        <x:v>180</x:v>
      </x:c>
      <x:c r="K605" t="str">
        <x:v>DEMO / SIMULATED</x:v>
      </x:c>
    </x:row>
    <x:row r="606">
      <x:c r="A606" t="str">
        <x:v>JFD-20250727-0353</x:v>
      </x:c>
      <x:c r="B606" s="11" t="n">
        <x:v>45865.631944444445</x:v>
      </x:c>
      <x:c r="C606" s="13" t="n">
        <x:v>0.6319444444444444</x:v>
      </x:c>
      <x:c r="D606" t="str">
        <x:v>Damak</x:v>
      </x:c>
      <x:c r="E606" t="str">
        <x:v>Late Night Cravings</x:v>
      </x:c>
      <x:c r="F606" t="str">
        <x:v>Bottled Water 1L</x:v>
      </x:c>
      <x:c r="G606" t="str">
        <x:v>Drink</x:v>
      </x:c>
      <x:c r="H606" t="n">
        <x:v>4</x:v>
      </x:c>
      <x:c r="I606" s="14" t="n">
        <x:v>40</x:v>
      </x:c>
      <x:c r="J606" s="14" t="n">
        <x:v>160</x:v>
      </x:c>
      <x:c r="K606" t="str">
        <x:v>DEMO / SIMULATED</x:v>
      </x:c>
    </x:row>
    <x:row r="607">
      <x:c r="A607" t="str">
        <x:v>JFD-20250727-0353</x:v>
      </x:c>
      <x:c r="B607" s="11" t="n">
        <x:v>45865.78194444445</x:v>
      </x:c>
      <x:c r="C607" s="13" t="n">
        <x:v>0.7819444444444444</x:v>
      </x:c>
      <x:c r="D607" t="str">
        <x:v>Damak</x:v>
      </x:c>
      <x:c r="E607" t="str">
        <x:v>Late Night Cravings</x:v>
      </x:c>
      <x:c r="F607" t="str">
        <x:v>Mix Fry Rice</x:v>
      </x:c>
      <x:c r="G607" t="str">
        <x:v>Food</x:v>
      </x:c>
      <x:c r="H607" t="n">
        <x:v>2</x:v>
      </x:c>
      <x:c r="I607" s="14" t="n">
        <x:v>265</x:v>
      </x:c>
      <x:c r="J607" s="14" t="n">
        <x:v>530</x:v>
      </x:c>
      <x:c r="K607" t="str">
        <x:v>DEMO / SIMULATED</x:v>
      </x:c>
    </x:row>
    <x:row r="608">
      <x:c r="A608" t="str">
        <x:v>JFD-20260318-0354</x:v>
      </x:c>
      <x:c r="B608" s="11" t="n">
        <x:v>46099.714583333334</x:v>
      </x:c>
      <x:c r="C608" s="13" t="n">
        <x:v>0.7145833333333333</x:v>
      </x:c>
      <x:c r="D608" t="str">
        <x:v>Birtamode</x:v>
      </x:c>
      <x:c r="E608" t="str">
        <x:v>The Underground Cafe &amp; Restaurant</x:v>
      </x:c>
      <x:c r="F608" t="str">
        <x:v>Coca-Cola 500ml</x:v>
      </x:c>
      <x:c r="G608" t="str">
        <x:v>Drink</x:v>
      </x:c>
      <x:c r="H608" t="n">
        <x:v>2</x:v>
      </x:c>
      <x:c r="I608" s="14" t="n">
        <x:v>100</x:v>
      </x:c>
      <x:c r="J608" s="14" t="n">
        <x:v>200</x:v>
      </x:c>
      <x:c r="K608" t="str">
        <x:v>DEMO / SIMULATED</x:v>
      </x:c>
    </x:row>
    <x:row r="609">
      <x:c r="A609" t="str">
        <x:v>JFD-20260318-0354</x:v>
      </x:c>
      <x:c r="B609" s="11" t="n">
        <x:v>46099.72638888889</x:v>
      </x:c>
      <x:c r="C609" s="13" t="n">
        <x:v>0.7263888888888889</x:v>
      </x:c>
      <x:c r="D609" t="str">
        <x:v>Birtamode</x:v>
      </x:c>
      <x:c r="E609" t="str">
        <x:v>The Underground Cafe &amp; Restaurant</x:v>
      </x:c>
      <x:c r="F609" t="str">
        <x:v>Paneer Pakauda</x:v>
      </x:c>
      <x:c r="G609" t="str">
        <x:v>Food</x:v>
      </x:c>
      <x:c r="H609" t="n">
        <x:v>3</x:v>
      </x:c>
      <x:c r="I609" s="14" t="n">
        <x:v>225</x:v>
      </x:c>
      <x:c r="J609" s="14" t="n">
        <x:v>675</x:v>
      </x:c>
      <x:c r="K609" t="str">
        <x:v>DEMO / SIMULATED</x:v>
      </x:c>
    </x:row>
    <x:row r="610">
      <x:c r="A610" t="str">
        <x:v>JFD-20260303-0355</x:v>
      </x:c>
      <x:c r="B610" s="11" t="n">
        <x:v>46084.60486111111</x:v>
      </x:c>
      <x:c r="C610" s="13" t="n">
        <x:v>0.6048611111111111</x:v>
      </x:c>
      <x:c r="D610" t="str">
        <x:v>Birtamode</x:v>
      </x:c>
      <x:c r="E610" t="str">
        <x:v>The Underground Cafe &amp; Restaurant</x:v>
      </x:c>
      <x:c r="F610" t="str">
        <x:v>Bottled Water 1L</x:v>
      </x:c>
      <x:c r="G610" t="str">
        <x:v>Drink</x:v>
      </x:c>
      <x:c r="H610" t="n">
        <x:v>3</x:v>
      </x:c>
      <x:c r="I610" s="14" t="n">
        <x:v>40</x:v>
      </x:c>
      <x:c r="J610" s="14" t="n">
        <x:v>120</x:v>
      </x:c>
      <x:c r="K610" t="str">
        <x:v>DEMO / SIMULATED</x:v>
      </x:c>
    </x:row>
    <x:row r="611">
      <x:c r="A611" t="str">
        <x:v>JFD-20230120-0356</x:v>
      </x:c>
      <x:c r="B611" s="11" t="n">
        <x:v>44946.430555555555</x:v>
      </x:c>
      <x:c r="C611" s="13" t="n">
        <x:v>0.4305555555555556</x:v>
      </x:c>
      <x:c r="D611" t="str">
        <x:v>Damak</x:v>
      </x:c>
      <x:c r="E611" t="str">
        <x:v>Milan’s Bakery</x:v>
      </x:c>
      <x:c r="F611" t="str">
        <x:v>Vanilla Cake</x:v>
      </x:c>
      <x:c r="G611" t="str">
        <x:v>Food</x:v>
      </x:c>
      <x:c r="H611" t="n">
        <x:v>4</x:v>
      </x:c>
      <x:c r="I611" s="14" t="n">
        <x:v>245</x:v>
      </x:c>
      <x:c r="J611" s="14" t="n">
        <x:v>980</x:v>
      </x:c>
      <x:c r="K611" t="str">
        <x:v>DEMO / SIMULATED</x:v>
      </x:c>
    </x:row>
    <x:row r="612">
      <x:c r="A612" t="str">
        <x:v>JFD-20230120-0356</x:v>
      </x:c>
      <x:c r="B612" s="11" t="n">
        <x:v>44946.884722222225</x:v>
      </x:c>
      <x:c r="C612" s="13" t="n">
        <x:v>0.8847222222222222</x:v>
      </x:c>
      <x:c r="D612" t="str">
        <x:v>Damak</x:v>
      </x:c>
      <x:c r="E612" t="str">
        <x:v>Milan’s Bakery</x:v>
      </x:c>
      <x:c r="F612" t="str">
        <x:v>Chocolate Cake</x:v>
      </x:c>
      <x:c r="G612" t="str">
        <x:v>Food</x:v>
      </x:c>
      <x:c r="H612" t="n">
        <x:v>2</x:v>
      </x:c>
      <x:c r="I612" s="14" t="n">
        <x:v>285</x:v>
      </x:c>
      <x:c r="J612" s="14" t="n">
        <x:v>570</x:v>
      </x:c>
      <x:c r="K612" t="str">
        <x:v>DEMO / SIMULATED</x:v>
      </x:c>
    </x:row>
    <x:row r="613">
      <x:c r="A613" t="str">
        <x:v>JFD-20230120-0356</x:v>
      </x:c>
      <x:c r="B613" s="11" t="n">
        <x:v>44946.83263888889</x:v>
      </x:c>
      <x:c r="C613" s="13" t="n">
        <x:v>0.8326388888888889</x:v>
      </x:c>
      <x:c r="D613" t="str">
        <x:v>Damak</x:v>
      </x:c>
      <x:c r="E613" t="str">
        <x:v>Milan’s Bakery</x:v>
      </x:c>
      <x:c r="F613" t="str">
        <x:v>Black Forest Cake</x:v>
      </x:c>
      <x:c r="G613" t="str">
        <x:v>Food</x:v>
      </x:c>
      <x:c r="H613" t="n">
        <x:v>1</x:v>
      </x:c>
      <x:c r="I613" s="14" t="n">
        <x:v>245</x:v>
      </x:c>
      <x:c r="J613" s="14" t="n">
        <x:v>245</x:v>
      </x:c>
      <x:c r="K613" t="str">
        <x:v>DEMO / SIMULATED</x:v>
      </x:c>
    </x:row>
    <x:row r="614">
      <x:c r="A614" t="str">
        <x:v>JFD-20250119-0357</x:v>
      </x:c>
      <x:c r="B614" s="11" t="n">
        <x:v>45676.50486111111</x:v>
      </x:c>
      <x:c r="C614" s="13" t="n">
        <x:v>0.5048611111111111</x:v>
      </x:c>
      <x:c r="D614" t="str">
        <x:v>Birtamode</x:v>
      </x:c>
      <x:c r="E614" t="str">
        <x:v>Pizza Ghar</x:v>
      </x:c>
      <x:c r="F614" t="str">
        <x:v>Bottled Water 1L</x:v>
      </x:c>
      <x:c r="G614" t="str">
        <x:v>Drink</x:v>
      </x:c>
      <x:c r="H614" t="n">
        <x:v>3</x:v>
      </x:c>
      <x:c r="I614" s="14" t="n">
        <x:v>40</x:v>
      </x:c>
      <x:c r="J614" s="14" t="n">
        <x:v>120</x:v>
      </x:c>
      <x:c r="K614" t="str">
        <x:v>DEMO / SIMULATED</x:v>
      </x:c>
    </x:row>
    <x:row r="615">
      <x:c r="A615" t="str">
        <x:v>JFD-20250119-0357</x:v>
      </x:c>
      <x:c r="B615" s="11" t="n">
        <x:v>45676.427777777775</x:v>
      </x:c>
      <x:c r="C615" s="13" t="n">
        <x:v>0.42777777777777776</x:v>
      </x:c>
      <x:c r="D615" t="str">
        <x:v>Birtamode</x:v>
      </x:c>
      <x:c r="E615" t="str">
        <x:v>Pizza Ghar</x:v>
      </x:c>
      <x:c r="F615" t="str">
        <x:v>Veg Fried Rice</x:v>
      </x:c>
      <x:c r="G615" t="str">
        <x:v>Food</x:v>
      </x:c>
      <x:c r="H615" t="n">
        <x:v>2</x:v>
      </x:c>
      <x:c r="I615" s="14" t="n">
        <x:v>205</x:v>
      </x:c>
      <x:c r="J615" s="14" t="n">
        <x:v>410</x:v>
      </x:c>
      <x:c r="K615" t="str">
        <x:v>DEMO / SIMULATED</x:v>
      </x:c>
    </x:row>
    <x:row r="616">
      <x:c r="A616" t="str">
        <x:v>JFD-20240303-0358</x:v>
      </x:c>
      <x:c r="B616" s="11" t="n">
        <x:v>45354.66458333333</x:v>
      </x:c>
      <x:c r="C616" s="13" t="n">
        <x:v>0.6645833333333333</x:v>
      </x:c>
      <x:c r="D616" t="str">
        <x:v>Birtamode</x:v>
      </x:c>
      <x:c r="E616" t="str">
        <x:v>The Underground Cafe &amp; Restaurant</x:v>
      </x:c>
      <x:c r="F616" t="str">
        <x:v>Bottled Water 1L</x:v>
      </x:c>
      <x:c r="G616" t="str">
        <x:v>Drink</x:v>
      </x:c>
      <x:c r="H616" t="n">
        <x:v>4</x:v>
      </x:c>
      <x:c r="I616" s="14" t="n">
        <x:v>35</x:v>
      </x:c>
      <x:c r="J616" s="14" t="n">
        <x:v>140</x:v>
      </x:c>
      <x:c r="K616" t="str">
        <x:v>DEMO / SIMULATED</x:v>
      </x:c>
    </x:row>
    <x:row r="617">
      <x:c r="A617" t="str">
        <x:v>JFD-20250422-0359</x:v>
      </x:c>
      <x:c r="B617" s="11" t="n">
        <x:v>45769.436111111114</x:v>
      </x:c>
      <x:c r="C617" s="13" t="n">
        <x:v>0.4361111111111111</x:v>
      </x:c>
      <x:c r="D617" t="str">
        <x:v>Birtamode</x:v>
      </x:c>
      <x:c r="E617" t="str">
        <x:v>The Underground Cafe &amp; Restaurant</x:v>
      </x:c>
      <x:c r="F617" t="str">
        <x:v>Bottled Water 1L</x:v>
      </x:c>
      <x:c r="G617" t="str">
        <x:v>Drink</x:v>
      </x:c>
      <x:c r="H617" t="n">
        <x:v>4</x:v>
      </x:c>
      <x:c r="I617" s="14" t="n">
        <x:v>40</x:v>
      </x:c>
      <x:c r="J617" s="14" t="n">
        <x:v>160</x:v>
      </x:c>
      <x:c r="K617" t="str">
        <x:v>DEMO / SIMULATED</x:v>
      </x:c>
    </x:row>
    <x:row r="618">
      <x:c r="A618" t="str">
        <x:v>JFD-20250321-0360</x:v>
      </x:c>
      <x:c r="B618" s="11" t="n">
        <x:v>45737.67083333333</x:v>
      </x:c>
      <x:c r="C618" s="13" t="n">
        <x:v>0.6708333333333333</x:v>
      </x:c>
      <x:c r="D618" t="str">
        <x:v>Birtamode</x:v>
      </x:c>
      <x:c r="E618" t="str">
        <x:v>Pizza Ghar</x:v>
      </x:c>
      <x:c r="F618" t="str">
        <x:v>Chicken Fried Rice</x:v>
      </x:c>
      <x:c r="G618" t="str">
        <x:v>Food</x:v>
      </x:c>
      <x:c r="H618" t="n">
        <x:v>1</x:v>
      </x:c>
      <x:c r="I618" s="14" t="n">
        <x:v>280</x:v>
      </x:c>
      <x:c r="J618" s="14" t="n">
        <x:v>280</x:v>
      </x:c>
      <x:c r="K618" t="str">
        <x:v>DEMO / SIMULATED</x:v>
      </x:c>
    </x:row>
    <x:row r="619">
      <x:c r="A619" t="str">
        <x:v>JFD-20250321-0360</x:v>
      </x:c>
      <x:c r="B619" s="11" t="n">
        <x:v>45737.56805555556</x:v>
      </x:c>
      <x:c r="C619" s="13" t="n">
        <x:v>0.5680555555555555</x:v>
      </x:c>
      <x:c r="D619" t="str">
        <x:v>Birtamode</x:v>
      </x:c>
      <x:c r="E619" t="str">
        <x:v>Pizza Ghar</x:v>
      </x:c>
      <x:c r="F619" t="str">
        <x:v>Veg Fried Rice</x:v>
      </x:c>
      <x:c r="G619" t="str">
        <x:v>Food</x:v>
      </x:c>
      <x:c r="H619" t="n">
        <x:v>2</x:v>
      </x:c>
      <x:c r="I619" s="14" t="n">
        <x:v>205</x:v>
      </x:c>
      <x:c r="J619" s="14" t="n">
        <x:v>410</x:v>
      </x:c>
      <x:c r="K619" t="str">
        <x:v>DEMO / SIMULATED</x:v>
      </x:c>
    </x:row>
    <x:row r="620">
      <x:c r="A620" t="str">
        <x:v>JFD-20231203-0361</x:v>
      </x:c>
      <x:c r="B620" s="11" t="n">
        <x:v>45263.79375</x:v>
      </x:c>
      <x:c r="C620" s="13" t="n">
        <x:v>0.79375</x:v>
      </x:c>
      <x:c r="D620" t="str">
        <x:v>Damak</x:v>
      </x:c>
      <x:c r="E620" t="str">
        <x:v>Milan’s Bakery</x:v>
      </x:c>
      <x:c r="F620" t="str">
        <x:v>Vanilla Cake</x:v>
      </x:c>
      <x:c r="G620" t="str">
        <x:v>Food</x:v>
      </x:c>
      <x:c r="H620" t="n">
        <x:v>3</x:v>
      </x:c>
      <x:c r="I620" s="14" t="n">
        <x:v>245</x:v>
      </x:c>
      <x:c r="J620" s="14" t="n">
        <x:v>735</x:v>
      </x:c>
      <x:c r="K620" t="str">
        <x:v>DEMO / SIMULATED</x:v>
      </x:c>
    </x:row>
    <x:row r="621">
      <x:c r="A621" t="str">
        <x:v>JFD-20231203-0361</x:v>
      </x:c>
      <x:c r="B621" s="11" t="n">
        <x:v>45263.770833333336</x:v>
      </x:c>
      <x:c r="C621" s="13" t="n">
        <x:v>0.7708333333333334</x:v>
      </x:c>
      <x:c r="D621" t="str">
        <x:v>Damak</x:v>
      </x:c>
      <x:c r="E621" t="str">
        <x:v>Milan’s Bakery</x:v>
      </x:c>
      <x:c r="F621" t="str">
        <x:v>Black Forest Cake</x:v>
      </x:c>
      <x:c r="G621" t="str">
        <x:v>Food</x:v>
      </x:c>
      <x:c r="H621" t="n">
        <x:v>2</x:v>
      </x:c>
      <x:c r="I621" s="14" t="n">
        <x:v>245</x:v>
      </x:c>
      <x:c r="J621" s="14" t="n">
        <x:v>490</x:v>
      </x:c>
      <x:c r="K621" t="str">
        <x:v>DEMO / SIMULATED</x:v>
      </x:c>
    </x:row>
    <x:row r="622">
      <x:c r="A622" t="str">
        <x:v>JFD-20230301-0362</x:v>
      </x:c>
      <x:c r="B622" s="11" t="n">
        <x:v>44986.433333333334</x:v>
      </x:c>
      <x:c r="C622" s="13" t="n">
        <x:v>0.43333333333333335</x:v>
      </x:c>
      <x:c r="D622" t="str">
        <x:v>Birtamode</x:v>
      </x:c>
      <x:c r="E622" t="str">
        <x:v>The Underground Cafe &amp; Restaurant</x:v>
      </x:c>
      <x:c r="F622" t="str">
        <x:v>Veg Pakauda</x:v>
      </x:c>
      <x:c r="G622" t="str">
        <x:v>Food</x:v>
      </x:c>
      <x:c r="H622" t="n">
        <x:v>4</x:v>
      </x:c>
      <x:c r="I622" s="14" t="n">
        <x:v>145</x:v>
      </x:c>
      <x:c r="J622" s="14" t="n">
        <x:v>580</x:v>
      </x:c>
      <x:c r="K622" t="str">
        <x:v>DEMO / SIMULATED</x:v>
      </x:c>
    </x:row>
    <x:row r="623">
      <x:c r="A623" t="str">
        <x:v>JFD-20230817-0363</x:v>
      </x:c>
      <x:c r="B623" s="11" t="n">
        <x:v>45155.50555555556</x:v>
      </x:c>
      <x:c r="C623" s="13" t="n">
        <x:v>0.5055555555555555</x:v>
      </x:c>
      <x:c r="D623" t="str">
        <x:v>Birtamode</x:v>
      </x:c>
      <x:c r="E623" t="str">
        <x:v>The Underground Cafe &amp; Restaurant</x:v>
      </x:c>
      <x:c r="F623" t="str">
        <x:v>Veg Pakauda</x:v>
      </x:c>
      <x:c r="G623" t="str">
        <x:v>Food</x:v>
      </x:c>
      <x:c r="H623" t="n">
        <x:v>4</x:v>
      </x:c>
      <x:c r="I623" s="14" t="n">
        <x:v>145</x:v>
      </x:c>
      <x:c r="J623" s="14" t="n">
        <x:v>580</x:v>
      </x:c>
      <x:c r="K623" t="str">
        <x:v>DEMO / SIMULATED</x:v>
      </x:c>
    </x:row>
    <x:row r="624">
      <x:c r="A624" t="str">
        <x:v>JFD-20230817-0363</x:v>
      </x:c>
      <x:c r="B624" s="11" t="n">
        <x:v>45155.59652777778</x:v>
      </x:c>
      <x:c r="C624" s="13" t="n">
        <x:v>0.5965277777777778</x:v>
      </x:c>
      <x:c r="D624" t="str">
        <x:v>Birtamode</x:v>
      </x:c>
      <x:c r="E624" t="str">
        <x:v>The Underground Cafe &amp; Restaurant</x:v>
      </x:c>
      <x:c r="F624" t="str">
        <x:v>Coca-Cola 500ml</x:v>
      </x:c>
      <x:c r="G624" t="str">
        <x:v>Drink</x:v>
      </x:c>
      <x:c r="H624" t="n">
        <x:v>2</x:v>
      </x:c>
      <x:c r="I624" s="14" t="n">
        <x:v>80</x:v>
      </x:c>
      <x:c r="J624" s="14" t="n">
        <x:v>160</x:v>
      </x:c>
      <x:c r="K624" t="str">
        <x:v>DEMO / SIMULATED</x:v>
      </x:c>
    </x:row>
    <x:row r="625">
      <x:c r="A625" t="str">
        <x:v>JFD-20240215-0364</x:v>
      </x:c>
      <x:c r="B625" s="11" t="n">
        <x:v>45337.813888888886</x:v>
      </x:c>
      <x:c r="C625" s="13" t="n">
        <x:v>0.8138888888888889</x:v>
      </x:c>
      <x:c r="D625" t="str">
        <x:v>Birtamode</x:v>
      </x:c>
      <x:c r="E625" t="str">
        <x:v>Pizza Ghar</x:v>
      </x:c>
      <x:c r="F625" t="str">
        <x:v>Egg Fried Rice</x:v>
      </x:c>
      <x:c r="G625" t="str">
        <x:v>Food</x:v>
      </x:c>
      <x:c r="H625" t="n">
        <x:v>3</x:v>
      </x:c>
      <x:c r="I625" s="14" t="n">
        <x:v>240</x:v>
      </x:c>
      <x:c r="J625" s="14" t="n">
        <x:v>720</x:v>
      </x:c>
      <x:c r="K625" t="str">
        <x:v>DEMO / SIMULATED</x:v>
      </x:c>
    </x:row>
    <x:row r="626">
      <x:c r="A626" t="str">
        <x:v>JFD-20240215-0364</x:v>
      </x:c>
      <x:c r="B626" s="11" t="n">
        <x:v>45337.794444444444</x:v>
      </x:c>
      <x:c r="C626" s="13" t="n">
        <x:v>0.7944444444444444</x:v>
      </x:c>
      <x:c r="D626" t="str">
        <x:v>Birtamode</x:v>
      </x:c>
      <x:c r="E626" t="str">
        <x:v>Pizza Ghar</x:v>
      </x:c>
      <x:c r="F626" t="str">
        <x:v>Chicken BBQ Feast Pizza</x:v>
      </x:c>
      <x:c r="G626" t="str">
        <x:v>Food</x:v>
      </x:c>
      <x:c r="H626" t="n">
        <x:v>3</x:v>
      </x:c>
      <x:c r="I626" s="14" t="n">
        <x:v>510</x:v>
      </x:c>
      <x:c r="J626" s="14" t="n">
        <x:v>1530</x:v>
      </x:c>
      <x:c r="K626" t="str">
        <x:v>DEMO / SIMULATED</x:v>
      </x:c>
    </x:row>
    <x:row r="627">
      <x:c r="A627" t="str">
        <x:v>JFD-20250502-0365</x:v>
      </x:c>
      <x:c r="B627" s="11" t="n">
        <x:v>45779.57013888889</x:v>
      </x:c>
      <x:c r="C627" s="13" t="n">
        <x:v>0.5701388888888889</x:v>
      </x:c>
      <x:c r="D627" t="str">
        <x:v>Birtamode</x:v>
      </x:c>
      <x:c r="E627" t="str">
        <x:v>Pizza Ghar</x:v>
      </x:c>
      <x:c r="F627" t="str">
        <x:v>Chicken BBQ Feast Pizza</x:v>
      </x:c>
      <x:c r="G627" t="str">
        <x:v>Food</x:v>
      </x:c>
      <x:c r="H627" t="n">
        <x:v>2</x:v>
      </x:c>
      <x:c r="I627" s="14" t="n">
        <x:v>545</x:v>
      </x:c>
      <x:c r="J627" s="14" t="n">
        <x:v>1090</x:v>
      </x:c>
      <x:c r="K627" t="str">
        <x:v>DEMO / SIMULATED</x:v>
      </x:c>
    </x:row>
    <x:row r="628">
      <x:c r="A628" t="str">
        <x:v>JFD-20250502-0365</x:v>
      </x:c>
      <x:c r="B628" s="11" t="n">
        <x:v>45779.45763888889</x:v>
      </x:c>
      <x:c r="C628" s="13" t="n">
        <x:v>0.4576388888888889</x:v>
      </x:c>
      <x:c r="D628" t="str">
        <x:v>Birtamode</x:v>
      </x:c>
      <x:c r="E628" t="str">
        <x:v>Pizza Ghar</x:v>
      </x:c>
      <x:c r="F628" t="str">
        <x:v>Coca-Cola 500ml</x:v>
      </x:c>
      <x:c r="G628" t="str">
        <x:v>Drink</x:v>
      </x:c>
      <x:c r="H628" t="n">
        <x:v>3</x:v>
      </x:c>
      <x:c r="I628" s="14" t="n">
        <x:v>95</x:v>
      </x:c>
      <x:c r="J628" s="14" t="n">
        <x:v>285</x:v>
      </x:c>
      <x:c r="K628" t="str">
        <x:v>DEMO / SIMULATED</x:v>
      </x:c>
    </x:row>
    <x:row r="629">
      <x:c r="A629" t="str">
        <x:v>JFD-20260225-0366</x:v>
      </x:c>
      <x:c r="B629" s="11" t="n">
        <x:v>46078.775</x:v>
      </x:c>
      <x:c r="C629" s="13" t="n">
        <x:v>0.775</x:v>
      </x:c>
      <x:c r="D629" t="str">
        <x:v>Damak</x:v>
      </x:c>
      <x:c r="E629" t="str">
        <x:v>Milan’s Bakery</x:v>
      </x:c>
      <x:c r="F629" t="str">
        <x:v>Bottled Water 1L</x:v>
      </x:c>
      <x:c r="G629" t="str">
        <x:v>Drink</x:v>
      </x:c>
      <x:c r="H629" t="n">
        <x:v>3</x:v>
      </x:c>
      <x:c r="I629" s="14" t="n">
        <x:v>40</x:v>
      </x:c>
      <x:c r="J629" s="14" t="n">
        <x:v>120</x:v>
      </x:c>
      <x:c r="K629" t="str">
        <x:v>DEMO / SIMULATED</x:v>
      </x:c>
    </x:row>
    <x:row r="630">
      <x:c r="A630" t="str">
        <x:v>JFD-20260225-0366</x:v>
      </x:c>
      <x:c r="B630" s="11" t="n">
        <x:v>46078.58472222222</x:v>
      </x:c>
      <x:c r="C630" s="13" t="n">
        <x:v>0.5847222222222223</x:v>
      </x:c>
      <x:c r="D630" t="str">
        <x:v>Damak</x:v>
      </x:c>
      <x:c r="E630" t="str">
        <x:v>Milan’s Bakery</x:v>
      </x:c>
      <x:c r="F630" t="str">
        <x:v>Coca-Cola 500ml</x:v>
      </x:c>
      <x:c r="G630" t="str">
        <x:v>Drink</x:v>
      </x:c>
      <x:c r="H630" t="n">
        <x:v>4</x:v>
      </x:c>
      <x:c r="I630" s="14" t="n">
        <x:v>100</x:v>
      </x:c>
      <x:c r="J630" s="14" t="n">
        <x:v>400</x:v>
      </x:c>
      <x:c r="K630" t="str">
        <x:v>DEMO / SIMULATED</x:v>
      </x:c>
    </x:row>
    <x:row r="631">
      <x:c r="A631" t="str">
        <x:v>JFD-20260225-0366</x:v>
      </x:c>
      <x:c r="B631" s="11" t="n">
        <x:v>46078.603472222225</x:v>
      </x:c>
      <x:c r="C631" s="13" t="n">
        <x:v>0.6034722222222222</x:v>
      </x:c>
      <x:c r="D631" t="str">
        <x:v>Damak</x:v>
      </x:c>
      <x:c r="E631" t="str">
        <x:v>Milan’s Bakery</x:v>
      </x:c>
      <x:c r="F631" t="str">
        <x:v>Chocolate Cake</x:v>
      </x:c>
      <x:c r="G631" t="str">
        <x:v>Food</x:v>
      </x:c>
      <x:c r="H631" t="n">
        <x:v>4</x:v>
      </x:c>
      <x:c r="I631" s="14" t="n">
        <x:v>350</x:v>
      </x:c>
      <x:c r="J631" s="14" t="n">
        <x:v>1400</x:v>
      </x:c>
      <x:c r="K631" t="str">
        <x:v>DEMO / SIMULATED</x:v>
      </x:c>
    </x:row>
    <x:row r="632">
      <x:c r="A632" t="str">
        <x:v>JFD-20230223-0367</x:v>
      </x:c>
      <x:c r="B632" s="11" t="n">
        <x:v>44980.68472222222</x:v>
      </x:c>
      <x:c r="C632" s="13" t="n">
        <x:v>0.6847222222222222</x:v>
      </x:c>
      <x:c r="D632" t="str">
        <x:v>Birtamode</x:v>
      </x:c>
      <x:c r="E632" t="str">
        <x:v>Pizza Ghar</x:v>
      </x:c>
      <x:c r="F632" t="str">
        <x:v>Coca-Cola 500ml</x:v>
      </x:c>
      <x:c r="G632" t="str">
        <x:v>Drink</x:v>
      </x:c>
      <x:c r="H632" t="n">
        <x:v>1</x:v>
      </x:c>
      <x:c r="I632" s="14" t="n">
        <x:v>80</x:v>
      </x:c>
      <x:c r="J632" s="14" t="n">
        <x:v>80</x:v>
      </x:c>
      <x:c r="K632" t="str">
        <x:v>DEMO / SIMULATED</x:v>
      </x:c>
    </x:row>
    <x:row r="633">
      <x:c r="A633" t="str">
        <x:v>JFD-20230223-0367</x:v>
      </x:c>
      <x:c r="B633" s="11" t="n">
        <x:v>44980.58125</x:v>
      </x:c>
      <x:c r="C633" s="13" t="n">
        <x:v>0.58125</x:v>
      </x:c>
      <x:c r="D633" t="str">
        <x:v>Birtamode</x:v>
      </x:c>
      <x:c r="E633" t="str">
        <x:v>Pizza Ghar</x:v>
      </x:c>
      <x:c r="F633" t="str">
        <x:v>Chicken BBQ Feast Pizza</x:v>
      </x:c>
      <x:c r="G633" t="str">
        <x:v>Food</x:v>
      </x:c>
      <x:c r="H633" t="n">
        <x:v>3</x:v>
      </x:c>
      <x:c r="I633" s="14" t="n">
        <x:v>475</x:v>
      </x:c>
      <x:c r="J633" s="14" t="n">
        <x:v>1425</x:v>
      </x:c>
      <x:c r="K633" t="str">
        <x:v>DEMO / SIMULATED</x:v>
      </x:c>
    </x:row>
    <x:row r="634">
      <x:c r="A634" t="str">
        <x:v>JFD-20250715-0368</x:v>
      </x:c>
      <x:c r="B634" s="11" t="n">
        <x:v>45853.70347222222</x:v>
      </x:c>
      <x:c r="C634" s="13" t="n">
        <x:v>0.7034722222222223</x:v>
      </x:c>
      <x:c r="D634" t="str">
        <x:v>Damak</x:v>
      </x:c>
      <x:c r="E634" t="str">
        <x:v>Late Night Cravings</x:v>
      </x:c>
      <x:c r="F634" t="str">
        <x:v>Veg Fry Rice</x:v>
      </x:c>
      <x:c r="G634" t="str">
        <x:v>Food</x:v>
      </x:c>
      <x:c r="H634" t="n">
        <x:v>2</x:v>
      </x:c>
      <x:c r="I634" s="14" t="n">
        <x:v>150</x:v>
      </x:c>
      <x:c r="J634" s="14" t="n">
        <x:v>300</x:v>
      </x:c>
      <x:c r="K634" t="str">
        <x:v>DEMO / SIMULATED</x:v>
      </x:c>
    </x:row>
    <x:row r="635">
      <x:c r="A635" t="str">
        <x:v>JFD-20250715-0368</x:v>
      </x:c>
      <x:c r="B635" s="11" t="n">
        <x:v>45853.42638888889</x:v>
      </x:c>
      <x:c r="C635" s="13" t="n">
        <x:v>0.4263888888888889</x:v>
      </x:c>
      <x:c r="D635" t="str">
        <x:v>Damak</x:v>
      </x:c>
      <x:c r="E635" t="str">
        <x:v>Late Night Cravings</x:v>
      </x:c>
      <x:c r="F635" t="str">
        <x:v>Egg Fry Rice</x:v>
      </x:c>
      <x:c r="G635" t="str">
        <x:v>Food</x:v>
      </x:c>
      <x:c r="H635" t="n">
        <x:v>4</x:v>
      </x:c>
      <x:c r="I635" s="14" t="n">
        <x:v>190</x:v>
      </x:c>
      <x:c r="J635" s="14" t="n">
        <x:v>760</x:v>
      </x:c>
      <x:c r="K635" t="str">
        <x:v>DEMO / SIMULATED</x:v>
      </x:c>
    </x:row>
    <x:row r="636">
      <x:c r="A636" t="str">
        <x:v>JFD-20250715-0368</x:v>
      </x:c>
      <x:c r="B636" s="11" t="n">
        <x:v>45853.49722222222</x:v>
      </x:c>
      <x:c r="C636" s="13" t="n">
        <x:v>0.49722222222222223</x:v>
      </x:c>
      <x:c r="D636" t="str">
        <x:v>Damak</x:v>
      </x:c>
      <x:c r="E636" t="str">
        <x:v>Late Night Cravings</x:v>
      </x:c>
      <x:c r="F636" t="str">
        <x:v>Mix Fry Rice</x:v>
      </x:c>
      <x:c r="G636" t="str">
        <x:v>Food</x:v>
      </x:c>
      <x:c r="H636" t="n">
        <x:v>2</x:v>
      </x:c>
      <x:c r="I636" s="14" t="n">
        <x:v>265</x:v>
      </x:c>
      <x:c r="J636" s="14" t="n">
        <x:v>530</x:v>
      </x:c>
      <x:c r="K636" t="str">
        <x:v>DEMO / SIMULATED</x:v>
      </x:c>
    </x:row>
    <x:row r="637">
      <x:c r="A637" t="str">
        <x:v>JFD-20260812-0369</x:v>
      </x:c>
      <x:c r="B637" s="11" t="n">
        <x:v>46246.57986111111</x:v>
      </x:c>
      <x:c r="C637" s="13" t="n">
        <x:v>0.5798611111111112</x:v>
      </x:c>
      <x:c r="D637" t="str">
        <x:v>Birtamode</x:v>
      </x:c>
      <x:c r="E637" t="str">
        <x:v>The Underground Cafe &amp; Restaurant</x:v>
      </x:c>
      <x:c r="F637" t="str">
        <x:v>Bottled Water 1L</x:v>
      </x:c>
      <x:c r="G637" t="str">
        <x:v>Drink</x:v>
      </x:c>
      <x:c r="H637" t="n">
        <x:v>3</x:v>
      </x:c>
      <x:c r="I637" s="14" t="n">
        <x:v>40</x:v>
      </x:c>
      <x:c r="J637" s="14" t="n">
        <x:v>120</x:v>
      </x:c>
      <x:c r="K637" t="str">
        <x:v>DEMO / SIMULATED</x:v>
      </x:c>
    </x:row>
    <x:row r="638">
      <x:c r="A638" t="str">
        <x:v>JFD-20260812-0369</x:v>
      </x:c>
      <x:c r="B638" s="11" t="n">
        <x:v>46246.87291666667</x:v>
      </x:c>
      <x:c r="C638" s="13" t="n">
        <x:v>0.8729166666666667</x:v>
      </x:c>
      <x:c r="D638" t="str">
        <x:v>Birtamode</x:v>
      </x:c>
      <x:c r="E638" t="str">
        <x:v>The Underground Cafe &amp; Restaurant</x:v>
      </x:c>
      <x:c r="F638" t="str">
        <x:v>Coca-Cola 500ml</x:v>
      </x:c>
      <x:c r="G638" t="str">
        <x:v>Drink</x:v>
      </x:c>
      <x:c r="H638" t="n">
        <x:v>4</x:v>
      </x:c>
      <x:c r="I638" s="14" t="n">
        <x:v>100</x:v>
      </x:c>
      <x:c r="J638" s="14" t="n">
        <x:v>400</x:v>
      </x:c>
      <x:c r="K638" t="str">
        <x:v>DEMO / SIMULATED</x:v>
      </x:c>
    </x:row>
    <x:row r="639">
      <x:c r="A639" t="str">
        <x:v>JFD-20240809-0370</x:v>
      </x:c>
      <x:c r="B639" s="11" t="n">
        <x:v>45513.876388888886</x:v>
      </x:c>
      <x:c r="C639" s="13" t="n">
        <x:v>0.8763888888888889</x:v>
      </x:c>
      <x:c r="D639" t="str">
        <x:v>Birtamode</x:v>
      </x:c>
      <x:c r="E639" t="str">
        <x:v>Pizza Ghar</x:v>
      </x:c>
      <x:c r="F639" t="str">
        <x:v>Veg Fried Rice</x:v>
      </x:c>
      <x:c r="G639" t="str">
        <x:v>Food</x:v>
      </x:c>
      <x:c r="H639" t="n">
        <x:v>3</x:v>
      </x:c>
      <x:c r="I639" s="14" t="n">
        <x:v>195</x:v>
      </x:c>
      <x:c r="J639" s="14" t="n">
        <x:v>585</x:v>
      </x:c>
      <x:c r="K639" t="str">
        <x:v>DEMO / SIMULATED</x:v>
      </x:c>
    </x:row>
    <x:row r="640">
      <x:c r="A640" t="str">
        <x:v>JFD-20231210-0371</x:v>
      </x:c>
      <x:c r="B640" s="11" t="n">
        <x:v>45270.822222222225</x:v>
      </x:c>
      <x:c r="C640" s="13" t="n">
        <x:v>0.8222222222222222</x:v>
      </x:c>
      <x:c r="D640" t="str">
        <x:v>Birtamode</x:v>
      </x:c>
      <x:c r="E640" t="str">
        <x:v>The Underground Cafe &amp; Restaurant</x:v>
      </x:c>
      <x:c r="F640" t="str">
        <x:v>Paneer Pakauda</x:v>
      </x:c>
      <x:c r="G640" t="str">
        <x:v>Food</x:v>
      </x:c>
      <x:c r="H640" t="n">
        <x:v>3</x:v>
      </x:c>
      <x:c r="I640" s="14" t="n">
        <x:v>185</x:v>
      </x:c>
      <x:c r="J640" s="14" t="n">
        <x:v>555</x:v>
      </x:c>
      <x:c r="K640" t="str">
        <x:v>DEMO / SIMULATED</x:v>
      </x:c>
    </x:row>
    <x:row r="641">
      <x:c r="A641" t="str">
        <x:v>JFD-20230627-0372</x:v>
      </x:c>
      <x:c r="B641" s="11" t="n">
        <x:v>45104.751388888886</x:v>
      </x:c>
      <x:c r="C641" s="13" t="n">
        <x:v>0.7513888888888889</x:v>
      </x:c>
      <x:c r="D641" t="str">
        <x:v>Damak</x:v>
      </x:c>
      <x:c r="E641" t="str">
        <x:v>Milan’s Bakery</x:v>
      </x:c>
      <x:c r="F641" t="str">
        <x:v>Red Velvet Cake</x:v>
      </x:c>
      <x:c r="G641" t="str">
        <x:v>Food</x:v>
      </x:c>
      <x:c r="H641" t="n">
        <x:v>2</x:v>
      </x:c>
      <x:c r="I641" s="14" t="n">
        <x:v>740</x:v>
      </x:c>
      <x:c r="J641" s="14" t="n">
        <x:v>1480</x:v>
      </x:c>
      <x:c r="K641" t="str">
        <x:v>DEMO / SIMULATED</x:v>
      </x:c>
    </x:row>
    <x:row r="642">
      <x:c r="A642" t="str">
        <x:v>JFD-20230627-0372</x:v>
      </x:c>
      <x:c r="B642" s="11" t="n">
        <x:v>45104.84861111111</x:v>
      </x:c>
      <x:c r="C642" s="13" t="n">
        <x:v>0.8486111111111111</x:v>
      </x:c>
      <x:c r="D642" t="str">
        <x:v>Damak</x:v>
      </x:c>
      <x:c r="E642" t="str">
        <x:v>Milan’s Bakery</x:v>
      </x:c>
      <x:c r="F642" t="str">
        <x:v>Coca-Cola 500ml</x:v>
      </x:c>
      <x:c r="G642" t="str">
        <x:v>Drink</x:v>
      </x:c>
      <x:c r="H642" t="n">
        <x:v>1</x:v>
      </x:c>
      <x:c r="I642" s="14" t="n">
        <x:v>80</x:v>
      </x:c>
      <x:c r="J642" s="14" t="n">
        <x:v>80</x:v>
      </x:c>
      <x:c r="K642" t="str">
        <x:v>DEMO / SIMULATED</x:v>
      </x:c>
    </x:row>
    <x:row r="643">
      <x:c r="A643" t="str">
        <x:v>JFD-20230627-0372</x:v>
      </x:c>
      <x:c r="B643" s="11" t="n">
        <x:v>45104.532638888886</x:v>
      </x:c>
      <x:c r="C643" s="13" t="n">
        <x:v>0.5326388888888889</x:v>
      </x:c>
      <x:c r="D643" t="str">
        <x:v>Damak</x:v>
      </x:c>
      <x:c r="E643" t="str">
        <x:v>Milan’s Bakery</x:v>
      </x:c>
      <x:c r="F643" t="str">
        <x:v>Black Forest Cake</x:v>
      </x:c>
      <x:c r="G643" t="str">
        <x:v>Food</x:v>
      </x:c>
      <x:c r="H643" t="n">
        <x:v>2</x:v>
      </x:c>
      <x:c r="I643" s="14" t="n">
        <x:v>245</x:v>
      </x:c>
      <x:c r="J643" s="14" t="n">
        <x:v>490</x:v>
      </x:c>
      <x:c r="K643" t="str">
        <x:v>DEMO / SIMULATED</x:v>
      </x:c>
    </x:row>
    <x:row r="644">
      <x:c r="A644" t="str">
        <x:v>JFD-20240624-0373</x:v>
      </x:c>
      <x:c r="B644" s="11" t="n">
        <x:v>45467.725694444445</x:v>
      </x:c>
      <x:c r="C644" s="13" t="n">
        <x:v>0.7256944444444444</x:v>
      </x:c>
      <x:c r="D644" t="str">
        <x:v>Birtamode</x:v>
      </x:c>
      <x:c r="E644" t="str">
        <x:v>Pizza Ghar</x:v>
      </x:c>
      <x:c r="F644" t="str">
        <x:v>Egg Fried Rice</x:v>
      </x:c>
      <x:c r="G644" t="str">
        <x:v>Food</x:v>
      </x:c>
      <x:c r="H644" t="n">
        <x:v>4</x:v>
      </x:c>
      <x:c r="I644" s="14" t="n">
        <x:v>240</x:v>
      </x:c>
      <x:c r="J644" s="14" t="n">
        <x:v>960</x:v>
      </x:c>
      <x:c r="K644" t="str">
        <x:v>DEMO / SIMULATED</x:v>
      </x:c>
    </x:row>
    <x:row r="645">
      <x:c r="A645" t="str">
        <x:v>JFD-20240624-0373</x:v>
      </x:c>
      <x:c r="B645" s="11" t="n">
        <x:v>45467.53680555556</x:v>
      </x:c>
      <x:c r="C645" s="13" t="n">
        <x:v>0.5368055555555555</x:v>
      </x:c>
      <x:c r="D645" t="str">
        <x:v>Birtamode</x:v>
      </x:c>
      <x:c r="E645" t="str">
        <x:v>Pizza Ghar</x:v>
      </x:c>
      <x:c r="F645" t="str">
        <x:v>Bottled Water 1L</x:v>
      </x:c>
      <x:c r="G645" t="str">
        <x:v>Drink</x:v>
      </x:c>
      <x:c r="H645" t="n">
        <x:v>4</x:v>
      </x:c>
      <x:c r="I645" s="14" t="n">
        <x:v>35</x:v>
      </x:c>
      <x:c r="J645" s="14" t="n">
        <x:v>140</x:v>
      </x:c>
      <x:c r="K645" t="str">
        <x:v>DEMO / SIMULATED</x:v>
      </x:c>
    </x:row>
    <x:row r="646">
      <x:c r="A646" t="str">
        <x:v>JFD-20240624-0373</x:v>
      </x:c>
      <x:c r="B646" s="11" t="n">
        <x:v>45467.57708333333</x:v>
      </x:c>
      <x:c r="C646" s="13" t="n">
        <x:v>0.5770833333333333</x:v>
      </x:c>
      <x:c r="D646" t="str">
        <x:v>Birtamode</x:v>
      </x:c>
      <x:c r="E646" t="str">
        <x:v>Pizza Ghar</x:v>
      </x:c>
      <x:c r="F646" t="str">
        <x:v>Chicken Fried Rice</x:v>
      </x:c>
      <x:c r="G646" t="str">
        <x:v>Food</x:v>
      </x:c>
      <x:c r="H646" t="n">
        <x:v>2</x:v>
      </x:c>
      <x:c r="I646" s="14" t="n">
        <x:v>265</x:v>
      </x:c>
      <x:c r="J646" s="14" t="n">
        <x:v>530</x:v>
      </x:c>
      <x:c r="K646" t="str">
        <x:v>DEMO / SIMULATED</x:v>
      </x:c>
    </x:row>
    <x:row r="647">
      <x:c r="A647" t="str">
        <x:v>JFD-20231005-0374</x:v>
      </x:c>
      <x:c r="B647" s="11" t="n">
        <x:v>45204.69861111111</x:v>
      </x:c>
      <x:c r="C647" s="13" t="n">
        <x:v>0.6986111111111111</x:v>
      </x:c>
      <x:c r="D647" t="str">
        <x:v>Damak</x:v>
      </x:c>
      <x:c r="E647" t="str">
        <x:v>Late Night Cravings</x:v>
      </x:c>
      <x:c r="F647" t="str">
        <x:v>Coca-Cola 500ml</x:v>
      </x:c>
      <x:c r="G647" t="str">
        <x:v>Drink</x:v>
      </x:c>
      <x:c r="H647" t="n">
        <x:v>3</x:v>
      </x:c>
      <x:c r="I647" s="14" t="n">
        <x:v>80</x:v>
      </x:c>
      <x:c r="J647" s="14" t="n">
        <x:v>240</x:v>
      </x:c>
      <x:c r="K647" t="str">
        <x:v>DEMO / SIMULATED</x:v>
      </x:c>
    </x:row>
    <x:row r="648">
      <x:c r="A648" t="str">
        <x:v>JFD-20231005-0374</x:v>
      </x:c>
      <x:c r="B648" s="11" t="n">
        <x:v>45204.45347222222</x:v>
      </x:c>
      <x:c r="C648" s="13" t="n">
        <x:v>0.4534722222222222</x:v>
      </x:c>
      <x:c r="D648" t="str">
        <x:v>Damak</x:v>
      </x:c>
      <x:c r="E648" t="str">
        <x:v>Late Night Cravings</x:v>
      </x:c>
      <x:c r="F648" t="str">
        <x:v>Veg Fry Rice</x:v>
      </x:c>
      <x:c r="G648" t="str">
        <x:v>Food</x:v>
      </x:c>
      <x:c r="H648" t="n">
        <x:v>2</x:v>
      </x:c>
      <x:c r="I648" s="14" t="n">
        <x:v>130</x:v>
      </x:c>
      <x:c r="J648" s="14" t="n">
        <x:v>260</x:v>
      </x:c>
      <x:c r="K648" t="str">
        <x:v>DEMO / SIMULATED</x:v>
      </x:c>
    </x:row>
    <x:row r="649">
      <x:c r="A649" t="str">
        <x:v>JFD-20260418-0375</x:v>
      </x:c>
      <x:c r="B649" s="11" t="n">
        <x:v>46130.65694444445</x:v>
      </x:c>
      <x:c r="C649" s="13" t="n">
        <x:v>0.6569444444444444</x:v>
      </x:c>
      <x:c r="D649" t="str">
        <x:v>Birtamode</x:v>
      </x:c>
      <x:c r="E649" t="str">
        <x:v>Pizza Ghar</x:v>
      </x:c>
      <x:c r="F649" t="str">
        <x:v>Chicken Fried Rice</x:v>
      </x:c>
      <x:c r="G649" t="str">
        <x:v>Food</x:v>
      </x:c>
      <x:c r="H649" t="n">
        <x:v>4</x:v>
      </x:c>
      <x:c r="I649" s="14" t="n">
        <x:v>300</x:v>
      </x:c>
      <x:c r="J649" s="14" t="n">
        <x:v>1200</x:v>
      </x:c>
      <x:c r="K649" t="str">
        <x:v>DEMO / SIMULATED</x:v>
      </x:c>
    </x:row>
    <x:row r="650">
      <x:c r="A650" t="str">
        <x:v>JFD-20260418-0375</x:v>
      </x:c>
      <x:c r="B650" s="11" t="n">
        <x:v>46130.48472222222</x:v>
      </x:c>
      <x:c r="C650" s="13" t="n">
        <x:v>0.4847222222222222</x:v>
      </x:c>
      <x:c r="D650" t="str">
        <x:v>Birtamode</x:v>
      </x:c>
      <x:c r="E650" t="str">
        <x:v>Pizza Ghar</x:v>
      </x:c>
      <x:c r="F650" t="str">
        <x:v>Coca-Cola 500ml</x:v>
      </x:c>
      <x:c r="G650" t="str">
        <x:v>Drink</x:v>
      </x:c>
      <x:c r="H650" t="n">
        <x:v>1</x:v>
      </x:c>
      <x:c r="I650" s="14" t="n">
        <x:v>100</x:v>
      </x:c>
      <x:c r="J650" s="14" t="n">
        <x:v>100</x:v>
      </x:c>
      <x:c r="K650" t="str">
        <x:v>DEMO / SIMULATED</x:v>
      </x:c>
    </x:row>
    <x:row r="651">
      <x:c r="A651" t="str">
        <x:v>JFD-20260524-0376</x:v>
      </x:c>
      <x:c r="B651" s="11" t="n">
        <x:v>46166.64166666667</x:v>
      </x:c>
      <x:c r="C651" s="13" t="n">
        <x:v>0.6416666666666667</x:v>
      </x:c>
      <x:c r="D651" t="str">
        <x:v>Damak</x:v>
      </x:c>
      <x:c r="E651" t="str">
        <x:v>Late Night Cravings</x:v>
      </x:c>
      <x:c r="F651" t="str">
        <x:v>Mix Fry Rice</x:v>
      </x:c>
      <x:c r="G651" t="str">
        <x:v>Food</x:v>
      </x:c>
      <x:c r="H651" t="n">
        <x:v>2</x:v>
      </x:c>
      <x:c r="I651" s="14" t="n">
        <x:v>280</x:v>
      </x:c>
      <x:c r="J651" s="14" t="n">
        <x:v>560</x:v>
      </x:c>
      <x:c r="K651" t="str">
        <x:v>DEMO / SIMULATED</x:v>
      </x:c>
    </x:row>
    <x:row r="652">
      <x:c r="A652" t="str">
        <x:v>JFD-20260524-0376</x:v>
      </x:c>
      <x:c r="B652" s="11" t="n">
        <x:v>46166.57638888889</x:v>
      </x:c>
      <x:c r="C652" s="13" t="n">
        <x:v>0.5763888888888888</x:v>
      </x:c>
      <x:c r="D652" t="str">
        <x:v>Damak</x:v>
      </x:c>
      <x:c r="E652" t="str">
        <x:v>Late Night Cravings</x:v>
      </x:c>
      <x:c r="F652" t="str">
        <x:v>Egg Fry Rice</x:v>
      </x:c>
      <x:c r="G652" t="str">
        <x:v>Food</x:v>
      </x:c>
      <x:c r="H652" t="n">
        <x:v>4</x:v>
      </x:c>
      <x:c r="I652" s="14" t="n">
        <x:v>200</x:v>
      </x:c>
      <x:c r="J652" s="14" t="n">
        <x:v>800</x:v>
      </x:c>
      <x:c r="K652" t="str">
        <x:v>DEMO / SIMULATED</x:v>
      </x:c>
    </x:row>
    <x:row r="653">
      <x:c r="A653" t="str">
        <x:v>JFD-20230912-0377</x:v>
      </x:c>
      <x:c r="B653" s="11" t="n">
        <x:v>45181.48055555556</x:v>
      </x:c>
      <x:c r="C653" s="13" t="n">
        <x:v>0.48055555555555557</x:v>
      </x:c>
      <x:c r="D653" t="str">
        <x:v>Birtamode</x:v>
      </x:c>
      <x:c r="E653" t="str">
        <x:v>Pizza Ghar</x:v>
      </x:c>
      <x:c r="F653" t="str">
        <x:v>Veg Fried Rice</x:v>
      </x:c>
      <x:c r="G653" t="str">
        <x:v>Food</x:v>
      </x:c>
      <x:c r="H653" t="n">
        <x:v>1</x:v>
      </x:c>
      <x:c r="I653" s="14" t="n">
        <x:v>180</x:v>
      </x:c>
      <x:c r="J653" s="14" t="n">
        <x:v>180</x:v>
      </x:c>
      <x:c r="K653" t="str">
        <x:v>DEMO / SIMULATED</x:v>
      </x:c>
    </x:row>
    <x:row r="654">
      <x:c r="A654" t="str">
        <x:v>JFD-20230912-0377</x:v>
      </x:c>
      <x:c r="B654" s="11" t="n">
        <x:v>45181.65347222222</x:v>
      </x:c>
      <x:c r="C654" s="13" t="n">
        <x:v>0.6534722222222222</x:v>
      </x:c>
      <x:c r="D654" t="str">
        <x:v>Birtamode</x:v>
      </x:c>
      <x:c r="E654" t="str">
        <x:v>Pizza Ghar</x:v>
      </x:c>
      <x:c r="F654" t="str">
        <x:v>Chicken BBQ Feast Pizza</x:v>
      </x:c>
      <x:c r="G654" t="str">
        <x:v>Food</x:v>
      </x:c>
      <x:c r="H654" t="n">
        <x:v>3</x:v>
      </x:c>
      <x:c r="I654" s="14" t="n">
        <x:v>475</x:v>
      </x:c>
      <x:c r="J654" s="14" t="n">
        <x:v>1425</x:v>
      </x:c>
      <x:c r="K654" t="str">
        <x:v>DEMO / SIMULATED</x:v>
      </x:c>
    </x:row>
    <x:row r="655">
      <x:c r="A655" t="str">
        <x:v>JFD-20230912-0377</x:v>
      </x:c>
      <x:c r="B655" s="11" t="n">
        <x:v>45181.75347222222</x:v>
      </x:c>
      <x:c r="C655" s="13" t="n">
        <x:v>0.7534722222222222</x:v>
      </x:c>
      <x:c r="D655" t="str">
        <x:v>Birtamode</x:v>
      </x:c>
      <x:c r="E655" t="str">
        <x:v>Pizza Ghar</x:v>
      </x:c>
      <x:c r="F655" t="str">
        <x:v>Coca-Cola 500ml</x:v>
      </x:c>
      <x:c r="G655" t="str">
        <x:v>Drink</x:v>
      </x:c>
      <x:c r="H655" t="n">
        <x:v>3</x:v>
      </x:c>
      <x:c r="I655" s="14" t="n">
        <x:v>80</x:v>
      </x:c>
      <x:c r="J655" s="14" t="n">
        <x:v>240</x:v>
      </x:c>
      <x:c r="K655" t="str">
        <x:v>DEMO / SIMULATED</x:v>
      </x:c>
    </x:row>
    <x:row r="656">
      <x:c r="A656" t="str">
        <x:v>JFD-20240822-0378</x:v>
      </x:c>
      <x:c r="B656" s="11" t="n">
        <x:v>45526.86388888889</x:v>
      </x:c>
      <x:c r="C656" s="13" t="n">
        <x:v>0.8638888888888889</x:v>
      </x:c>
      <x:c r="D656" t="str">
        <x:v>Birtamode</x:v>
      </x:c>
      <x:c r="E656" t="str">
        <x:v>The Underground Cafe &amp; Restaurant</x:v>
      </x:c>
      <x:c r="F656" t="str">
        <x:v>Veg Pakauda</x:v>
      </x:c>
      <x:c r="G656" t="str">
        <x:v>Food</x:v>
      </x:c>
      <x:c r="H656" t="n">
        <x:v>1</x:v>
      </x:c>
      <x:c r="I656" s="14" t="n">
        <x:v>155</x:v>
      </x:c>
      <x:c r="J656" s="14" t="n">
        <x:v>155</x:v>
      </x:c>
      <x:c r="K656" t="str">
        <x:v>DEMO / SIMULATED</x:v>
      </x:c>
    </x:row>
    <x:row r="657">
      <x:c r="A657" t="str">
        <x:v>JFD-20250415-0379</x:v>
      </x:c>
      <x:c r="B657" s="11" t="n">
        <x:v>45762.48472222222</x:v>
      </x:c>
      <x:c r="C657" s="13" t="n">
        <x:v>0.4847222222222222</x:v>
      </x:c>
      <x:c r="D657" t="str">
        <x:v>Birtamode</x:v>
      </x:c>
      <x:c r="E657" t="str">
        <x:v>The Underground Cafe &amp; Restaurant</x:v>
      </x:c>
      <x:c r="F657" t="str">
        <x:v>Bottled Water 1L</x:v>
      </x:c>
      <x:c r="G657" t="str">
        <x:v>Drink</x:v>
      </x:c>
      <x:c r="H657" t="n">
        <x:v>1</x:v>
      </x:c>
      <x:c r="I657" s="14" t="n">
        <x:v>40</x:v>
      </x:c>
      <x:c r="J657" s="14" t="n">
        <x:v>40</x:v>
      </x:c>
      <x:c r="K657" t="str">
        <x:v>DEMO / SIMULATED</x:v>
      </x:c>
    </x:row>
    <x:row r="658">
      <x:c r="A658" t="str">
        <x:v>JFD-20250415-0379</x:v>
      </x:c>
      <x:c r="B658" s="11" t="n">
        <x:v>45762.89444444444</x:v>
      </x:c>
      <x:c r="C658" s="13" t="n">
        <x:v>0.8944444444444445</x:v>
      </x:c>
      <x:c r="D658" t="str">
        <x:v>Birtamode</x:v>
      </x:c>
      <x:c r="E658" t="str">
        <x:v>The Underground Cafe &amp; Restaurant</x:v>
      </x:c>
      <x:c r="F658" t="str">
        <x:v>Veg Pakauda</x:v>
      </x:c>
      <x:c r="G658" t="str">
        <x:v>Food</x:v>
      </x:c>
      <x:c r="H658" t="n">
        <x:v>4</x:v>
      </x:c>
      <x:c r="I658" s="14" t="n">
        <x:v>165</x:v>
      </x:c>
      <x:c r="J658" s="14" t="n">
        <x:v>660</x:v>
      </x:c>
      <x:c r="K658" t="str">
        <x:v>DEMO / SIMULATED</x:v>
      </x:c>
    </x:row>
    <x:row r="659">
      <x:c r="A659" t="str">
        <x:v>JFD-20260118-0380</x:v>
      </x:c>
      <x:c r="B659" s="11" t="n">
        <x:v>46040.873611111114</x:v>
      </x:c>
      <x:c r="C659" s="13" t="n">
        <x:v>0.8736111111111111</x:v>
      </x:c>
      <x:c r="D659" t="str">
        <x:v>Birtamode</x:v>
      </x:c>
      <x:c r="E659" t="str">
        <x:v>The Underground Cafe &amp; Restaurant</x:v>
      </x:c>
      <x:c r="F659" t="str">
        <x:v>Bottled Water 1L</x:v>
      </x:c>
      <x:c r="G659" t="str">
        <x:v>Drink</x:v>
      </x:c>
      <x:c r="H659" t="n">
        <x:v>1</x:v>
      </x:c>
      <x:c r="I659" s="14" t="n">
        <x:v>40</x:v>
      </x:c>
      <x:c r="J659" s="14" t="n">
        <x:v>40</x:v>
      </x:c>
      <x:c r="K659" t="str">
        <x:v>DEMO / SIMULATED</x:v>
      </x:c>
    </x:row>
    <x:row r="660">
      <x:c r="A660" t="str">
        <x:v>JFD-20260118-0380</x:v>
      </x:c>
      <x:c r="B660" s="11" t="n">
        <x:v>46040.54583333333</x:v>
      </x:c>
      <x:c r="C660" s="13" t="n">
        <x:v>0.5458333333333333</x:v>
      </x:c>
      <x:c r="D660" t="str">
        <x:v>Birtamode</x:v>
      </x:c>
      <x:c r="E660" t="str">
        <x:v>The Underground Cafe &amp; Restaurant</x:v>
      </x:c>
      <x:c r="F660" t="str">
        <x:v>Paneer Pakauda</x:v>
      </x:c>
      <x:c r="G660" t="str">
        <x:v>Food</x:v>
      </x:c>
      <x:c r="H660" t="n">
        <x:v>1</x:v>
      </x:c>
      <x:c r="I660" s="14" t="n">
        <x:v>225</x:v>
      </x:c>
      <x:c r="J660" s="14" t="n">
        <x:v>225</x:v>
      </x:c>
      <x:c r="K660" t="str">
        <x:v>DEMO / SIMULATED</x:v>
      </x:c>
    </x:row>
    <x:row r="661">
      <x:c r="A661" t="str">
        <x:v>JFD-20240730-0381</x:v>
      </x:c>
      <x:c r="B661" s="11" t="n">
        <x:v>45503.688888888886</x:v>
      </x:c>
      <x:c r="C661" s="13" t="n">
        <x:v>0.6888888888888889</x:v>
      </x:c>
      <x:c r="D661" t="str">
        <x:v>Damak</x:v>
      </x:c>
      <x:c r="E661" t="str">
        <x:v>Milan’s Bakery</x:v>
      </x:c>
      <x:c r="F661" t="str">
        <x:v>Vanilla Cake</x:v>
      </x:c>
      <x:c r="G661" t="str">
        <x:v>Food</x:v>
      </x:c>
      <x:c r="H661" t="n">
        <x:v>4</x:v>
      </x:c>
      <x:c r="I661" s="14" t="n">
        <x:v>265</x:v>
      </x:c>
      <x:c r="J661" s="14" t="n">
        <x:v>1060</x:v>
      </x:c>
      <x:c r="K661" t="str">
        <x:v>DEMO / SIMULATED</x:v>
      </x:c>
    </x:row>
    <x:row r="662">
      <x:c r="A662" t="str">
        <x:v>JFD-20240730-0381</x:v>
      </x:c>
      <x:c r="B662" s="11" t="n">
        <x:v>45503.51944444444</x:v>
      </x:c>
      <x:c r="C662" s="13" t="n">
        <x:v>0.5194444444444445</x:v>
      </x:c>
      <x:c r="D662" t="str">
        <x:v>Damak</x:v>
      </x:c>
      <x:c r="E662" t="str">
        <x:v>Milan’s Bakery</x:v>
      </x:c>
      <x:c r="F662" t="str">
        <x:v>Bottled Water 1L</x:v>
      </x:c>
      <x:c r="G662" t="str">
        <x:v>Drink</x:v>
      </x:c>
      <x:c r="H662" t="n">
        <x:v>3</x:v>
      </x:c>
      <x:c r="I662" s="14" t="n">
        <x:v>35</x:v>
      </x:c>
      <x:c r="J662" s="14" t="n">
        <x:v>105</x:v>
      </x:c>
      <x:c r="K662" t="str">
        <x:v>DEMO / SIMULATED</x:v>
      </x:c>
    </x:row>
    <x:row r="663">
      <x:c r="A663" t="str">
        <x:v>JFD-20250618-0382</x:v>
      </x:c>
      <x:c r="B663" s="11" t="n">
        <x:v>45826.592361111114</x:v>
      </x:c>
      <x:c r="C663" s="13" t="n">
        <x:v>0.5923611111111111</x:v>
      </x:c>
      <x:c r="D663" t="str">
        <x:v>Birtamode</x:v>
      </x:c>
      <x:c r="E663" t="str">
        <x:v>Pizza Ghar</x:v>
      </x:c>
      <x:c r="F663" t="str">
        <x:v>Chicken BBQ Feast Pizza</x:v>
      </x:c>
      <x:c r="G663" t="str">
        <x:v>Food</x:v>
      </x:c>
      <x:c r="H663" t="n">
        <x:v>2</x:v>
      </x:c>
      <x:c r="I663" s="14" t="n">
        <x:v>545</x:v>
      </x:c>
      <x:c r="J663" s="14" t="n">
        <x:v>1090</x:v>
      </x:c>
      <x:c r="K663" t="str">
        <x:v>DEMO / SIMULATED</x:v>
      </x:c>
    </x:row>
    <x:row r="664">
      <x:c r="A664" t="str">
        <x:v>JFD-20230817-0383</x:v>
      </x:c>
      <x:c r="B664" s="11" t="n">
        <x:v>45155.711805555555</x:v>
      </x:c>
      <x:c r="C664" s="13" t="n">
        <x:v>0.7118055555555556</x:v>
      </x:c>
      <x:c r="D664" t="str">
        <x:v>Damak</x:v>
      </x:c>
      <x:c r="E664" t="str">
        <x:v>Late Night Cravings</x:v>
      </x:c>
      <x:c r="F664" t="str">
        <x:v>Veg Fry Rice</x:v>
      </x:c>
      <x:c r="G664" t="str">
        <x:v>Food</x:v>
      </x:c>
      <x:c r="H664" t="n">
        <x:v>4</x:v>
      </x:c>
      <x:c r="I664" s="14" t="n">
        <x:v>130</x:v>
      </x:c>
      <x:c r="J664" s="14" t="n">
        <x:v>520</x:v>
      </x:c>
      <x:c r="K664" t="str">
        <x:v>DEMO / SIMULATED</x:v>
      </x:c>
    </x:row>
    <x:row r="665">
      <x:c r="A665" t="str">
        <x:v>JFD-20250814-0384</x:v>
      </x:c>
      <x:c r="B665" s="11" t="n">
        <x:v>45883.64722222222</x:v>
      </x:c>
      <x:c r="C665" s="13" t="n">
        <x:v>0.6472222222222223</x:v>
      </x:c>
      <x:c r="D665" t="str">
        <x:v>Damak</x:v>
      </x:c>
      <x:c r="E665" t="str">
        <x:v>Late Night Cravings</x:v>
      </x:c>
      <x:c r="F665" t="str">
        <x:v>Mix Fry Rice</x:v>
      </x:c>
      <x:c r="G665" t="str">
        <x:v>Food</x:v>
      </x:c>
      <x:c r="H665" t="n">
        <x:v>1</x:v>
      </x:c>
      <x:c r="I665" s="14" t="n">
        <x:v>265</x:v>
      </x:c>
      <x:c r="J665" s="14" t="n">
        <x:v>265</x:v>
      </x:c>
      <x:c r="K665" t="str">
        <x:v>DEMO / SIMULATED</x:v>
      </x:c>
    </x:row>
    <x:row r="666">
      <x:c r="A666" t="str">
        <x:v>JFD-20230328-0385</x:v>
      </x:c>
      <x:c r="B666" s="11" t="n">
        <x:v>45013.53194444445</x:v>
      </x:c>
      <x:c r="C666" s="13" t="n">
        <x:v>0.5319444444444444</x:v>
      </x:c>
      <x:c r="D666" t="str">
        <x:v>Birtamode</x:v>
      </x:c>
      <x:c r="E666" t="str">
        <x:v>Pizza Ghar</x:v>
      </x:c>
      <x:c r="F666" t="str">
        <x:v>Chicken Fried Rice</x:v>
      </x:c>
      <x:c r="G666" t="str">
        <x:v>Food</x:v>
      </x:c>
      <x:c r="H666" t="n">
        <x:v>2</x:v>
      </x:c>
      <x:c r="I666" s="14" t="n">
        <x:v>245</x:v>
      </x:c>
      <x:c r="J666" s="14" t="n">
        <x:v>490</x:v>
      </x:c>
      <x:c r="K666" t="str">
        <x:v>DEMO / SIMULATED</x:v>
      </x:c>
    </x:row>
    <x:row r="667">
      <x:c r="A667" t="str">
        <x:v>JFD-20260307-0386</x:v>
      </x:c>
      <x:c r="B667" s="11" t="n">
        <x:v>46088.74236111111</x:v>
      </x:c>
      <x:c r="C667" s="13" t="n">
        <x:v>0.7423611111111111</x:v>
      </x:c>
      <x:c r="D667" t="str">
        <x:v>Damak</x:v>
      </x:c>
      <x:c r="E667" t="str">
        <x:v>Milan’s Bakery</x:v>
      </x:c>
      <x:c r="F667" t="str">
        <x:v>Bottled Water 1L</x:v>
      </x:c>
      <x:c r="G667" t="str">
        <x:v>Drink</x:v>
      </x:c>
      <x:c r="H667" t="n">
        <x:v>4</x:v>
      </x:c>
      <x:c r="I667" s="14" t="n">
        <x:v>40</x:v>
      </x:c>
      <x:c r="J667" s="14" t="n">
        <x:v>160</x:v>
      </x:c>
      <x:c r="K667" t="str">
        <x:v>DEMO / SIMULATED</x:v>
      </x:c>
    </x:row>
    <x:row r="668">
      <x:c r="A668" t="str">
        <x:v>JFD-20260307-0386</x:v>
      </x:c>
      <x:c r="B668" s="11" t="n">
        <x:v>46088.9125</x:v>
      </x:c>
      <x:c r="C668" s="13" t="n">
        <x:v>0.9125</x:v>
      </x:c>
      <x:c r="D668" t="str">
        <x:v>Damak</x:v>
      </x:c>
      <x:c r="E668" t="str">
        <x:v>Milan’s Bakery</x:v>
      </x:c>
      <x:c r="F668" t="str">
        <x:v>Vanilla Cake</x:v>
      </x:c>
      <x:c r="G668" t="str">
        <x:v>Food</x:v>
      </x:c>
      <x:c r="H668" t="n">
        <x:v>1</x:v>
      </x:c>
      <x:c r="I668" s="14" t="n">
        <x:v>300</x:v>
      </x:c>
      <x:c r="J668" s="14" t="n">
        <x:v>300</x:v>
      </x:c>
      <x:c r="K668" t="str">
        <x:v>DEMO / SIMULATED</x:v>
      </x:c>
    </x:row>
    <x:row r="669">
      <x:c r="A669" t="str">
        <x:v>JFD-20260109-0387</x:v>
      </x:c>
      <x:c r="B669" s="11" t="n">
        <x:v>46031.865277777775</x:v>
      </x:c>
      <x:c r="C669" s="13" t="n">
        <x:v>0.8652777777777778</x:v>
      </x:c>
      <x:c r="D669" t="str">
        <x:v>Birtamode</x:v>
      </x:c>
      <x:c r="E669" t="str">
        <x:v>The Underground Cafe &amp; Restaurant</x:v>
      </x:c>
      <x:c r="F669" t="str">
        <x:v>Bottled Water 1L</x:v>
      </x:c>
      <x:c r="G669" t="str">
        <x:v>Drink</x:v>
      </x:c>
      <x:c r="H669" t="n">
        <x:v>4</x:v>
      </x:c>
      <x:c r="I669" s="14" t="n">
        <x:v>40</x:v>
      </x:c>
      <x:c r="J669" s="14" t="n">
        <x:v>160</x:v>
      </x:c>
      <x:c r="K669" t="str">
        <x:v>DEMO / SIMULATED</x:v>
      </x:c>
    </x:row>
    <x:row r="670">
      <x:c r="A670" t="str">
        <x:v>JFD-20260109-0387</x:v>
      </x:c>
      <x:c r="B670" s="11" t="n">
        <x:v>46031.79652777778</x:v>
      </x:c>
      <x:c r="C670" s="13" t="n">
        <x:v>0.7965277777777777</x:v>
      </x:c>
      <x:c r="D670" t="str">
        <x:v>Birtamode</x:v>
      </x:c>
      <x:c r="E670" t="str">
        <x:v>The Underground Cafe &amp; Restaurant</x:v>
      </x:c>
      <x:c r="F670" t="str">
        <x:v>Paneer Pakauda</x:v>
      </x:c>
      <x:c r="G670" t="str">
        <x:v>Food</x:v>
      </x:c>
      <x:c r="H670" t="n">
        <x:v>3</x:v>
      </x:c>
      <x:c r="I670" s="14" t="n">
        <x:v>225</x:v>
      </x:c>
      <x:c r="J670" s="14" t="n">
        <x:v>675</x:v>
      </x:c>
      <x:c r="K670" t="str">
        <x:v>DEMO / SIMULATED</x:v>
      </x:c>
    </x:row>
    <x:row r="671">
      <x:c r="A671" t="str">
        <x:v>JFD-20230721-0388</x:v>
      </x:c>
      <x:c r="B671" s="11" t="n">
        <x:v>45128.61666666667</x:v>
      </x:c>
      <x:c r="C671" s="13" t="n">
        <x:v>0.6166666666666667</x:v>
      </x:c>
      <x:c r="D671" t="str">
        <x:v>Birtamode</x:v>
      </x:c>
      <x:c r="E671" t="str">
        <x:v>Pizza Ghar</x:v>
      </x:c>
      <x:c r="F671" t="str">
        <x:v>Veg Fried Rice</x:v>
      </x:c>
      <x:c r="G671" t="str">
        <x:v>Food</x:v>
      </x:c>
      <x:c r="H671" t="n">
        <x:v>1</x:v>
      </x:c>
      <x:c r="I671" s="14" t="n">
        <x:v>180</x:v>
      </x:c>
      <x:c r="J671" s="14" t="n">
        <x:v>180</x:v>
      </x:c>
      <x:c r="K671" t="str">
        <x:v>DEMO / SIMULATED</x:v>
      </x:c>
    </x:row>
    <x:row r="672">
      <x:c r="A672" t="str">
        <x:v>JFD-20230721-0388</x:v>
      </x:c>
      <x:c r="B672" s="11" t="n">
        <x:v>45128.81736111111</x:v>
      </x:c>
      <x:c r="C672" s="13" t="n">
        <x:v>0.8173611111111111</x:v>
      </x:c>
      <x:c r="D672" t="str">
        <x:v>Birtamode</x:v>
      </x:c>
      <x:c r="E672" t="str">
        <x:v>Pizza Ghar</x:v>
      </x:c>
      <x:c r="F672" t="str">
        <x:v>Egg Fried Rice</x:v>
      </x:c>
      <x:c r="G672" t="str">
        <x:v>Food</x:v>
      </x:c>
      <x:c r="H672" t="n">
        <x:v>2</x:v>
      </x:c>
      <x:c r="I672" s="14" t="n">
        <x:v>220</x:v>
      </x:c>
      <x:c r="J672" s="14" t="n">
        <x:v>440</x:v>
      </x:c>
      <x:c r="K672" t="str">
        <x:v>DEMO / SIMULATED</x:v>
      </x:c>
    </x:row>
    <x:row r="673">
      <x:c r="A673" t="str">
        <x:v>JFD-20230721-0388</x:v>
      </x:c>
      <x:c r="B673" s="11" t="n">
        <x:v>45128.77291666667</x:v>
      </x:c>
      <x:c r="C673" s="13" t="n">
        <x:v>0.7729166666666667</x:v>
      </x:c>
      <x:c r="D673" t="str">
        <x:v>Birtamode</x:v>
      </x:c>
      <x:c r="E673" t="str">
        <x:v>Pizza Ghar</x:v>
      </x:c>
      <x:c r="F673" t="str">
        <x:v>Bottled Water 1L</x:v>
      </x:c>
      <x:c r="G673" t="str">
        <x:v>Drink</x:v>
      </x:c>
      <x:c r="H673" t="n">
        <x:v>3</x:v>
      </x:c>
      <x:c r="I673" s="14" t="n">
        <x:v>35</x:v>
      </x:c>
      <x:c r="J673" s="14" t="n">
        <x:v>105</x:v>
      </x:c>
      <x:c r="K673" t="str">
        <x:v>DEMO / SIMULATED</x:v>
      </x:c>
    </x:row>
    <x:row r="674">
      <x:c r="A674" t="str">
        <x:v>JFD-20251004-0389</x:v>
      </x:c>
      <x:c r="B674" s="11" t="n">
        <x:v>45934.736805555556</x:v>
      </x:c>
      <x:c r="C674" s="13" t="n">
        <x:v>0.7368055555555556</x:v>
      </x:c>
      <x:c r="D674" t="str">
        <x:v>Damak</x:v>
      </x:c>
      <x:c r="E674" t="str">
        <x:v>Late Night Cravings</x:v>
      </x:c>
      <x:c r="F674" t="str">
        <x:v>Bottled Water 1L</x:v>
      </x:c>
      <x:c r="G674" t="str">
        <x:v>Drink</x:v>
      </x:c>
      <x:c r="H674" t="n">
        <x:v>1</x:v>
      </x:c>
      <x:c r="I674" s="14" t="n">
        <x:v>40</x:v>
      </x:c>
      <x:c r="J674" s="14" t="n">
        <x:v>40</x:v>
      </x:c>
      <x:c r="K674" t="str">
        <x:v>DEMO / SIMULATED</x:v>
      </x:c>
    </x:row>
    <x:row r="675">
      <x:c r="A675" t="str">
        <x:v>JFD-20240109-0390</x:v>
      </x:c>
      <x:c r="B675" s="11" t="n">
        <x:v>45300.74652777778</x:v>
      </x:c>
      <x:c r="C675" s="13" t="n">
        <x:v>0.7465277777777778</x:v>
      </x:c>
      <x:c r="D675" t="str">
        <x:v>Damak</x:v>
      </x:c>
      <x:c r="E675" t="str">
        <x:v>Late Night Cravings</x:v>
      </x:c>
      <x:c r="F675" t="str">
        <x:v>Chicken Fry Rice</x:v>
      </x:c>
      <x:c r="G675" t="str">
        <x:v>Food</x:v>
      </x:c>
      <x:c r="H675" t="n">
        <x:v>3</x:v>
      </x:c>
      <x:c r="I675" s="14" t="n">
        <x:v>195</x:v>
      </x:c>
      <x:c r="J675" s="14" t="n">
        <x:v>585</x:v>
      </x:c>
      <x:c r="K675" t="str">
        <x:v>DEMO / SIMULATED</x:v>
      </x:c>
    </x:row>
    <x:row r="676">
      <x:c r="A676" t="str">
        <x:v>JFD-20230703-0391</x:v>
      </x:c>
      <x:c r="B676" s="11" t="n">
        <x:v>45110.592361111114</x:v>
      </x:c>
      <x:c r="C676" s="13" t="n">
        <x:v>0.5923611111111111</x:v>
      </x:c>
      <x:c r="D676" t="str">
        <x:v>Damak</x:v>
      </x:c>
      <x:c r="E676" t="str">
        <x:v>Late Night Cravings</x:v>
      </x:c>
      <x:c r="F676" t="str">
        <x:v>Chicken Fry Rice</x:v>
      </x:c>
      <x:c r="G676" t="str">
        <x:v>Food</x:v>
      </x:c>
      <x:c r="H676" t="n">
        <x:v>1</x:v>
      </x:c>
      <x:c r="I676" s="14" t="n">
        <x:v>180</x:v>
      </x:c>
      <x:c r="J676" s="14" t="n">
        <x:v>180</x:v>
      </x:c>
      <x:c r="K676" t="str">
        <x:v>DEMO / SIMULATED</x:v>
      </x:c>
    </x:row>
    <x:row r="677">
      <x:c r="A677" t="str">
        <x:v>JFD-20230703-0391</x:v>
      </x:c>
      <x:c r="B677" s="11" t="n">
        <x:v>45110.87777777778</x:v>
      </x:c>
      <x:c r="C677" s="13" t="n">
        <x:v>0.8777777777777778</x:v>
      </x:c>
      <x:c r="D677" t="str">
        <x:v>Damak</x:v>
      </x:c>
      <x:c r="E677" t="str">
        <x:v>Late Night Cravings</x:v>
      </x:c>
      <x:c r="F677" t="str">
        <x:v>Coca-Cola 500ml</x:v>
      </x:c>
      <x:c r="G677" t="str">
        <x:v>Drink</x:v>
      </x:c>
      <x:c r="H677" t="n">
        <x:v>1</x:v>
      </x:c>
      <x:c r="I677" s="14" t="n">
        <x:v>80</x:v>
      </x:c>
      <x:c r="J677" s="14" t="n">
        <x:v>80</x:v>
      </x:c>
      <x:c r="K677" t="str">
        <x:v>DEMO / SIMULATED</x:v>
      </x:c>
    </x:row>
    <x:row r="678">
      <x:c r="A678" t="str">
        <x:v>JFD-20240429-0392</x:v>
      </x:c>
      <x:c r="B678" s="11" t="n">
        <x:v>45411.80972222222</x:v>
      </x:c>
      <x:c r="C678" s="13" t="n">
        <x:v>0.8097222222222222</x:v>
      </x:c>
      <x:c r="D678" t="str">
        <x:v>Birtamode</x:v>
      </x:c>
      <x:c r="E678" t="str">
        <x:v>The Underground Cafe &amp; Restaurant</x:v>
      </x:c>
      <x:c r="F678" t="str">
        <x:v>Aalu Jeera</x:v>
      </x:c>
      <x:c r="G678" t="str">
        <x:v>Food</x:v>
      </x:c>
      <x:c r="H678" t="n">
        <x:v>1</x:v>
      </x:c>
      <x:c r="I678" s="14" t="n">
        <x:v>135</x:v>
      </x:c>
      <x:c r="J678" s="14" t="n">
        <x:v>135</x:v>
      </x:c>
      <x:c r="K678" t="str">
        <x:v>DEMO / SIMULATED</x:v>
      </x:c>
    </x:row>
    <x:row r="679">
      <x:c r="A679" t="str">
        <x:v>JFD-20240429-0392</x:v>
      </x:c>
      <x:c r="B679" s="11" t="n">
        <x:v>45411.51597222222</x:v>
      </x:c>
      <x:c r="C679" s="13" t="n">
        <x:v>0.5159722222222223</x:v>
      </x:c>
      <x:c r="D679" t="str">
        <x:v>Birtamode</x:v>
      </x:c>
      <x:c r="E679" t="str">
        <x:v>The Underground Cafe &amp; Restaurant</x:v>
      </x:c>
      <x:c r="F679" t="str">
        <x:v>Veg Pakauda</x:v>
      </x:c>
      <x:c r="G679" t="str">
        <x:v>Food</x:v>
      </x:c>
      <x:c r="H679" t="n">
        <x:v>2</x:v>
      </x:c>
      <x:c r="I679" s="14" t="n">
        <x:v>155</x:v>
      </x:c>
      <x:c r="J679" s="14" t="n">
        <x:v>310</x:v>
      </x:c>
      <x:c r="K679" t="str">
        <x:v>DEMO / SIMULATED</x:v>
      </x:c>
    </x:row>
    <x:row r="680">
      <x:c r="A680" t="str">
        <x:v>JFD-20240429-0392</x:v>
      </x:c>
      <x:c r="B680" s="11" t="n">
        <x:v>45411.86666666667</x:v>
      </x:c>
      <x:c r="C680" s="13" t="n">
        <x:v>0.8666666666666667</x:v>
      </x:c>
      <x:c r="D680" t="str">
        <x:v>Birtamode</x:v>
      </x:c>
      <x:c r="E680" t="str">
        <x:v>The Underground Cafe &amp; Restaurant</x:v>
      </x:c>
      <x:c r="F680" t="str">
        <x:v>Coca-Cola 500ml</x:v>
      </x:c>
      <x:c r="G680" t="str">
        <x:v>Drink</x:v>
      </x:c>
      <x:c r="H680" t="n">
        <x:v>3</x:v>
      </x:c>
      <x:c r="I680" s="14" t="n">
        <x:v>90</x:v>
      </x:c>
      <x:c r="J680" s="14" t="n">
        <x:v>270</x:v>
      </x:c>
      <x:c r="K680" t="str">
        <x:v>DEMO / SIMULATED</x:v>
      </x:c>
    </x:row>
    <x:row r="681">
      <x:c r="A681" t="str">
        <x:v>JFD-20240408-0393</x:v>
      </x:c>
      <x:c r="B681" s="11" t="n">
        <x:v>45390.64027777778</x:v>
      </x:c>
      <x:c r="C681" s="13" t="n">
        <x:v>0.6402777777777777</x:v>
      </x:c>
      <x:c r="D681" t="str">
        <x:v>Birtamode</x:v>
      </x:c>
      <x:c r="E681" t="str">
        <x:v>Pizza Ghar</x:v>
      </x:c>
      <x:c r="F681" t="str">
        <x:v>Chicken Fried Rice</x:v>
      </x:c>
      <x:c r="G681" t="str">
        <x:v>Food</x:v>
      </x:c>
      <x:c r="H681" t="n">
        <x:v>2</x:v>
      </x:c>
      <x:c r="I681" s="14" t="n">
        <x:v>265</x:v>
      </x:c>
      <x:c r="J681" s="14" t="n">
        <x:v>530</x:v>
      </x:c>
      <x:c r="K681" t="str">
        <x:v>DEMO / SIMULATED</x:v>
      </x:c>
    </x:row>
    <x:row r="682">
      <x:c r="A682" t="str">
        <x:v>JFD-20230224-0394</x:v>
      </x:c>
      <x:c r="B682" s="11" t="n">
        <x:v>44981.66180555556</x:v>
      </x:c>
      <x:c r="C682" s="13" t="n">
        <x:v>0.6618055555555555</x:v>
      </x:c>
      <x:c r="D682" t="str">
        <x:v>Birtamode</x:v>
      </x:c>
      <x:c r="E682" t="str">
        <x:v>The Underground Cafe &amp; Restaurant</x:v>
      </x:c>
      <x:c r="F682" t="str">
        <x:v>Paneer Pakauda</x:v>
      </x:c>
      <x:c r="G682" t="str">
        <x:v>Food</x:v>
      </x:c>
      <x:c r="H682" t="n">
        <x:v>1</x:v>
      </x:c>
      <x:c r="I682" s="14" t="n">
        <x:v>185</x:v>
      </x:c>
      <x:c r="J682" s="14" t="n">
        <x:v>185</x:v>
      </x:c>
      <x:c r="K682" t="str">
        <x:v>DEMO / SIMULATED</x:v>
      </x:c>
    </x:row>
    <x:row r="683">
      <x:c r="A683" t="str">
        <x:v>JFD-20230224-0394</x:v>
      </x:c>
      <x:c r="B683" s="11" t="n">
        <x:v>44981.634722222225</x:v>
      </x:c>
      <x:c r="C683" s="13" t="n">
        <x:v>0.6347222222222222</x:v>
      </x:c>
      <x:c r="D683" t="str">
        <x:v>Birtamode</x:v>
      </x:c>
      <x:c r="E683" t="str">
        <x:v>The Underground Cafe &amp; Restaurant</x:v>
      </x:c>
      <x:c r="F683" t="str">
        <x:v>Coca-Cola 500ml</x:v>
      </x:c>
      <x:c r="G683" t="str">
        <x:v>Drink</x:v>
      </x:c>
      <x:c r="H683" t="n">
        <x:v>2</x:v>
      </x:c>
      <x:c r="I683" s="14" t="n">
        <x:v>80</x:v>
      </x:c>
      <x:c r="J683" s="14" t="n">
        <x:v>160</x:v>
      </x:c>
      <x:c r="K683" t="str">
        <x:v>DEMO / SIMULATED</x:v>
      </x:c>
    </x:row>
    <x:row r="684">
      <x:c r="A684" t="str">
        <x:v>JFD-20230224-0394</x:v>
      </x:c>
      <x:c r="B684" s="11" t="n">
        <x:v>44981.48472222222</x:v>
      </x:c>
      <x:c r="C684" s="13" t="n">
        <x:v>0.4847222222222222</x:v>
      </x:c>
      <x:c r="D684" t="str">
        <x:v>Birtamode</x:v>
      </x:c>
      <x:c r="E684" t="str">
        <x:v>The Underground Cafe &amp; Restaurant</x:v>
      </x:c>
      <x:c r="F684" t="str">
        <x:v>Bottled Water 1L</x:v>
      </x:c>
      <x:c r="G684" t="str">
        <x:v>Drink</x:v>
      </x:c>
      <x:c r="H684" t="n">
        <x:v>1</x:v>
      </x:c>
      <x:c r="I684" s="14" t="n">
        <x:v>35</x:v>
      </x:c>
      <x:c r="J684" s="14" t="n">
        <x:v>35</x:v>
      </x:c>
      <x:c r="K684" t="str">
        <x:v>DEMO / SIMULATED</x:v>
      </x:c>
    </x:row>
    <x:row r="685">
      <x:c r="A685" t="str">
        <x:v>JFD-20231211-0395</x:v>
      </x:c>
      <x:c r="B685" s="11" t="n">
        <x:v>45271.66527777778</x:v>
      </x:c>
      <x:c r="C685" s="13" t="n">
        <x:v>0.6652777777777777</x:v>
      </x:c>
      <x:c r="D685" t="str">
        <x:v>Birtamode</x:v>
      </x:c>
      <x:c r="E685" t="str">
        <x:v>The Underground Cafe &amp; Restaurant</x:v>
      </x:c>
      <x:c r="F685" t="str">
        <x:v>Bottled Water 1L</x:v>
      </x:c>
      <x:c r="G685" t="str">
        <x:v>Drink</x:v>
      </x:c>
      <x:c r="H685" t="n">
        <x:v>2</x:v>
      </x:c>
      <x:c r="I685" s="14" t="n">
        <x:v>35</x:v>
      </x:c>
      <x:c r="J685" s="14" t="n">
        <x:v>70</x:v>
      </x:c>
      <x:c r="K685" t="str">
        <x:v>DEMO / SIMULATED</x:v>
      </x:c>
    </x:row>
    <x:row r="686">
      <x:c r="A686" t="str">
        <x:v>JFD-20231211-0395</x:v>
      </x:c>
      <x:c r="B686" s="11" t="n">
        <x:v>45271.60972222222</x:v>
      </x:c>
      <x:c r="C686" s="13" t="n">
        <x:v>0.6097222222222223</x:v>
      </x:c>
      <x:c r="D686" t="str">
        <x:v>Birtamode</x:v>
      </x:c>
      <x:c r="E686" t="str">
        <x:v>The Underground Cafe &amp; Restaurant</x:v>
      </x:c>
      <x:c r="F686" t="str">
        <x:v>Coca-Cola 500ml</x:v>
      </x:c>
      <x:c r="G686" t="str">
        <x:v>Drink</x:v>
      </x:c>
      <x:c r="H686" t="n">
        <x:v>4</x:v>
      </x:c>
      <x:c r="I686" s="14" t="n">
        <x:v>80</x:v>
      </x:c>
      <x:c r="J686" s="14" t="n">
        <x:v>320</x:v>
      </x:c>
      <x:c r="K686" t="str">
        <x:v>DEMO / SIMULATED</x:v>
      </x:c>
    </x:row>
    <x:row r="687">
      <x:c r="A687" t="str">
        <x:v>JFD-20231211-0395</x:v>
      </x:c>
      <x:c r="B687" s="11" t="n">
        <x:v>45271.75</x:v>
      </x:c>
      <x:c r="C687" s="13" t="n">
        <x:v>0.75</x:v>
      </x:c>
      <x:c r="D687" t="str">
        <x:v>Birtamode</x:v>
      </x:c>
      <x:c r="E687" t="str">
        <x:v>The Underground Cafe &amp; Restaurant</x:v>
      </x:c>
      <x:c r="F687" t="str">
        <x:v>Aalu Jeera</x:v>
      </x:c>
      <x:c r="G687" t="str">
        <x:v>Food</x:v>
      </x:c>
      <x:c r="H687" t="n">
        <x:v>3</x:v>
      </x:c>
      <x:c r="I687" s="14" t="n">
        <x:v>125</x:v>
      </x:c>
      <x:c r="J687" s="14" t="n">
        <x:v>375</x:v>
      </x:c>
      <x:c r="K687" t="str">
        <x:v>DEMO / SIMULATED</x:v>
      </x:c>
    </x:row>
    <x:row r="688">
      <x:c r="A688" t="str">
        <x:v>JFD-20241126-0396</x:v>
      </x:c>
      <x:c r="B688" s="11" t="n">
        <x:v>45622.62777777778</x:v>
      </x:c>
      <x:c r="C688" s="13" t="n">
        <x:v>0.6277777777777778</x:v>
      </x:c>
      <x:c r="D688" t="str">
        <x:v>Damak</x:v>
      </x:c>
      <x:c r="E688" t="str">
        <x:v>Milan’s Bakery</x:v>
      </x:c>
      <x:c r="F688" t="str">
        <x:v>Bottled Water 1L</x:v>
      </x:c>
      <x:c r="G688" t="str">
        <x:v>Drink</x:v>
      </x:c>
      <x:c r="H688" t="n">
        <x:v>4</x:v>
      </x:c>
      <x:c r="I688" s="14" t="n">
        <x:v>35</x:v>
      </x:c>
      <x:c r="J688" s="14" t="n">
        <x:v>140</x:v>
      </x:c>
      <x:c r="K688" t="str">
        <x:v>DEMO / SIMULATED</x:v>
      </x:c>
    </x:row>
    <x:row r="689">
      <x:c r="A689" t="str">
        <x:v>JFD-20241126-0396</x:v>
      </x:c>
      <x:c r="B689" s="11" t="n">
        <x:v>45622.754166666666</x:v>
      </x:c>
      <x:c r="C689" s="13" t="n">
        <x:v>0.7541666666666667</x:v>
      </x:c>
      <x:c r="D689" t="str">
        <x:v>Damak</x:v>
      </x:c>
      <x:c r="E689" t="str">
        <x:v>Milan’s Bakery</x:v>
      </x:c>
      <x:c r="F689" t="str">
        <x:v>Red Velvet Cake</x:v>
      </x:c>
      <x:c r="G689" t="str">
        <x:v>Food</x:v>
      </x:c>
      <x:c r="H689" t="n">
        <x:v>3</x:v>
      </x:c>
      <x:c r="I689" s="14" t="n">
        <x:v>790</x:v>
      </x:c>
      <x:c r="J689" s="14" t="n">
        <x:v>2370</x:v>
      </x:c>
      <x:c r="K689" t="str">
        <x:v>DEMO / SIMULATED</x:v>
      </x:c>
    </x:row>
    <x:row r="690">
      <x:c r="A690" t="str">
        <x:v>JFD-20241126-0396</x:v>
      </x:c>
      <x:c r="B690" s="11" t="n">
        <x:v>45622.69861111111</x:v>
      </x:c>
      <x:c r="C690" s="13" t="n">
        <x:v>0.6986111111111111</x:v>
      </x:c>
      <x:c r="D690" t="str">
        <x:v>Damak</x:v>
      </x:c>
      <x:c r="E690" t="str">
        <x:v>Milan’s Bakery</x:v>
      </x:c>
      <x:c r="F690" t="str">
        <x:v>Chocolate Cake</x:v>
      </x:c>
      <x:c r="G690" t="str">
        <x:v>Food</x:v>
      </x:c>
      <x:c r="H690" t="n">
        <x:v>1</x:v>
      </x:c>
      <x:c r="I690" s="14" t="n">
        <x:v>310</x:v>
      </x:c>
      <x:c r="J690" s="14" t="n">
        <x:v>310</x:v>
      </x:c>
      <x:c r="K690" t="str">
        <x:v>DEMO / SIMULATED</x:v>
      </x:c>
    </x:row>
    <x:row r="691">
      <x:c r="A691" t="str">
        <x:v>JFD-20260108-0397</x:v>
      </x:c>
      <x:c r="B691" s="11" t="n">
        <x:v>46030.430555555555</x:v>
      </x:c>
      <x:c r="C691" s="13" t="n">
        <x:v>0.4305555555555556</x:v>
      </x:c>
      <x:c r="D691" t="str">
        <x:v>Damak</x:v>
      </x:c>
      <x:c r="E691" t="str">
        <x:v>Late Night Cravings</x:v>
      </x:c>
      <x:c r="F691" t="str">
        <x:v>Mix Fry Rice</x:v>
      </x:c>
      <x:c r="G691" t="str">
        <x:v>Food</x:v>
      </x:c>
      <x:c r="H691" t="n">
        <x:v>4</x:v>
      </x:c>
      <x:c r="I691" s="14" t="n">
        <x:v>280</x:v>
      </x:c>
      <x:c r="J691" s="14" t="n">
        <x:v>1120</x:v>
      </x:c>
      <x:c r="K691" t="str">
        <x:v>DEMO / SIMULATED</x:v>
      </x:c>
    </x:row>
    <x:row r="692">
      <x:c r="A692" t="str">
        <x:v>JFD-20250403-0398</x:v>
      </x:c>
      <x:c r="B692" s="11" t="n">
        <x:v>45750.71527777778</x:v>
      </x:c>
      <x:c r="C692" s="13" t="n">
        <x:v>0.7152777777777778</x:v>
      </x:c>
      <x:c r="D692" t="str">
        <x:v>Birtamode</x:v>
      </x:c>
      <x:c r="E692" t="str">
        <x:v>The Underground Cafe &amp; Restaurant</x:v>
      </x:c>
      <x:c r="F692" t="str">
        <x:v>Aalu Jeera</x:v>
      </x:c>
      <x:c r="G692" t="str">
        <x:v>Food</x:v>
      </x:c>
      <x:c r="H692" t="n">
        <x:v>2</x:v>
      </x:c>
      <x:c r="I692" s="14" t="n">
        <x:v>145</x:v>
      </x:c>
      <x:c r="J692" s="14" t="n">
        <x:v>290</x:v>
      </x:c>
      <x:c r="K692" t="str">
        <x:v>DEMO / SIMULATED</x:v>
      </x:c>
    </x:row>
    <x:row r="693">
      <x:c r="A693" t="str">
        <x:v>JFD-20250403-0398</x:v>
      </x:c>
      <x:c r="B693" s="11" t="n">
        <x:v>45750.67986111111</x:v>
      </x:c>
      <x:c r="C693" s="13" t="n">
        <x:v>0.6798611111111111</x:v>
      </x:c>
      <x:c r="D693" t="str">
        <x:v>Birtamode</x:v>
      </x:c>
      <x:c r="E693" t="str">
        <x:v>The Underground Cafe &amp; Restaurant</x:v>
      </x:c>
      <x:c r="F693" t="str">
        <x:v>Coca-Cola 500ml</x:v>
      </x:c>
      <x:c r="G693" t="str">
        <x:v>Drink</x:v>
      </x:c>
      <x:c r="H693" t="n">
        <x:v>2</x:v>
      </x:c>
      <x:c r="I693" s="14" t="n">
        <x:v>95</x:v>
      </x:c>
      <x:c r="J693" s="14" t="n">
        <x:v>190</x:v>
      </x:c>
      <x:c r="K693" t="str">
        <x:v>DEMO / SIMULATED</x:v>
      </x:c>
    </x:row>
    <x:row r="694">
      <x:c r="A694" t="str">
        <x:v>JFD-20250403-0398</x:v>
      </x:c>
      <x:c r="B694" s="11" t="n">
        <x:v>45750.77222222222</x:v>
      </x:c>
      <x:c r="C694" s="13" t="n">
        <x:v>0.7722222222222223</x:v>
      </x:c>
      <x:c r="D694" t="str">
        <x:v>Birtamode</x:v>
      </x:c>
      <x:c r="E694" t="str">
        <x:v>The Underground Cafe &amp; Restaurant</x:v>
      </x:c>
      <x:c r="F694" t="str">
        <x:v>Veg Pakauda</x:v>
      </x:c>
      <x:c r="G694" t="str">
        <x:v>Food</x:v>
      </x:c>
      <x:c r="H694" t="n">
        <x:v>1</x:v>
      </x:c>
      <x:c r="I694" s="14" t="n">
        <x:v>165</x:v>
      </x:c>
      <x:c r="J694" s="14" t="n">
        <x:v>165</x:v>
      </x:c>
      <x:c r="K694" t="str">
        <x:v>DEMO / SIMULATED</x:v>
      </x:c>
    </x:row>
    <x:row r="695">
      <x:c r="A695" t="str">
        <x:v>JFD-20240412-0399</x:v>
      </x:c>
      <x:c r="B695" s="11" t="n">
        <x:v>45394.915972222225</x:v>
      </x:c>
      <x:c r="C695" s="13" t="n">
        <x:v>0.9159722222222222</x:v>
      </x:c>
      <x:c r="D695" t="str">
        <x:v>Damak</x:v>
      </x:c>
      <x:c r="E695" t="str">
        <x:v>Late Night Cravings</x:v>
      </x:c>
      <x:c r="F695" t="str">
        <x:v>Veg Fry Rice</x:v>
      </x:c>
      <x:c r="G695" t="str">
        <x:v>Food</x:v>
      </x:c>
      <x:c r="H695" t="n">
        <x:v>1</x:v>
      </x:c>
      <x:c r="I695" s="14" t="n">
        <x:v>140</x:v>
      </x:c>
      <x:c r="J695" s="14" t="n">
        <x:v>140</x:v>
      </x:c>
      <x:c r="K695" t="str">
        <x:v>DEMO / SIMULATED</x:v>
      </x:c>
    </x:row>
    <x:row r="696">
      <x:c r="A696" t="str">
        <x:v>JFD-20240412-0399</x:v>
      </x:c>
      <x:c r="B696" s="11" t="n">
        <x:v>45394.62847222222</x:v>
      </x:c>
      <x:c r="C696" s="13" t="n">
        <x:v>0.6284722222222222</x:v>
      </x:c>
      <x:c r="D696" t="str">
        <x:v>Damak</x:v>
      </x:c>
      <x:c r="E696" t="str">
        <x:v>Late Night Cravings</x:v>
      </x:c>
      <x:c r="F696" t="str">
        <x:v>Egg Fry Rice</x:v>
      </x:c>
      <x:c r="G696" t="str">
        <x:v>Food</x:v>
      </x:c>
      <x:c r="H696" t="n">
        <x:v>1</x:v>
      </x:c>
      <x:c r="I696" s="14" t="n">
        <x:v>175</x:v>
      </x:c>
      <x:c r="J696" s="14" t="n">
        <x:v>175</x:v>
      </x:c>
      <x:c r="K696" t="str">
        <x:v>DEMO / SIMULATED</x:v>
      </x:c>
    </x:row>
    <x:row r="697">
      <x:c r="A697" t="str">
        <x:v>JFD-20240412-0399</x:v>
      </x:c>
      <x:c r="B697" s="11" t="n">
        <x:v>45394.8125</x:v>
      </x:c>
      <x:c r="C697" s="13" t="n">
        <x:v>0.8125</x:v>
      </x:c>
      <x:c r="D697" t="str">
        <x:v>Damak</x:v>
      </x:c>
      <x:c r="E697" t="str">
        <x:v>Late Night Cravings</x:v>
      </x:c>
      <x:c r="F697" t="str">
        <x:v>Coca-Cola 500ml</x:v>
      </x:c>
      <x:c r="G697" t="str">
        <x:v>Drink</x:v>
      </x:c>
      <x:c r="H697" t="n">
        <x:v>2</x:v>
      </x:c>
      <x:c r="I697" s="14" t="n">
        <x:v>90</x:v>
      </x:c>
      <x:c r="J697" s="14" t="n">
        <x:v>180</x:v>
      </x:c>
      <x:c r="K697" t="str">
        <x:v>DEMO / SIMULATED</x:v>
      </x:c>
    </x:row>
    <x:row r="698">
      <x:c r="A698" t="str">
        <x:v>JFD-20250625-0400</x:v>
      </x:c>
      <x:c r="B698" s="11" t="n">
        <x:v>45833.645833333336</x:v>
      </x:c>
      <x:c r="C698" s="13" t="n">
        <x:v>0.6458333333333334</x:v>
      </x:c>
      <x:c r="D698" t="str">
        <x:v>Damak</x:v>
      </x:c>
      <x:c r="E698" t="str">
        <x:v>Milan’s Bakery</x:v>
      </x:c>
      <x:c r="F698" t="str">
        <x:v>Vanilla Cake</x:v>
      </x:c>
      <x:c r="G698" t="str">
        <x:v>Food</x:v>
      </x:c>
      <x:c r="H698" t="n">
        <x:v>3</x:v>
      </x:c>
      <x:c r="I698" s="14" t="n">
        <x:v>280</x:v>
      </x:c>
      <x:c r="J698" s="14" t="n">
        <x:v>840</x:v>
      </x:c>
      <x:c r="K698" t="str">
        <x:v>DEMO / SIMULATED</x:v>
      </x:c>
    </x:row>
    <x:row r="699">
      <x:c r="A699" t="str">
        <x:v>JFD-20250625-0400</x:v>
      </x:c>
      <x:c r="B699" s="11" t="n">
        <x:v>45833.46666666667</x:v>
      </x:c>
      <x:c r="C699" s="13" t="n">
        <x:v>0.4666666666666667</x:v>
      </x:c>
      <x:c r="D699" t="str">
        <x:v>Damak</x:v>
      </x:c>
      <x:c r="E699" t="str">
        <x:v>Milan’s Bakery</x:v>
      </x:c>
      <x:c r="F699" t="str">
        <x:v>Chocolate Cake</x:v>
      </x:c>
      <x:c r="G699" t="str">
        <x:v>Food</x:v>
      </x:c>
      <x:c r="H699" t="n">
        <x:v>1</x:v>
      </x:c>
      <x:c r="I699" s="14" t="n">
        <x:v>330</x:v>
      </x:c>
      <x:c r="J699" s="14" t="n">
        <x:v>330</x:v>
      </x:c>
      <x:c r="K699" t="str">
        <x:v>DEMO / SIMULATED</x:v>
      </x:c>
    </x:row>
    <x:row r="700">
      <x:c r="A700" t="str">
        <x:v>JFD-20260529-0401</x:v>
      </x:c>
      <x:c r="B700" s="11" t="n">
        <x:v>46171.7125</x:v>
      </x:c>
      <x:c r="C700" s="13" t="n">
        <x:v>0.7125</x:v>
      </x:c>
      <x:c r="D700" t="str">
        <x:v>Birtamode</x:v>
      </x:c>
      <x:c r="E700" t="str">
        <x:v>Pizza Ghar</x:v>
      </x:c>
      <x:c r="F700" t="str">
        <x:v>Egg Fried Rice</x:v>
      </x:c>
      <x:c r="G700" t="str">
        <x:v>Food</x:v>
      </x:c>
      <x:c r="H700" t="n">
        <x:v>4</x:v>
      </x:c>
      <x:c r="I700" s="14" t="n">
        <x:v>270</x:v>
      </x:c>
      <x:c r="J700" s="14" t="n">
        <x:v>1080</x:v>
      </x:c>
      <x:c r="K700" t="str">
        <x:v>DEMO / SIMULATED</x:v>
      </x:c>
    </x:row>
    <x:row r="701">
      <x:c r="A701" t="str">
        <x:v>JFD-20260529-0401</x:v>
      </x:c>
      <x:c r="B701" s="11" t="n">
        <x:v>46171.53333333333</x:v>
      </x:c>
      <x:c r="C701" s="13" t="n">
        <x:v>0.5333333333333333</x:v>
      </x:c>
      <x:c r="D701" t="str">
        <x:v>Birtamode</x:v>
      </x:c>
      <x:c r="E701" t="str">
        <x:v>Pizza Ghar</x:v>
      </x:c>
      <x:c r="F701" t="str">
        <x:v>Veg Fried Rice</x:v>
      </x:c>
      <x:c r="G701" t="str">
        <x:v>Food</x:v>
      </x:c>
      <x:c r="H701" t="n">
        <x:v>4</x:v>
      </x:c>
      <x:c r="I701" s="14" t="n">
        <x:v>220</x:v>
      </x:c>
      <x:c r="J701" s="14" t="n">
        <x:v>880</x:v>
      </x:c>
      <x:c r="K701" t="str">
        <x:v>DEMO / SIMULATED</x:v>
      </x:c>
    </x:row>
    <x:row r="702">
      <x:c r="A702" t="str">
        <x:v>JFD-20230802-0402</x:v>
      </x:c>
      <x:c r="B702" s="11" t="n">
        <x:v>45140.56041666667</x:v>
      </x:c>
      <x:c r="C702" s="13" t="n">
        <x:v>0.5604166666666667</x:v>
      </x:c>
      <x:c r="D702" t="str">
        <x:v>Birtamode</x:v>
      </x:c>
      <x:c r="E702" t="str">
        <x:v>Pizza Ghar</x:v>
      </x:c>
      <x:c r="F702" t="str">
        <x:v>Chicken BBQ Feast Pizza</x:v>
      </x:c>
      <x:c r="G702" t="str">
        <x:v>Food</x:v>
      </x:c>
      <x:c r="H702" t="n">
        <x:v>3</x:v>
      </x:c>
      <x:c r="I702" s="14" t="n">
        <x:v>475</x:v>
      </x:c>
      <x:c r="J702" s="14" t="n">
        <x:v>1425</x:v>
      </x:c>
      <x:c r="K702" t="str">
        <x:v>DEMO / SIMULATED</x:v>
      </x:c>
    </x:row>
    <x:row r="703">
      <x:c r="A703" t="str">
        <x:v>JFD-20250909-0403</x:v>
      </x:c>
      <x:c r="B703" s="11" t="n">
        <x:v>45909.80763888889</x:v>
      </x:c>
      <x:c r="C703" s="13" t="n">
        <x:v>0.8076388888888889</x:v>
      </x:c>
      <x:c r="D703" t="str">
        <x:v>Birtamode</x:v>
      </x:c>
      <x:c r="E703" t="str">
        <x:v>Pizza Ghar</x:v>
      </x:c>
      <x:c r="F703" t="str">
        <x:v>Egg Fried Rice</x:v>
      </x:c>
      <x:c r="G703" t="str">
        <x:v>Food</x:v>
      </x:c>
      <x:c r="H703" t="n">
        <x:v>3</x:v>
      </x:c>
      <x:c r="I703" s="14" t="n">
        <x:v>255</x:v>
      </x:c>
      <x:c r="J703" s="14" t="n">
        <x:v>765</x:v>
      </x:c>
      <x:c r="K703" t="str">
        <x:v>DEMO / SIMULATED</x:v>
      </x:c>
    </x:row>
    <x:row r="704">
      <x:c r="A704" t="str">
        <x:v>JFD-20250909-0403</x:v>
      </x:c>
      <x:c r="B704" s="11" t="n">
        <x:v>45909.458333333336</x:v>
      </x:c>
      <x:c r="C704" s="13" t="n">
        <x:v>0.4583333333333333</x:v>
      </x:c>
      <x:c r="D704" t="str">
        <x:v>Birtamode</x:v>
      </x:c>
      <x:c r="E704" t="str">
        <x:v>Pizza Ghar</x:v>
      </x:c>
      <x:c r="F704" t="str">
        <x:v>Veg Fried Rice</x:v>
      </x:c>
      <x:c r="G704" t="str">
        <x:v>Food</x:v>
      </x:c>
      <x:c r="H704" t="n">
        <x:v>3</x:v>
      </x:c>
      <x:c r="I704" s="14" t="n">
        <x:v>205</x:v>
      </x:c>
      <x:c r="J704" s="14" t="n">
        <x:v>615</x:v>
      </x:c>
      <x:c r="K704" t="str">
        <x:v>DEMO / SIMULATED</x:v>
      </x:c>
    </x:row>
    <x:row r="705">
      <x:c r="A705" t="str">
        <x:v>JFD-20251219-0404</x:v>
      </x:c>
      <x:c r="B705" s="11" t="n">
        <x:v>46010.458333333336</x:v>
      </x:c>
      <x:c r="C705" s="13" t="n">
        <x:v>0.4583333333333333</x:v>
      </x:c>
      <x:c r="D705" t="str">
        <x:v>Birtamode</x:v>
      </x:c>
      <x:c r="E705" t="str">
        <x:v>The Underground Cafe &amp; Restaurant</x:v>
      </x:c>
      <x:c r="F705" t="str">
        <x:v>Aalu Jeera</x:v>
      </x:c>
      <x:c r="G705" t="str">
        <x:v>Food</x:v>
      </x:c>
      <x:c r="H705" t="n">
        <x:v>1</x:v>
      </x:c>
      <x:c r="I705" s="14" t="n">
        <x:v>145</x:v>
      </x:c>
      <x:c r="J705" s="14" t="n">
        <x:v>145</x:v>
      </x:c>
      <x:c r="K705" t="str">
        <x:v>DEMO / SIMULATED</x:v>
      </x:c>
    </x:row>
    <x:row r="706">
      <x:c r="A706" t="str">
        <x:v>JFD-20251219-0404</x:v>
      </x:c>
      <x:c r="B706" s="11" t="n">
        <x:v>46010.45694444444</x:v>
      </x:c>
      <x:c r="C706" s="13" t="n">
        <x:v>0.45694444444444443</x:v>
      </x:c>
      <x:c r="D706" t="str">
        <x:v>Birtamode</x:v>
      </x:c>
      <x:c r="E706" t="str">
        <x:v>The Underground Cafe &amp; Restaurant</x:v>
      </x:c>
      <x:c r="F706" t="str">
        <x:v>Paneer Pakauda</x:v>
      </x:c>
      <x:c r="G706" t="str">
        <x:v>Food</x:v>
      </x:c>
      <x:c r="H706" t="n">
        <x:v>2</x:v>
      </x:c>
      <x:c r="I706" s="14" t="n">
        <x:v>210</x:v>
      </x:c>
      <x:c r="J706" s="14" t="n">
        <x:v>420</x:v>
      </x:c>
      <x:c r="K706" t="str">
        <x:v>DEMO / SIMULATED</x:v>
      </x:c>
    </x:row>
    <x:row r="707">
      <x:c r="A707" t="str">
        <x:v>JFD-20230226-0405</x:v>
      </x:c>
      <x:c r="B707" s="11" t="n">
        <x:v>44983.739583333336</x:v>
      </x:c>
      <x:c r="C707" s="13" t="n">
        <x:v>0.7395833333333334</x:v>
      </x:c>
      <x:c r="D707" t="str">
        <x:v>Damak</x:v>
      </x:c>
      <x:c r="E707" t="str">
        <x:v>Milan’s Bakery</x:v>
      </x:c>
      <x:c r="F707" t="str">
        <x:v>Coca-Cola 500ml</x:v>
      </x:c>
      <x:c r="G707" t="str">
        <x:v>Drink</x:v>
      </x:c>
      <x:c r="H707" t="n">
        <x:v>4</x:v>
      </x:c>
      <x:c r="I707" s="14" t="n">
        <x:v>80</x:v>
      </x:c>
      <x:c r="J707" s="14" t="n">
        <x:v>320</x:v>
      </x:c>
      <x:c r="K707" t="str">
        <x:v>DEMO / SIMULATED</x:v>
      </x:c>
    </x:row>
    <x:row r="708">
      <x:c r="A708" t="str">
        <x:v>JFD-20230315-0406</x:v>
      </x:c>
      <x:c r="B708" s="11" t="n">
        <x:v>45000.788194444445</x:v>
      </x:c>
      <x:c r="C708" s="13" t="n">
        <x:v>0.7881944444444444</x:v>
      </x:c>
      <x:c r="D708" t="str">
        <x:v>Damak</x:v>
      </x:c>
      <x:c r="E708" t="str">
        <x:v>Milan’s Bakery</x:v>
      </x:c>
      <x:c r="F708" t="str">
        <x:v>Vanilla Cake</x:v>
      </x:c>
      <x:c r="G708" t="str">
        <x:v>Food</x:v>
      </x:c>
      <x:c r="H708" t="n">
        <x:v>4</x:v>
      </x:c>
      <x:c r="I708" s="14" t="n">
        <x:v>245</x:v>
      </x:c>
      <x:c r="J708" s="14" t="n">
        <x:v>980</x:v>
      </x:c>
      <x:c r="K708" t="str">
        <x:v>DEMO / SIMULATED</x:v>
      </x:c>
    </x:row>
    <x:row r="709">
      <x:c r="A709" t="str">
        <x:v>JFD-20230315-0406</x:v>
      </x:c>
      <x:c r="B709" s="11" t="n">
        <x:v>45000.84166666667</x:v>
      </x:c>
      <x:c r="C709" s="13" t="n">
        <x:v>0.8416666666666667</x:v>
      </x:c>
      <x:c r="D709" t="str">
        <x:v>Damak</x:v>
      </x:c>
      <x:c r="E709" t="str">
        <x:v>Milan’s Bakery</x:v>
      </x:c>
      <x:c r="F709" t="str">
        <x:v>Black Forest Cake</x:v>
      </x:c>
      <x:c r="G709" t="str">
        <x:v>Food</x:v>
      </x:c>
      <x:c r="H709" t="n">
        <x:v>2</x:v>
      </x:c>
      <x:c r="I709" s="14" t="n">
        <x:v>245</x:v>
      </x:c>
      <x:c r="J709" s="14" t="n">
        <x:v>490</x:v>
      </x:c>
      <x:c r="K709" t="str">
        <x:v>DEMO / SIMULATED</x:v>
      </x:c>
    </x:row>
    <x:row r="710">
      <x:c r="A710" t="str">
        <x:v>JFD-20241017-0407</x:v>
      </x:c>
      <x:c r="B710" s="11" t="n">
        <x:v>45582.850694444445</x:v>
      </x:c>
      <x:c r="C710" s="13" t="n">
        <x:v>0.8506944444444444</x:v>
      </x:c>
      <x:c r="D710" t="str">
        <x:v>Damak</x:v>
      </x:c>
      <x:c r="E710" t="str">
        <x:v>Late Night Cravings</x:v>
      </x:c>
      <x:c r="F710" t="str">
        <x:v>Egg Fry Rice</x:v>
      </x:c>
      <x:c r="G710" t="str">
        <x:v>Food</x:v>
      </x:c>
      <x:c r="H710" t="n">
        <x:v>3</x:v>
      </x:c>
      <x:c r="I710" s="14" t="n">
        <x:v>175</x:v>
      </x:c>
      <x:c r="J710" s="14" t="n">
        <x:v>525</x:v>
      </x:c>
      <x:c r="K710" t="str">
        <x:v>DEMO / SIMULATED</x:v>
      </x:c>
    </x:row>
    <x:row r="711">
      <x:c r="A711" t="str">
        <x:v>JFD-20241017-0407</x:v>
      </x:c>
      <x:c r="B711" s="11" t="n">
        <x:v>45582.509722222225</x:v>
      </x:c>
      <x:c r="C711" s="13" t="n">
        <x:v>0.5097222222222222</x:v>
      </x:c>
      <x:c r="D711" t="str">
        <x:v>Damak</x:v>
      </x:c>
      <x:c r="E711" t="str">
        <x:v>Late Night Cravings</x:v>
      </x:c>
      <x:c r="F711" t="str">
        <x:v>Mix Fry Rice</x:v>
      </x:c>
      <x:c r="G711" t="str">
        <x:v>Food</x:v>
      </x:c>
      <x:c r="H711" t="n">
        <x:v>3</x:v>
      </x:c>
      <x:c r="I711" s="14" t="n">
        <x:v>245</x:v>
      </x:c>
      <x:c r="J711" s="14" t="n">
        <x:v>735</x:v>
      </x:c>
      <x:c r="K711" t="str">
        <x:v>DEMO / SIMULATED</x:v>
      </x:c>
    </x:row>
    <x:row r="712">
      <x:c r="A712" t="str">
        <x:v>JFD-20241017-0407</x:v>
      </x:c>
      <x:c r="B712" s="11" t="n">
        <x:v>45582.58125</x:v>
      </x:c>
      <x:c r="C712" s="13" t="n">
        <x:v>0.58125</x:v>
      </x:c>
      <x:c r="D712" t="str">
        <x:v>Damak</x:v>
      </x:c>
      <x:c r="E712" t="str">
        <x:v>Late Night Cravings</x:v>
      </x:c>
      <x:c r="F712" t="str">
        <x:v>Bottled Water 1L</x:v>
      </x:c>
      <x:c r="G712" t="str">
        <x:v>Drink</x:v>
      </x:c>
      <x:c r="H712" t="n">
        <x:v>1</x:v>
      </x:c>
      <x:c r="I712" s="14" t="n">
        <x:v>35</x:v>
      </x:c>
      <x:c r="J712" s="14" t="n">
        <x:v>35</x:v>
      </x:c>
      <x:c r="K712" t="str">
        <x:v>DEMO / SIMULATED</x:v>
      </x:c>
    </x:row>
    <x:row r="713">
      <x:c r="A713" t="str">
        <x:v>JFD-20231219-0408</x:v>
      </x:c>
      <x:c r="B713" s="11" t="n">
        <x:v>45279.86319444444</x:v>
      </x:c>
      <x:c r="C713" s="13" t="n">
        <x:v>0.8631944444444445</x:v>
      </x:c>
      <x:c r="D713" t="str">
        <x:v>Birtamode</x:v>
      </x:c>
      <x:c r="E713" t="str">
        <x:v>Pizza Ghar</x:v>
      </x:c>
      <x:c r="F713" t="str">
        <x:v>Veg Fried Rice</x:v>
      </x:c>
      <x:c r="G713" t="str">
        <x:v>Food</x:v>
      </x:c>
      <x:c r="H713" t="n">
        <x:v>3</x:v>
      </x:c>
      <x:c r="I713" s="14" t="n">
        <x:v>180</x:v>
      </x:c>
      <x:c r="J713" s="14" t="n">
        <x:v>540</x:v>
      </x:c>
      <x:c r="K713" t="str">
        <x:v>DEMO / SIMULATED</x:v>
      </x:c>
    </x:row>
    <x:row r="714">
      <x:c r="A714" t="str">
        <x:v>JFD-20231219-0408</x:v>
      </x:c>
      <x:c r="B714" s="11" t="n">
        <x:v>45279.83611111111</x:v>
      </x:c>
      <x:c r="C714" s="13" t="n">
        <x:v>0.8361111111111111</x:v>
      </x:c>
      <x:c r="D714" t="str">
        <x:v>Birtamode</x:v>
      </x:c>
      <x:c r="E714" t="str">
        <x:v>Pizza Ghar</x:v>
      </x:c>
      <x:c r="F714" t="str">
        <x:v>Chicken BBQ Feast Pizza</x:v>
      </x:c>
      <x:c r="G714" t="str">
        <x:v>Food</x:v>
      </x:c>
      <x:c r="H714" t="n">
        <x:v>3</x:v>
      </x:c>
      <x:c r="I714" s="14" t="n">
        <x:v>475</x:v>
      </x:c>
      <x:c r="J714" s="14" t="n">
        <x:v>1425</x:v>
      </x:c>
      <x:c r="K714" t="str">
        <x:v>DEMO / SIMULATED</x:v>
      </x:c>
    </x:row>
    <x:row r="715">
      <x:c r="A715" t="str">
        <x:v>JFD-20231219-0408</x:v>
      </x:c>
      <x:c r="B715" s="11" t="n">
        <x:v>45279.82847222222</x:v>
      </x:c>
      <x:c r="C715" s="13" t="n">
        <x:v>0.8284722222222223</x:v>
      </x:c>
      <x:c r="D715" t="str">
        <x:v>Birtamode</x:v>
      </x:c>
      <x:c r="E715" t="str">
        <x:v>Pizza Ghar</x:v>
      </x:c>
      <x:c r="F715" t="str">
        <x:v>Bottled Water 1L</x:v>
      </x:c>
      <x:c r="G715" t="str">
        <x:v>Drink</x:v>
      </x:c>
      <x:c r="H715" t="n">
        <x:v>1</x:v>
      </x:c>
      <x:c r="I715" s="14" t="n">
        <x:v>35</x:v>
      </x:c>
      <x:c r="J715" s="14" t="n">
        <x:v>35</x:v>
      </x:c>
      <x:c r="K715" t="str">
        <x:v>DEMO / SIMULATED</x:v>
      </x:c>
    </x:row>
    <x:row r="716">
      <x:c r="A716" t="str">
        <x:v>JFD-20231123-0409</x:v>
      </x:c>
      <x:c r="B716" s="11" t="n">
        <x:v>45253.646527777775</x:v>
      </x:c>
      <x:c r="C716" s="13" t="n">
        <x:v>0.6465277777777778</x:v>
      </x:c>
      <x:c r="D716" t="str">
        <x:v>Birtamode</x:v>
      </x:c>
      <x:c r="E716" t="str">
        <x:v>Pizza Ghar</x:v>
      </x:c>
      <x:c r="F716" t="str">
        <x:v>Bottled Water 1L</x:v>
      </x:c>
      <x:c r="G716" t="str">
        <x:v>Drink</x:v>
      </x:c>
      <x:c r="H716" t="n">
        <x:v>4</x:v>
      </x:c>
      <x:c r="I716" s="14" t="n">
        <x:v>35</x:v>
      </x:c>
      <x:c r="J716" s="14" t="n">
        <x:v>140</x:v>
      </x:c>
      <x:c r="K716" t="str">
        <x:v>DEMO / SIMULATED</x:v>
      </x:c>
    </x:row>
    <x:row r="717">
      <x:c r="A717" t="str">
        <x:v>JFD-20231123-0409</x:v>
      </x:c>
      <x:c r="B717" s="11" t="n">
        <x:v>45253.805555555555</x:v>
      </x:c>
      <x:c r="C717" s="13" t="n">
        <x:v>0.8055555555555556</x:v>
      </x:c>
      <x:c r="D717" t="str">
        <x:v>Birtamode</x:v>
      </x:c>
      <x:c r="E717" t="str">
        <x:v>Pizza Ghar</x:v>
      </x:c>
      <x:c r="F717" t="str">
        <x:v>Veg Fried Rice</x:v>
      </x:c>
      <x:c r="G717" t="str">
        <x:v>Food</x:v>
      </x:c>
      <x:c r="H717" t="n">
        <x:v>1</x:v>
      </x:c>
      <x:c r="I717" s="14" t="n">
        <x:v>180</x:v>
      </x:c>
      <x:c r="J717" s="14" t="n">
        <x:v>180</x:v>
      </x:c>
      <x:c r="K717" t="str">
        <x:v>DEMO / SIMULATED</x:v>
      </x:c>
    </x:row>
    <x:row r="718">
      <x:c r="A718" t="str">
        <x:v>JFD-20251124-0410</x:v>
      </x:c>
      <x:c r="B718" s="11" t="n">
        <x:v>45985.583333333336</x:v>
      </x:c>
      <x:c r="C718" s="13" t="n">
        <x:v>0.5833333333333334</x:v>
      </x:c>
      <x:c r="D718" t="str">
        <x:v>Damak</x:v>
      </x:c>
      <x:c r="E718" t="str">
        <x:v>Milan’s Bakery</x:v>
      </x:c>
      <x:c r="F718" t="str">
        <x:v>Red Velvet Cake</x:v>
      </x:c>
      <x:c r="G718" t="str">
        <x:v>Food</x:v>
      </x:c>
      <x:c r="H718" t="n">
        <x:v>1</x:v>
      </x:c>
      <x:c r="I718" s="14" t="n">
        <x:v>845</x:v>
      </x:c>
      <x:c r="J718" s="14" t="n">
        <x:v>845</x:v>
      </x:c>
      <x:c r="K718" t="str">
        <x:v>DEMO / SIMULATED</x:v>
      </x:c>
    </x:row>
    <x:row r="719">
      <x:c r="A719" t="str">
        <x:v>JFD-20260520-0411</x:v>
      </x:c>
      <x:c r="B719" s="11" t="n">
        <x:v>46162.70763888889</x:v>
      </x:c>
      <x:c r="C719" s="13" t="n">
        <x:v>0.7076388888888889</x:v>
      </x:c>
      <x:c r="D719" t="str">
        <x:v>Birtamode</x:v>
      </x:c>
      <x:c r="E719" t="str">
        <x:v>The Underground Cafe &amp; Restaurant</x:v>
      </x:c>
      <x:c r="F719" t="str">
        <x:v>Coca-Cola 500ml</x:v>
      </x:c>
      <x:c r="G719" t="str">
        <x:v>Drink</x:v>
      </x:c>
      <x:c r="H719" t="n">
        <x:v>3</x:v>
      </x:c>
      <x:c r="I719" s="14" t="n">
        <x:v>100</x:v>
      </x:c>
      <x:c r="J719" s="14" t="n">
        <x:v>300</x:v>
      </x:c>
      <x:c r="K719" t="str">
        <x:v>DEMO / SIMULATED</x:v>
      </x:c>
    </x:row>
    <x:row r="720">
      <x:c r="A720" t="str">
        <x:v>JFD-20240222-0412</x:v>
      </x:c>
      <x:c r="B720" s="11" t="n">
        <x:v>45344.49652777778</x:v>
      </x:c>
      <x:c r="C720" s="13" t="n">
        <x:v>0.4965277777777778</x:v>
      </x:c>
      <x:c r="D720" t="str">
        <x:v>Birtamode</x:v>
      </x:c>
      <x:c r="E720" t="str">
        <x:v>Pizza Ghar</x:v>
      </x:c>
      <x:c r="F720" t="str">
        <x:v>Bottled Water 1L</x:v>
      </x:c>
      <x:c r="G720" t="str">
        <x:v>Drink</x:v>
      </x:c>
      <x:c r="H720" t="n">
        <x:v>1</x:v>
      </x:c>
      <x:c r="I720" s="14" t="n">
        <x:v>35</x:v>
      </x:c>
      <x:c r="J720" s="14" t="n">
        <x:v>35</x:v>
      </x:c>
      <x:c r="K720" t="str">
        <x:v>DEMO / SIMULATED</x:v>
      </x:c>
    </x:row>
    <x:row r="721">
      <x:c r="A721" t="str">
        <x:v>JFD-20240222-0412</x:v>
      </x:c>
      <x:c r="B721" s="11" t="n">
        <x:v>45344.68680555555</x:v>
      </x:c>
      <x:c r="C721" s="13" t="n">
        <x:v>0.6868055555555556</x:v>
      </x:c>
      <x:c r="D721" t="str">
        <x:v>Birtamode</x:v>
      </x:c>
      <x:c r="E721" t="str">
        <x:v>Pizza Ghar</x:v>
      </x:c>
      <x:c r="F721" t="str">
        <x:v>Veg Fried Rice</x:v>
      </x:c>
      <x:c r="G721" t="str">
        <x:v>Food</x:v>
      </x:c>
      <x:c r="H721" t="n">
        <x:v>4</x:v>
      </x:c>
      <x:c r="I721" s="14" t="n">
        <x:v>195</x:v>
      </x:c>
      <x:c r="J721" s="14" t="n">
        <x:v>780</x:v>
      </x:c>
      <x:c r="K721" t="str">
        <x:v>DEMO / SIMULATED</x:v>
      </x:c>
    </x:row>
    <x:row r="722">
      <x:c r="A722" t="str">
        <x:v>JFD-20260410-0413</x:v>
      </x:c>
      <x:c r="B722" s="11" t="n">
        <x:v>46122.76458333333</x:v>
      </x:c>
      <x:c r="C722" s="13" t="n">
        <x:v>0.7645833333333333</x:v>
      </x:c>
      <x:c r="D722" t="str">
        <x:v>Birtamode</x:v>
      </x:c>
      <x:c r="E722" t="str">
        <x:v>The Underground Cafe &amp; Restaurant</x:v>
      </x:c>
      <x:c r="F722" t="str">
        <x:v>Paneer Pakauda</x:v>
      </x:c>
      <x:c r="G722" t="str">
        <x:v>Food</x:v>
      </x:c>
      <x:c r="H722" t="n">
        <x:v>4</x:v>
      </x:c>
      <x:c r="I722" s="14" t="n">
        <x:v>225</x:v>
      </x:c>
      <x:c r="J722" s="14" t="n">
        <x:v>900</x:v>
      </x:c>
      <x:c r="K722" t="str">
        <x:v>DEMO / SIMULATED</x:v>
      </x:c>
    </x:row>
    <x:row r="723">
      <x:c r="A723" t="str">
        <x:v>JFD-20260410-0413</x:v>
      </x:c>
      <x:c r="B723" s="11" t="n">
        <x:v>46122.75763888889</x:v>
      </x:c>
      <x:c r="C723" s="13" t="n">
        <x:v>0.7576388888888889</x:v>
      </x:c>
      <x:c r="D723" t="str">
        <x:v>Birtamode</x:v>
      </x:c>
      <x:c r="E723" t="str">
        <x:v>The Underground Cafe &amp; Restaurant</x:v>
      </x:c>
      <x:c r="F723" t="str">
        <x:v>Bottled Water 1L</x:v>
      </x:c>
      <x:c r="G723" t="str">
        <x:v>Drink</x:v>
      </x:c>
      <x:c r="H723" t="n">
        <x:v>4</x:v>
      </x:c>
      <x:c r="I723" s="14" t="n">
        <x:v>40</x:v>
      </x:c>
      <x:c r="J723" s="14" t="n">
        <x:v>160</x:v>
      </x:c>
      <x:c r="K723" t="str">
        <x:v>DEMO / SIMULATED</x:v>
      </x:c>
    </x:row>
    <x:row r="724">
      <x:c r="A724" t="str">
        <x:v>JFD-20260410-0413</x:v>
      </x:c>
      <x:c r="B724" s="11" t="n">
        <x:v>46122.48263888889</x:v>
      </x:c>
      <x:c r="C724" s="13" t="n">
        <x:v>0.4826388888888889</x:v>
      </x:c>
      <x:c r="D724" t="str">
        <x:v>Birtamode</x:v>
      </x:c>
      <x:c r="E724" t="str">
        <x:v>The Underground Cafe &amp; Restaurant</x:v>
      </x:c>
      <x:c r="F724" t="str">
        <x:v>Veg Pakauda</x:v>
      </x:c>
      <x:c r="G724" t="str">
        <x:v>Food</x:v>
      </x:c>
      <x:c r="H724" t="n">
        <x:v>1</x:v>
      </x:c>
      <x:c r="I724" s="14" t="n">
        <x:v>175</x:v>
      </x:c>
      <x:c r="J724" s="14" t="n">
        <x:v>175</x:v>
      </x:c>
      <x:c r="K724" t="str">
        <x:v>DEMO / SIMULATED</x:v>
      </x:c>
    </x:row>
    <x:row r="725">
      <x:c r="A725" t="str">
        <x:v>JFD-20251124-0414</x:v>
      </x:c>
      <x:c r="B725" s="11" t="n">
        <x:v>45985.79722222222</x:v>
      </x:c>
      <x:c r="C725" s="13" t="n">
        <x:v>0.7972222222222223</x:v>
      </x:c>
      <x:c r="D725" t="str">
        <x:v>Birtamode</x:v>
      </x:c>
      <x:c r="E725" t="str">
        <x:v>Pizza Ghar</x:v>
      </x:c>
      <x:c r="F725" t="str">
        <x:v>Chicken Fried Rice</x:v>
      </x:c>
      <x:c r="G725" t="str">
        <x:v>Food</x:v>
      </x:c>
      <x:c r="H725" t="n">
        <x:v>3</x:v>
      </x:c>
      <x:c r="I725" s="14" t="n">
        <x:v>280</x:v>
      </x:c>
      <x:c r="J725" s="14" t="n">
        <x:v>840</x:v>
      </x:c>
      <x:c r="K725" t="str">
        <x:v>DEMO / SIMULATED</x:v>
      </x:c>
    </x:row>
    <x:row r="726">
      <x:c r="A726" t="str">
        <x:v>JFD-20251124-0414</x:v>
      </x:c>
      <x:c r="B726" s="11" t="n">
        <x:v>45985.6</x:v>
      </x:c>
      <x:c r="C726" s="13" t="n">
        <x:v>0.6</x:v>
      </x:c>
      <x:c r="D726" t="str">
        <x:v>Birtamode</x:v>
      </x:c>
      <x:c r="E726" t="str">
        <x:v>Pizza Ghar</x:v>
      </x:c>
      <x:c r="F726" t="str">
        <x:v>Egg Fried Rice</x:v>
      </x:c>
      <x:c r="G726" t="str">
        <x:v>Food</x:v>
      </x:c>
      <x:c r="H726" t="n">
        <x:v>1</x:v>
      </x:c>
      <x:c r="I726" s="14" t="n">
        <x:v>255</x:v>
      </x:c>
      <x:c r="J726" s="14" t="n">
        <x:v>255</x:v>
      </x:c>
      <x:c r="K726" t="str">
        <x:v>DEMO / SIMULATED</x:v>
      </x:c>
    </x:row>
    <x:row r="727">
      <x:c r="A727" t="str">
        <x:v>JFD-20240805-0415</x:v>
      </x:c>
      <x:c r="B727" s="11" t="n">
        <x:v>45509.85972222222</x:v>
      </x:c>
      <x:c r="C727" s="13" t="n">
        <x:v>0.8597222222222223</x:v>
      </x:c>
      <x:c r="D727" t="str">
        <x:v>Damak</x:v>
      </x:c>
      <x:c r="E727" t="str">
        <x:v>Milan’s Bakery</x:v>
      </x:c>
      <x:c r="F727" t="str">
        <x:v>Black Forest Cake</x:v>
      </x:c>
      <x:c r="G727" t="str">
        <x:v>Food</x:v>
      </x:c>
      <x:c r="H727" t="n">
        <x:v>2</x:v>
      </x:c>
      <x:c r="I727" s="14" t="n">
        <x:v>265</x:v>
      </x:c>
      <x:c r="J727" s="14" t="n">
        <x:v>530</x:v>
      </x:c>
      <x:c r="K727" t="str">
        <x:v>DEMO / SIMULATED</x:v>
      </x:c>
    </x:row>
    <x:row r="728">
      <x:c r="A728" t="str">
        <x:v>JFD-20230523-0416</x:v>
      </x:c>
      <x:c r="B728" s="11" t="n">
        <x:v>45069.48263888889</x:v>
      </x:c>
      <x:c r="C728" s="13" t="n">
        <x:v>0.4826388888888889</x:v>
      </x:c>
      <x:c r="D728" t="str">
        <x:v>Damak</x:v>
      </x:c>
      <x:c r="E728" t="str">
        <x:v>Late Night Cravings</x:v>
      </x:c>
      <x:c r="F728" t="str">
        <x:v>Chicken Fry Rice</x:v>
      </x:c>
      <x:c r="G728" t="str">
        <x:v>Food</x:v>
      </x:c>
      <x:c r="H728" t="n">
        <x:v>2</x:v>
      </x:c>
      <x:c r="I728" s="14" t="n">
        <x:v>180</x:v>
      </x:c>
      <x:c r="J728" s="14" t="n">
        <x:v>360</x:v>
      </x:c>
      <x:c r="K728" t="str">
        <x:v>DEMO / SIMULATED</x:v>
      </x:c>
    </x:row>
    <x:row r="729">
      <x:c r="A729" t="str">
        <x:v>JFD-20250911-0417</x:v>
      </x:c>
      <x:c r="B729" s="11" t="n">
        <x:v>45911.549305555556</x:v>
      </x:c>
      <x:c r="C729" s="13" t="n">
        <x:v>0.5493055555555556</x:v>
      </x:c>
      <x:c r="D729" t="str">
        <x:v>Damak</x:v>
      </x:c>
      <x:c r="E729" t="str">
        <x:v>Late Night Cravings</x:v>
      </x:c>
      <x:c r="F729" t="str">
        <x:v>Egg Fry Rice</x:v>
      </x:c>
      <x:c r="G729" t="str">
        <x:v>Food</x:v>
      </x:c>
      <x:c r="H729" t="n">
        <x:v>1</x:v>
      </x:c>
      <x:c r="I729" s="14" t="n">
        <x:v>190</x:v>
      </x:c>
      <x:c r="J729" s="14" t="n">
        <x:v>190</x:v>
      </x:c>
      <x:c r="K729" t="str">
        <x:v>DEMO / SIMULATED</x:v>
      </x:c>
    </x:row>
    <x:row r="730">
      <x:c r="A730" t="str">
        <x:v>JFD-20250911-0417</x:v>
      </x:c>
      <x:c r="B730" s="11" t="n">
        <x:v>45911.58263888889</x:v>
      </x:c>
      <x:c r="C730" s="13" t="n">
        <x:v>0.5826388888888889</x:v>
      </x:c>
      <x:c r="D730" t="str">
        <x:v>Damak</x:v>
      </x:c>
      <x:c r="E730" t="str">
        <x:v>Late Night Cravings</x:v>
      </x:c>
      <x:c r="F730" t="str">
        <x:v>Coca-Cola 500ml</x:v>
      </x:c>
      <x:c r="G730" t="str">
        <x:v>Drink</x:v>
      </x:c>
      <x:c r="H730" t="n">
        <x:v>3</x:v>
      </x:c>
      <x:c r="I730" s="14" t="n">
        <x:v>95</x:v>
      </x:c>
      <x:c r="J730" s="14" t="n">
        <x:v>285</x:v>
      </x:c>
      <x:c r="K730" t="str">
        <x:v>DEMO / SIMULATED</x:v>
      </x:c>
    </x:row>
    <x:row r="731">
      <x:c r="A731" t="str">
        <x:v>JFD-20250911-0417</x:v>
      </x:c>
      <x:c r="B731" s="11" t="n">
        <x:v>45911.850694444445</x:v>
      </x:c>
      <x:c r="C731" s="13" t="n">
        <x:v>0.8506944444444444</x:v>
      </x:c>
      <x:c r="D731" t="str">
        <x:v>Damak</x:v>
      </x:c>
      <x:c r="E731" t="str">
        <x:v>Late Night Cravings</x:v>
      </x:c>
      <x:c r="F731" t="str">
        <x:v>Mix Fry Rice</x:v>
      </x:c>
      <x:c r="G731" t="str">
        <x:v>Food</x:v>
      </x:c>
      <x:c r="H731" t="n">
        <x:v>1</x:v>
      </x:c>
      <x:c r="I731" s="14" t="n">
        <x:v>265</x:v>
      </x:c>
      <x:c r="J731" s="14" t="n">
        <x:v>265</x:v>
      </x:c>
      <x:c r="K731" t="str">
        <x:v>DEMO / SIMULATED</x:v>
      </x:c>
    </x:row>
    <x:row r="732">
      <x:c r="A732" t="str">
        <x:v>JFD-20251017-0418</x:v>
      </x:c>
      <x:c r="B732" s="11" t="n">
        <x:v>45947.472916666666</x:v>
      </x:c>
      <x:c r="C732" s="13" t="n">
        <x:v>0.47291666666666665</x:v>
      </x:c>
      <x:c r="D732" t="str">
        <x:v>Birtamode</x:v>
      </x:c>
      <x:c r="E732" t="str">
        <x:v>The Underground Cafe &amp; Restaurant</x:v>
      </x:c>
      <x:c r="F732" t="str">
        <x:v>Bottled Water 1L</x:v>
      </x:c>
      <x:c r="G732" t="str">
        <x:v>Drink</x:v>
      </x:c>
      <x:c r="H732" t="n">
        <x:v>3</x:v>
      </x:c>
      <x:c r="I732" s="14" t="n">
        <x:v>40</x:v>
      </x:c>
      <x:c r="J732" s="14" t="n">
        <x:v>120</x:v>
      </x:c>
      <x:c r="K732" t="str">
        <x:v>DEMO / SIMULATED</x:v>
      </x:c>
    </x:row>
    <x:row r="733">
      <x:c r="A733" t="str">
        <x:v>JFD-20251017-0418</x:v>
      </x:c>
      <x:c r="B733" s="11" t="n">
        <x:v>45947.53125</x:v>
      </x:c>
      <x:c r="C733" s="13" t="n">
        <x:v>0.53125</x:v>
      </x:c>
      <x:c r="D733" t="str">
        <x:v>Birtamode</x:v>
      </x:c>
      <x:c r="E733" t="str">
        <x:v>The Underground Cafe &amp; Restaurant</x:v>
      </x:c>
      <x:c r="F733" t="str">
        <x:v>Paneer Pakauda</x:v>
      </x:c>
      <x:c r="G733" t="str">
        <x:v>Food</x:v>
      </x:c>
      <x:c r="H733" t="n">
        <x:v>2</x:v>
      </x:c>
      <x:c r="I733" s="14" t="n">
        <x:v>210</x:v>
      </x:c>
      <x:c r="J733" s="14" t="n">
        <x:v>420</x:v>
      </x:c>
      <x:c r="K733" t="str">
        <x:v>DEMO / SIMULATED</x:v>
      </x:c>
    </x:row>
    <x:row r="734">
      <x:c r="A734" t="str">
        <x:v>JFD-20230828-0419</x:v>
      </x:c>
      <x:c r="B734" s="11" t="n">
        <x:v>45166.65625</x:v>
      </x:c>
      <x:c r="C734" s="13" t="n">
        <x:v>0.65625</x:v>
      </x:c>
      <x:c r="D734" t="str">
        <x:v>Damak</x:v>
      </x:c>
      <x:c r="E734" t="str">
        <x:v>Milan’s Bakery</x:v>
      </x:c>
      <x:c r="F734" t="str">
        <x:v>Bottled Water 1L</x:v>
      </x:c>
      <x:c r="G734" t="str">
        <x:v>Drink</x:v>
      </x:c>
      <x:c r="H734" t="n">
        <x:v>1</x:v>
      </x:c>
      <x:c r="I734" s="14" t="n">
        <x:v>35</x:v>
      </x:c>
      <x:c r="J734" s="14" t="n">
        <x:v>35</x:v>
      </x:c>
      <x:c r="K734" t="str">
        <x:v>DEMO / SIMULATED</x:v>
      </x:c>
    </x:row>
    <x:row r="735">
      <x:c r="A735" t="str">
        <x:v>JFD-20251227-0420</x:v>
      </x:c>
      <x:c r="B735" s="11" t="n">
        <x:v>46018.864583333336</x:v>
      </x:c>
      <x:c r="C735" s="13" t="n">
        <x:v>0.8645833333333334</x:v>
      </x:c>
      <x:c r="D735" t="str">
        <x:v>Damak</x:v>
      </x:c>
      <x:c r="E735" t="str">
        <x:v>Milan’s Bakery</x:v>
      </x:c>
      <x:c r="F735" t="str">
        <x:v>Vanilla Cake</x:v>
      </x:c>
      <x:c r="G735" t="str">
        <x:v>Food</x:v>
      </x:c>
      <x:c r="H735" t="n">
        <x:v>1</x:v>
      </x:c>
      <x:c r="I735" s="14" t="n">
        <x:v>280</x:v>
      </x:c>
      <x:c r="J735" s="14" t="n">
        <x:v>280</x:v>
      </x:c>
      <x:c r="K735" t="str">
        <x:v>DEMO / SIMULATED</x:v>
      </x:c>
    </x:row>
    <x:row r="736">
      <x:c r="A736" t="str">
        <x:v>JFD-20241018-0421</x:v>
      </x:c>
      <x:c r="B736" s="11" t="n">
        <x:v>45583.722916666666</x:v>
      </x:c>
      <x:c r="C736" s="13" t="n">
        <x:v>0.7229166666666667</x:v>
      </x:c>
      <x:c r="D736" t="str">
        <x:v>Damak</x:v>
      </x:c>
      <x:c r="E736" t="str">
        <x:v>Late Night Cravings</x:v>
      </x:c>
      <x:c r="F736" t="str">
        <x:v>Chicken Fry Rice</x:v>
      </x:c>
      <x:c r="G736" t="str">
        <x:v>Food</x:v>
      </x:c>
      <x:c r="H736" t="n">
        <x:v>1</x:v>
      </x:c>
      <x:c r="I736" s="14" t="n">
        <x:v>195</x:v>
      </x:c>
      <x:c r="J736" s="14" t="n">
        <x:v>195</x:v>
      </x:c>
      <x:c r="K736" t="str">
        <x:v>DEMO / SIMULATED</x:v>
      </x:c>
    </x:row>
    <x:row r="737">
      <x:c r="A737" t="str">
        <x:v>JFD-20241018-0421</x:v>
      </x:c>
      <x:c r="B737" s="11" t="n">
        <x:v>45583.42013888889</x:v>
      </x:c>
      <x:c r="C737" s="13" t="n">
        <x:v>0.4201388888888889</x:v>
      </x:c>
      <x:c r="D737" t="str">
        <x:v>Damak</x:v>
      </x:c>
      <x:c r="E737" t="str">
        <x:v>Late Night Cravings</x:v>
      </x:c>
      <x:c r="F737" t="str">
        <x:v>Egg Fry Rice</x:v>
      </x:c>
      <x:c r="G737" t="str">
        <x:v>Food</x:v>
      </x:c>
      <x:c r="H737" t="n">
        <x:v>4</x:v>
      </x:c>
      <x:c r="I737" s="14" t="n">
        <x:v>175</x:v>
      </x:c>
      <x:c r="J737" s="14" t="n">
        <x:v>700</x:v>
      </x:c>
      <x:c r="K737" t="str">
        <x:v>DEMO / SIMULATED</x:v>
      </x:c>
    </x:row>
    <x:row r="738">
      <x:c r="A738" t="str">
        <x:v>JFD-20241018-0421</x:v>
      </x:c>
      <x:c r="B738" s="11" t="n">
        <x:v>45583.64097222222</x:v>
      </x:c>
      <x:c r="C738" s="13" t="n">
        <x:v>0.6409722222222223</x:v>
      </x:c>
      <x:c r="D738" t="str">
        <x:v>Damak</x:v>
      </x:c>
      <x:c r="E738" t="str">
        <x:v>Late Night Cravings</x:v>
      </x:c>
      <x:c r="F738" t="str">
        <x:v>Veg Fry Rice</x:v>
      </x:c>
      <x:c r="G738" t="str">
        <x:v>Food</x:v>
      </x:c>
      <x:c r="H738" t="n">
        <x:v>3</x:v>
      </x:c>
      <x:c r="I738" s="14" t="n">
        <x:v>140</x:v>
      </x:c>
      <x:c r="J738" s="14" t="n">
        <x:v>420</x:v>
      </x:c>
      <x:c r="K738" t="str">
        <x:v>DEMO / SIMULATED</x:v>
      </x:c>
    </x:row>
    <x:row r="739">
      <x:c r="A739" t="str">
        <x:v>JFD-20260222-0422</x:v>
      </x:c>
      <x:c r="B739" s="11" t="n">
        <x:v>46075.459027777775</x:v>
      </x:c>
      <x:c r="C739" s="13" t="n">
        <x:v>0.45902777777777776</x:v>
      </x:c>
      <x:c r="D739" t="str">
        <x:v>Birtamode</x:v>
      </x:c>
      <x:c r="E739" t="str">
        <x:v>Pizza Ghar</x:v>
      </x:c>
      <x:c r="F739" t="str">
        <x:v>Egg Fried Rice</x:v>
      </x:c>
      <x:c r="G739" t="str">
        <x:v>Food</x:v>
      </x:c>
      <x:c r="H739" t="n">
        <x:v>2</x:v>
      </x:c>
      <x:c r="I739" s="14" t="n">
        <x:v>270</x:v>
      </x:c>
      <x:c r="J739" s="14" t="n">
        <x:v>540</x:v>
      </x:c>
      <x:c r="K739" t="str">
        <x:v>DEMO / SIMULATED</x:v>
      </x:c>
    </x:row>
    <x:row r="740">
      <x:c r="A740" t="str">
        <x:v>JFD-20230821-0423</x:v>
      </x:c>
      <x:c r="B740" s="11" t="n">
        <x:v>45159.864583333336</x:v>
      </x:c>
      <x:c r="C740" s="13" t="n">
        <x:v>0.8645833333333334</x:v>
      </x:c>
      <x:c r="D740" t="str">
        <x:v>Birtamode</x:v>
      </x:c>
      <x:c r="E740" t="str">
        <x:v>The Underground Cafe &amp; Restaurant</x:v>
      </x:c>
      <x:c r="F740" t="str">
        <x:v>Coca-Cola 500ml</x:v>
      </x:c>
      <x:c r="G740" t="str">
        <x:v>Drink</x:v>
      </x:c>
      <x:c r="H740" t="n">
        <x:v>2</x:v>
      </x:c>
      <x:c r="I740" s="14" t="n">
        <x:v>80</x:v>
      </x:c>
      <x:c r="J740" s="14" t="n">
        <x:v>160</x:v>
      </x:c>
      <x:c r="K740" t="str">
        <x:v>DEMO / SIMULATED</x:v>
      </x:c>
    </x:row>
    <x:row r="741">
      <x:c r="A741" t="str">
        <x:v>JFD-20230821-0423</x:v>
      </x:c>
      <x:c r="B741" s="11" t="n">
        <x:v>45159.64444444444</x:v>
      </x:c>
      <x:c r="C741" s="13" t="n">
        <x:v>0.6444444444444445</x:v>
      </x:c>
      <x:c r="D741" t="str">
        <x:v>Birtamode</x:v>
      </x:c>
      <x:c r="E741" t="str">
        <x:v>The Underground Cafe &amp; Restaurant</x:v>
      </x:c>
      <x:c r="F741" t="str">
        <x:v>Veg Pakauda</x:v>
      </x:c>
      <x:c r="G741" t="str">
        <x:v>Food</x:v>
      </x:c>
      <x:c r="H741" t="n">
        <x:v>3</x:v>
      </x:c>
      <x:c r="I741" s="14" t="n">
        <x:v>145</x:v>
      </x:c>
      <x:c r="J741" s="14" t="n">
        <x:v>435</x:v>
      </x:c>
      <x:c r="K741" t="str">
        <x:v>DEMO / SIMULATED</x:v>
      </x:c>
    </x:row>
    <x:row r="742">
      <x:c r="A742" t="str">
        <x:v>JFD-20250217-0424</x:v>
      </x:c>
      <x:c r="B742" s="11" t="n">
        <x:v>45705.62222222222</x:v>
      </x:c>
      <x:c r="C742" s="13" t="n">
        <x:v>0.6222222222222222</x:v>
      </x:c>
      <x:c r="D742" t="str">
        <x:v>Damak</x:v>
      </x:c>
      <x:c r="E742" t="str">
        <x:v>Late Night Cravings</x:v>
      </x:c>
      <x:c r="F742" t="str">
        <x:v>Mix Fry Rice</x:v>
      </x:c>
      <x:c r="G742" t="str">
        <x:v>Food</x:v>
      </x:c>
      <x:c r="H742" t="n">
        <x:v>2</x:v>
      </x:c>
      <x:c r="I742" s="14" t="n">
        <x:v>265</x:v>
      </x:c>
      <x:c r="J742" s="14" t="n">
        <x:v>530</x:v>
      </x:c>
      <x:c r="K742" t="str">
        <x:v>DEMO / SIMULATED</x:v>
      </x:c>
    </x:row>
    <x:row r="743">
      <x:c r="A743" t="str">
        <x:v>JFD-20230911-0425</x:v>
      </x:c>
      <x:c r="B743" s="11" t="n">
        <x:v>45180.80138888889</x:v>
      </x:c>
      <x:c r="C743" s="13" t="n">
        <x:v>0.8013888888888889</x:v>
      </x:c>
      <x:c r="D743" t="str">
        <x:v>Birtamode</x:v>
      </x:c>
      <x:c r="E743" t="str">
        <x:v>The Underground Cafe &amp; Restaurant</x:v>
      </x:c>
      <x:c r="F743" t="str">
        <x:v>Aalu Jeera</x:v>
      </x:c>
      <x:c r="G743" t="str">
        <x:v>Food</x:v>
      </x:c>
      <x:c r="H743" t="n">
        <x:v>3</x:v>
      </x:c>
      <x:c r="I743" s="14" t="n">
        <x:v>125</x:v>
      </x:c>
      <x:c r="J743" s="14" t="n">
        <x:v>375</x:v>
      </x:c>
      <x:c r="K743" t="str">
        <x:v>DEMO / SIMULATED</x:v>
      </x:c>
    </x:row>
    <x:row r="744">
      <x:c r="A744" t="str">
        <x:v>JFD-20251215-0426</x:v>
      </x:c>
      <x:c r="B744" s="11" t="n">
        <x:v>46006.42569444444</x:v>
      </x:c>
      <x:c r="C744" s="13" t="n">
        <x:v>0.42569444444444443</x:v>
      </x:c>
      <x:c r="D744" t="str">
        <x:v>Birtamode</x:v>
      </x:c>
      <x:c r="E744" t="str">
        <x:v>Pizza Ghar</x:v>
      </x:c>
      <x:c r="F744" t="str">
        <x:v>Egg Fried Rice</x:v>
      </x:c>
      <x:c r="G744" t="str">
        <x:v>Food</x:v>
      </x:c>
      <x:c r="H744" t="n">
        <x:v>2</x:v>
      </x:c>
      <x:c r="I744" s="14" t="n">
        <x:v>255</x:v>
      </x:c>
      <x:c r="J744" s="14" t="n">
        <x:v>510</x:v>
      </x:c>
      <x:c r="K744" t="str">
        <x:v>DEMO / SIMULATED</x:v>
      </x:c>
    </x:row>
    <x:row r="745">
      <x:c r="A745" t="str">
        <x:v>JFD-20250201-0427</x:v>
      </x:c>
      <x:c r="B745" s="11" t="n">
        <x:v>45689.69513888889</x:v>
      </x:c>
      <x:c r="C745" s="13" t="n">
        <x:v>0.6951388888888889</x:v>
      </x:c>
      <x:c r="D745" t="str">
        <x:v>Birtamode</x:v>
      </x:c>
      <x:c r="E745" t="str">
        <x:v>The Underground Cafe &amp; Restaurant</x:v>
      </x:c>
      <x:c r="F745" t="str">
        <x:v>Bottled Water 1L</x:v>
      </x:c>
      <x:c r="G745" t="str">
        <x:v>Drink</x:v>
      </x:c>
      <x:c r="H745" t="n">
        <x:v>1</x:v>
      </x:c>
      <x:c r="I745" s="14" t="n">
        <x:v>40</x:v>
      </x:c>
      <x:c r="J745" s="14" t="n">
        <x:v>40</x:v>
      </x:c>
      <x:c r="K745" t="str">
        <x:v>DEMO / SIMULATED</x:v>
      </x:c>
    </x:row>
    <x:row r="746">
      <x:c r="A746" t="str">
        <x:v>JFD-20250201-0427</x:v>
      </x:c>
      <x:c r="B746" s="11" t="n">
        <x:v>45689.436111111114</x:v>
      </x:c>
      <x:c r="C746" s="13" t="n">
        <x:v>0.4361111111111111</x:v>
      </x:c>
      <x:c r="D746" t="str">
        <x:v>Birtamode</x:v>
      </x:c>
      <x:c r="E746" t="str">
        <x:v>The Underground Cafe &amp; Restaurant</x:v>
      </x:c>
      <x:c r="F746" t="str">
        <x:v>Aalu Jeera</x:v>
      </x:c>
      <x:c r="G746" t="str">
        <x:v>Food</x:v>
      </x:c>
      <x:c r="H746" t="n">
        <x:v>2</x:v>
      </x:c>
      <x:c r="I746" s="14" t="n">
        <x:v>145</x:v>
      </x:c>
      <x:c r="J746" s="14" t="n">
        <x:v>290</x:v>
      </x:c>
      <x:c r="K746" t="str">
        <x:v>DEMO / SIMULATED</x:v>
      </x:c>
    </x:row>
    <x:row r="747">
      <x:c r="A747" t="str">
        <x:v>JFD-20230527-0428</x:v>
      </x:c>
      <x:c r="B747" s="11" t="n">
        <x:v>45073.61875</x:v>
      </x:c>
      <x:c r="C747" s="13" t="n">
        <x:v>0.61875</x:v>
      </x:c>
      <x:c r="D747" t="str">
        <x:v>Damak</x:v>
      </x:c>
      <x:c r="E747" t="str">
        <x:v>Late Night Cravings</x:v>
      </x:c>
      <x:c r="F747" t="str">
        <x:v>Coca-Cola 500ml</x:v>
      </x:c>
      <x:c r="G747" t="str">
        <x:v>Drink</x:v>
      </x:c>
      <x:c r="H747" t="n">
        <x:v>1</x:v>
      </x:c>
      <x:c r="I747" s="14" t="n">
        <x:v>80</x:v>
      </x:c>
      <x:c r="J747" s="14" t="n">
        <x:v>80</x:v>
      </x:c>
      <x:c r="K747" t="str">
        <x:v>DEMO / SIMULATED</x:v>
      </x:c>
    </x:row>
    <x:row r="748">
      <x:c r="A748" t="str">
        <x:v>JFD-20230527-0428</x:v>
      </x:c>
      <x:c r="B748" s="11" t="n">
        <x:v>45073.785416666666</x:v>
      </x:c>
      <x:c r="C748" s="13" t="n">
        <x:v>0.7854166666666667</x:v>
      </x:c>
      <x:c r="D748" t="str">
        <x:v>Damak</x:v>
      </x:c>
      <x:c r="E748" t="str">
        <x:v>Late Night Cravings</x:v>
      </x:c>
      <x:c r="F748" t="str">
        <x:v>Veg Fry Rice</x:v>
      </x:c>
      <x:c r="G748" t="str">
        <x:v>Food</x:v>
      </x:c>
      <x:c r="H748" t="n">
        <x:v>1</x:v>
      </x:c>
      <x:c r="I748" s="14" t="n">
        <x:v>130</x:v>
      </x:c>
      <x:c r="J748" s="14" t="n">
        <x:v>130</x:v>
      </x:c>
      <x:c r="K748" t="str">
        <x:v>DEMO / SIMULATED</x:v>
      </x:c>
    </x:row>
    <x:row r="749">
      <x:c r="A749" t="str">
        <x:v>JFD-20230527-0428</x:v>
      </x:c>
      <x:c r="B749" s="11" t="n">
        <x:v>45073.660416666666</x:v>
      </x:c>
      <x:c r="C749" s="13" t="n">
        <x:v>0.6604166666666667</x:v>
      </x:c>
      <x:c r="D749" t="str">
        <x:v>Damak</x:v>
      </x:c>
      <x:c r="E749" t="str">
        <x:v>Late Night Cravings</x:v>
      </x:c>
      <x:c r="F749" t="str">
        <x:v>Chicken Fry Rice</x:v>
      </x:c>
      <x:c r="G749" t="str">
        <x:v>Food</x:v>
      </x:c>
      <x:c r="H749" t="n">
        <x:v>3</x:v>
      </x:c>
      <x:c r="I749" s="14" t="n">
        <x:v>180</x:v>
      </x:c>
      <x:c r="J749" s="14" t="n">
        <x:v>540</x:v>
      </x:c>
      <x:c r="K749" t="str">
        <x:v>DEMO / SIMULATED</x:v>
      </x:c>
    </x:row>
    <x:row r="750">
      <x:c r="A750" t="str">
        <x:v>JFD-20240210-0429</x:v>
      </x:c>
      <x:c r="B750" s="11" t="n">
        <x:v>45332.56597222222</x:v>
      </x:c>
      <x:c r="C750" s="13" t="n">
        <x:v>0.5659722222222222</x:v>
      </x:c>
      <x:c r="D750" t="str">
        <x:v>Damak</x:v>
      </x:c>
      <x:c r="E750" t="str">
        <x:v>Late Night Cravings</x:v>
      </x:c>
      <x:c r="F750" t="str">
        <x:v>Bottled Water 1L</x:v>
      </x:c>
      <x:c r="G750" t="str">
        <x:v>Drink</x:v>
      </x:c>
      <x:c r="H750" t="n">
        <x:v>4</x:v>
      </x:c>
      <x:c r="I750" s="14" t="n">
        <x:v>35</x:v>
      </x:c>
      <x:c r="J750" s="14" t="n">
        <x:v>140</x:v>
      </x:c>
      <x:c r="K750" t="str">
        <x:v>DEMO / SIMULATED</x:v>
      </x:c>
    </x:row>
    <x:row r="751">
      <x:c r="A751" t="str">
        <x:v>JFD-20240210-0429</x:v>
      </x:c>
      <x:c r="B751" s="11" t="n">
        <x:v>45332.43819444445</x:v>
      </x:c>
      <x:c r="C751" s="13" t="n">
        <x:v>0.43819444444444444</x:v>
      </x:c>
      <x:c r="D751" t="str">
        <x:v>Damak</x:v>
      </x:c>
      <x:c r="E751" t="str">
        <x:v>Late Night Cravings</x:v>
      </x:c>
      <x:c r="F751" t="str">
        <x:v>Mix Fry Rice</x:v>
      </x:c>
      <x:c r="G751" t="str">
        <x:v>Food</x:v>
      </x:c>
      <x:c r="H751" t="n">
        <x:v>4</x:v>
      </x:c>
      <x:c r="I751" s="14" t="n">
        <x:v>245</x:v>
      </x:c>
      <x:c r="J751" s="14" t="n">
        <x:v>980</x:v>
      </x:c>
      <x:c r="K751" t="str">
        <x:v>DEMO / SIMULATED</x:v>
      </x:c>
    </x:row>
    <x:row r="752">
      <x:c r="A752" t="str">
        <x:v>JFD-20240911-0430</x:v>
      </x:c>
      <x:c r="B752" s="11" t="n">
        <x:v>45546.54375</x:v>
      </x:c>
      <x:c r="C752" s="13" t="n">
        <x:v>0.54375</x:v>
      </x:c>
      <x:c r="D752" t="str">
        <x:v>Damak</x:v>
      </x:c>
      <x:c r="E752" t="str">
        <x:v>Milan’s Bakery</x:v>
      </x:c>
      <x:c r="F752" t="str">
        <x:v>Bottled Water 1L</x:v>
      </x:c>
      <x:c r="G752" t="str">
        <x:v>Drink</x:v>
      </x:c>
      <x:c r="H752" t="n">
        <x:v>1</x:v>
      </x:c>
      <x:c r="I752" s="14" t="n">
        <x:v>35</x:v>
      </x:c>
      <x:c r="J752" s="14" t="n">
        <x:v>35</x:v>
      </x:c>
      <x:c r="K752" t="str">
        <x:v>DEMO / SIMULATED</x:v>
      </x:c>
    </x:row>
    <x:row r="753">
      <x:c r="A753" t="str">
        <x:v>JFD-20240711-0431</x:v>
      </x:c>
      <x:c r="B753" s="11" t="n">
        <x:v>45484.72152777778</x:v>
      </x:c>
      <x:c r="C753" s="13" t="n">
        <x:v>0.7215277777777778</x:v>
      </x:c>
      <x:c r="D753" t="str">
        <x:v>Birtamode</x:v>
      </x:c>
      <x:c r="E753" t="str">
        <x:v>The Underground Cafe &amp; Restaurant</x:v>
      </x:c>
      <x:c r="F753" t="str">
        <x:v>Coca-Cola 500ml</x:v>
      </x:c>
      <x:c r="G753" t="str">
        <x:v>Drink</x:v>
      </x:c>
      <x:c r="H753" t="n">
        <x:v>1</x:v>
      </x:c>
      <x:c r="I753" s="14" t="n">
        <x:v>90</x:v>
      </x:c>
      <x:c r="J753" s="14" t="n">
        <x:v>90</x:v>
      </x:c>
      <x:c r="K753" t="str">
        <x:v>DEMO / SIMULATED</x:v>
      </x:c>
    </x:row>
    <x:row r="754">
      <x:c r="A754" t="str">
        <x:v>JFD-20240711-0431</x:v>
      </x:c>
      <x:c r="B754" s="11" t="n">
        <x:v>45484.56736111111</x:v>
      </x:c>
      <x:c r="C754" s="13" t="n">
        <x:v>0.5673611111111111</x:v>
      </x:c>
      <x:c r="D754" t="str">
        <x:v>Birtamode</x:v>
      </x:c>
      <x:c r="E754" t="str">
        <x:v>The Underground Cafe &amp; Restaurant</x:v>
      </x:c>
      <x:c r="F754" t="str">
        <x:v>Bottled Water 1L</x:v>
      </x:c>
      <x:c r="G754" t="str">
        <x:v>Drink</x:v>
      </x:c>
      <x:c r="H754" t="n">
        <x:v>2</x:v>
      </x:c>
      <x:c r="I754" s="14" t="n">
        <x:v>35</x:v>
      </x:c>
      <x:c r="J754" s="14" t="n">
        <x:v>70</x:v>
      </x:c>
      <x:c r="K754" t="str">
        <x:v>DEMO / SIMULATED</x:v>
      </x:c>
    </x:row>
    <x:row r="755">
      <x:c r="A755" t="str">
        <x:v>JFD-20231022-0432</x:v>
      </x:c>
      <x:c r="B755" s="11" t="n">
        <x:v>45221.67638888889</x:v>
      </x:c>
      <x:c r="C755" s="13" t="n">
        <x:v>0.6763888888888889</x:v>
      </x:c>
      <x:c r="D755" t="str">
        <x:v>Damak</x:v>
      </x:c>
      <x:c r="E755" t="str">
        <x:v>Milan’s Bakery</x:v>
      </x:c>
      <x:c r="F755" t="str">
        <x:v>Coca-Cola 500ml</x:v>
      </x:c>
      <x:c r="G755" t="str">
        <x:v>Drink</x:v>
      </x:c>
      <x:c r="H755" t="n">
        <x:v>1</x:v>
      </x:c>
      <x:c r="I755" s="14" t="n">
        <x:v>80</x:v>
      </x:c>
      <x:c r="J755" s="14" t="n">
        <x:v>80</x:v>
      </x:c>
      <x:c r="K755" t="str">
        <x:v>DEMO / SIMULATED</x:v>
      </x:c>
    </x:row>
    <x:row r="756">
      <x:c r="A756" t="str">
        <x:v>JFD-20231022-0432</x:v>
      </x:c>
      <x:c r="B756" s="11" t="n">
        <x:v>45221.42847222222</x:v>
      </x:c>
      <x:c r="C756" s="13" t="n">
        <x:v>0.4284722222222222</x:v>
      </x:c>
      <x:c r="D756" t="str">
        <x:v>Damak</x:v>
      </x:c>
      <x:c r="E756" t="str">
        <x:v>Milan’s Bakery</x:v>
      </x:c>
      <x:c r="F756" t="str">
        <x:v>Bottled Water 1L</x:v>
      </x:c>
      <x:c r="G756" t="str">
        <x:v>Drink</x:v>
      </x:c>
      <x:c r="H756" t="n">
        <x:v>3</x:v>
      </x:c>
      <x:c r="I756" s="14" t="n">
        <x:v>35</x:v>
      </x:c>
      <x:c r="J756" s="14" t="n">
        <x:v>105</x:v>
      </x:c>
      <x:c r="K756" t="str">
        <x:v>DEMO / SIMULATED</x:v>
      </x:c>
    </x:row>
    <x:row r="757">
      <x:c r="A757" t="str">
        <x:v>JFD-20231022-0432</x:v>
      </x:c>
      <x:c r="B757" s="11" t="n">
        <x:v>45221.45625</x:v>
      </x:c>
      <x:c r="C757" s="13" t="n">
        <x:v>0.45625</x:v>
      </x:c>
      <x:c r="D757" t="str">
        <x:v>Damak</x:v>
      </x:c>
      <x:c r="E757" t="str">
        <x:v>Milan’s Bakery</x:v>
      </x:c>
      <x:c r="F757" t="str">
        <x:v>Vanilla Cake</x:v>
      </x:c>
      <x:c r="G757" t="str">
        <x:v>Food</x:v>
      </x:c>
      <x:c r="H757" t="n">
        <x:v>4</x:v>
      </x:c>
      <x:c r="I757" s="14" t="n">
        <x:v>245</x:v>
      </x:c>
      <x:c r="J757" s="14" t="n">
        <x:v>980</x:v>
      </x:c>
      <x:c r="K757" t="str">
        <x:v>DEMO / SIMULATED</x:v>
      </x:c>
    </x:row>
    <x:row r="758">
      <x:c r="A758" t="str">
        <x:v>JFD-20260325-0433</x:v>
      </x:c>
      <x:c r="B758" s="11" t="n">
        <x:v>46106.790972222225</x:v>
      </x:c>
      <x:c r="C758" s="13" t="n">
        <x:v>0.7909722222222222</x:v>
      </x:c>
      <x:c r="D758" t="str">
        <x:v>Birtamode</x:v>
      </x:c>
      <x:c r="E758" t="str">
        <x:v>The Underground Cafe &amp; Restaurant</x:v>
      </x:c>
      <x:c r="F758" t="str">
        <x:v>Bottled Water 1L</x:v>
      </x:c>
      <x:c r="G758" t="str">
        <x:v>Drink</x:v>
      </x:c>
      <x:c r="H758" t="n">
        <x:v>4</x:v>
      </x:c>
      <x:c r="I758" s="14" t="n">
        <x:v>40</x:v>
      </x:c>
      <x:c r="J758" s="14" t="n">
        <x:v>160</x:v>
      </x:c>
      <x:c r="K758" t="str">
        <x:v>DEMO / SIMULATED</x:v>
      </x:c>
    </x:row>
    <x:row r="759">
      <x:c r="A759" t="str">
        <x:v>JFD-20260723-0434</x:v>
      </x:c>
      <x:c r="B759" s="11" t="n">
        <x:v>46226.74166666667</x:v>
      </x:c>
      <x:c r="C759" s="13" t="n">
        <x:v>0.7416666666666667</x:v>
      </x:c>
      <x:c r="D759" t="str">
        <x:v>Damak</x:v>
      </x:c>
      <x:c r="E759" t="str">
        <x:v>Late Night Cravings</x:v>
      </x:c>
      <x:c r="F759" t="str">
        <x:v>Bottled Water 1L</x:v>
      </x:c>
      <x:c r="G759" t="str">
        <x:v>Drink</x:v>
      </x:c>
      <x:c r="H759" t="n">
        <x:v>2</x:v>
      </x:c>
      <x:c r="I759" s="14" t="n">
        <x:v>40</x:v>
      </x:c>
      <x:c r="J759" s="14" t="n">
        <x:v>80</x:v>
      </x:c>
      <x:c r="K759" t="str">
        <x:v>DEMO / SIMULATED</x:v>
      </x:c>
    </x:row>
    <x:row r="760">
      <x:c r="A760" t="str">
        <x:v>JFD-20250623-0435</x:v>
      </x:c>
      <x:c r="B760" s="11" t="n">
        <x:v>45831.65694444445</x:v>
      </x:c>
      <x:c r="C760" s="13" t="n">
        <x:v>0.6569444444444444</x:v>
      </x:c>
      <x:c r="D760" t="str">
        <x:v>Damak</x:v>
      </x:c>
      <x:c r="E760" t="str">
        <x:v>Late Night Cravings</x:v>
      </x:c>
      <x:c r="F760" t="str">
        <x:v>Mix Fry Rice</x:v>
      </x:c>
      <x:c r="G760" t="str">
        <x:v>Food</x:v>
      </x:c>
      <x:c r="H760" t="n">
        <x:v>1</x:v>
      </x:c>
      <x:c r="I760" s="14" t="n">
        <x:v>265</x:v>
      </x:c>
      <x:c r="J760" s="14" t="n">
        <x:v>265</x:v>
      </x:c>
      <x:c r="K760" t="str">
        <x:v>DEMO / SIMULATED</x:v>
      </x:c>
    </x:row>
    <x:row r="761">
      <x:c r="A761" t="str">
        <x:v>JFD-20250623-0435</x:v>
      </x:c>
      <x:c r="B761" s="11" t="n">
        <x:v>45831.74097222222</x:v>
      </x:c>
      <x:c r="C761" s="13" t="n">
        <x:v>0.7409722222222223</x:v>
      </x:c>
      <x:c r="D761" t="str">
        <x:v>Damak</x:v>
      </x:c>
      <x:c r="E761" t="str">
        <x:v>Late Night Cravings</x:v>
      </x:c>
      <x:c r="F761" t="str">
        <x:v>Veg Fry Rice</x:v>
      </x:c>
      <x:c r="G761" t="str">
        <x:v>Food</x:v>
      </x:c>
      <x:c r="H761" t="n">
        <x:v>4</x:v>
      </x:c>
      <x:c r="I761" s="14" t="n">
        <x:v>150</x:v>
      </x:c>
      <x:c r="J761" s="14" t="n">
        <x:v>600</x:v>
      </x:c>
      <x:c r="K761" t="str">
        <x:v>DEMO / SIMULATED</x:v>
      </x:c>
    </x:row>
    <x:row r="762">
      <x:c r="A762" t="str">
        <x:v>JFD-20250722-0436</x:v>
      </x:c>
      <x:c r="B762" s="11" t="n">
        <x:v>45860.520833333336</x:v>
      </x:c>
      <x:c r="C762" s="13" t="n">
        <x:v>0.5208333333333334</x:v>
      </x:c>
      <x:c r="D762" t="str">
        <x:v>Damak</x:v>
      </x:c>
      <x:c r="E762" t="str">
        <x:v>Late Night Cravings</x:v>
      </x:c>
      <x:c r="F762" t="str">
        <x:v>Bottled Water 1L</x:v>
      </x:c>
      <x:c r="G762" t="str">
        <x:v>Drink</x:v>
      </x:c>
      <x:c r="H762" t="n">
        <x:v>2</x:v>
      </x:c>
      <x:c r="I762" s="14" t="n">
        <x:v>40</x:v>
      </x:c>
      <x:c r="J762" s="14" t="n">
        <x:v>80</x:v>
      </x:c>
      <x:c r="K762" t="str">
        <x:v>DEMO / SIMULATED</x:v>
      </x:c>
    </x:row>
    <x:row r="763">
      <x:c r="A763" t="str">
        <x:v>JFD-20240111-0437</x:v>
      </x:c>
      <x:c r="B763" s="11" t="n">
        <x:v>45302.81458333333</x:v>
      </x:c>
      <x:c r="C763" s="13" t="n">
        <x:v>0.8145833333333333</x:v>
      </x:c>
      <x:c r="D763" t="str">
        <x:v>Birtamode</x:v>
      </x:c>
      <x:c r="E763" t="str">
        <x:v>The Underground Cafe &amp; Restaurant</x:v>
      </x:c>
      <x:c r="F763" t="str">
        <x:v>Paneer Pakauda</x:v>
      </x:c>
      <x:c r="G763" t="str">
        <x:v>Food</x:v>
      </x:c>
      <x:c r="H763" t="n">
        <x:v>4</x:v>
      </x:c>
      <x:c r="I763" s="14" t="n">
        <x:v>200</x:v>
      </x:c>
      <x:c r="J763" s="14" t="n">
        <x:v>800</x:v>
      </x:c>
      <x:c r="K763" t="str">
        <x:v>DEMO / SIMULATED</x:v>
      </x:c>
    </x:row>
    <x:row r="764">
      <x:c r="A764" t="str">
        <x:v>JFD-20241119-0438</x:v>
      </x:c>
      <x:c r="B764" s="11" t="n">
        <x:v>45615.57708333333</x:v>
      </x:c>
      <x:c r="C764" s="13" t="n">
        <x:v>0.5770833333333333</x:v>
      </x:c>
      <x:c r="D764" t="str">
        <x:v>Damak</x:v>
      </x:c>
      <x:c r="E764" t="str">
        <x:v>Milan’s Bakery</x:v>
      </x:c>
      <x:c r="F764" t="str">
        <x:v>Vanilla Cake</x:v>
      </x:c>
      <x:c r="G764" t="str">
        <x:v>Food</x:v>
      </x:c>
      <x:c r="H764" t="n">
        <x:v>1</x:v>
      </x:c>
      <x:c r="I764" s="14" t="n">
        <x:v>265</x:v>
      </x:c>
      <x:c r="J764" s="14" t="n">
        <x:v>265</x:v>
      </x:c>
      <x:c r="K764" t="str">
        <x:v>DEMO / SIMULATED</x:v>
      </x:c>
    </x:row>
    <x:row r="765">
      <x:c r="A765" t="str">
        <x:v>JFD-20230411-0439</x:v>
      </x:c>
      <x:c r="B765" s="11" t="n">
        <x:v>45027.527083333334</x:v>
      </x:c>
      <x:c r="C765" s="13" t="n">
        <x:v>0.5270833333333333</x:v>
      </x:c>
      <x:c r="D765" t="str">
        <x:v>Damak</x:v>
      </x:c>
      <x:c r="E765" t="str">
        <x:v>Late Night Cravings</x:v>
      </x:c>
      <x:c r="F765" t="str">
        <x:v>Coca-Cola 500ml</x:v>
      </x:c>
      <x:c r="G765" t="str">
        <x:v>Drink</x:v>
      </x:c>
      <x:c r="H765" t="n">
        <x:v>3</x:v>
      </x:c>
      <x:c r="I765" s="14" t="n">
        <x:v>80</x:v>
      </x:c>
      <x:c r="J765" s="14" t="n">
        <x:v>240</x:v>
      </x:c>
      <x:c r="K765" t="str">
        <x:v>DEMO / SIMULATED</x:v>
      </x:c>
    </x:row>
    <x:row r="766">
      <x:c r="A766" t="str">
        <x:v>JFD-20230411-0439</x:v>
      </x:c>
      <x:c r="B766" s="11" t="n">
        <x:v>45027.72083333333</x:v>
      </x:c>
      <x:c r="C766" s="13" t="n">
        <x:v>0.7208333333333333</x:v>
      </x:c>
      <x:c r="D766" t="str">
        <x:v>Damak</x:v>
      </x:c>
      <x:c r="E766" t="str">
        <x:v>Late Night Cravings</x:v>
      </x:c>
      <x:c r="F766" t="str">
        <x:v>Veg Fry Rice</x:v>
      </x:c>
      <x:c r="G766" t="str">
        <x:v>Food</x:v>
      </x:c>
      <x:c r="H766" t="n">
        <x:v>2</x:v>
      </x:c>
      <x:c r="I766" s="14" t="n">
        <x:v>130</x:v>
      </x:c>
      <x:c r="J766" s="14" t="n">
        <x:v>260</x:v>
      </x:c>
      <x:c r="K766" t="str">
        <x:v>DEMO / SIMULATED</x:v>
      </x:c>
    </x:row>
    <x:row r="767">
      <x:c r="A767" t="str">
        <x:v>JFD-20231119-0440</x:v>
      </x:c>
      <x:c r="B767" s="11" t="n">
        <x:v>45249.799305555556</x:v>
      </x:c>
      <x:c r="C767" s="13" t="n">
        <x:v>0.7993055555555556</x:v>
      </x:c>
      <x:c r="D767" t="str">
        <x:v>Damak</x:v>
      </x:c>
      <x:c r="E767" t="str">
        <x:v>Milan’s Bakery</x:v>
      </x:c>
      <x:c r="F767" t="str">
        <x:v>Bottled Water 1L</x:v>
      </x:c>
      <x:c r="G767" t="str">
        <x:v>Drink</x:v>
      </x:c>
      <x:c r="H767" t="n">
        <x:v>3</x:v>
      </x:c>
      <x:c r="I767" s="14" t="n">
        <x:v>35</x:v>
      </x:c>
      <x:c r="J767" s="14" t="n">
        <x:v>105</x:v>
      </x:c>
      <x:c r="K767" t="str">
        <x:v>DEMO / SIMULATED</x:v>
      </x:c>
    </x:row>
    <x:row r="768">
      <x:c r="A768" t="str">
        <x:v>JFD-20231119-0440</x:v>
      </x:c>
      <x:c r="B768" s="11" t="n">
        <x:v>45249.489583333336</x:v>
      </x:c>
      <x:c r="C768" s="13" t="n">
        <x:v>0.4895833333333333</x:v>
      </x:c>
      <x:c r="D768" t="str">
        <x:v>Damak</x:v>
      </x:c>
      <x:c r="E768" t="str">
        <x:v>Milan’s Bakery</x:v>
      </x:c>
      <x:c r="F768" t="str">
        <x:v>Red Velvet Cake</x:v>
      </x:c>
      <x:c r="G768" t="str">
        <x:v>Food</x:v>
      </x:c>
      <x:c r="H768" t="n">
        <x:v>2</x:v>
      </x:c>
      <x:c r="I768" s="14" t="n">
        <x:v>740</x:v>
      </x:c>
      <x:c r="J768" s="14" t="n">
        <x:v>1480</x:v>
      </x:c>
      <x:c r="K768" t="str">
        <x:v>DEMO / SIMULATED</x:v>
      </x:c>
    </x:row>
    <x:row r="769">
      <x:c r="A769" t="str">
        <x:v>JFD-20241024-0441</x:v>
      </x:c>
      <x:c r="B769" s="11" t="n">
        <x:v>45589.81736111111</x:v>
      </x:c>
      <x:c r="C769" s="13" t="n">
        <x:v>0.8173611111111111</x:v>
      </x:c>
      <x:c r="D769" t="str">
        <x:v>Birtamode</x:v>
      </x:c>
      <x:c r="E769" t="str">
        <x:v>Pizza Ghar</x:v>
      </x:c>
      <x:c r="F769" t="str">
        <x:v>Chicken Fried Rice</x:v>
      </x:c>
      <x:c r="G769" t="str">
        <x:v>Food</x:v>
      </x:c>
      <x:c r="H769" t="n">
        <x:v>1</x:v>
      </x:c>
      <x:c r="I769" s="14" t="n">
        <x:v>265</x:v>
      </x:c>
      <x:c r="J769" s="14" t="n">
        <x:v>265</x:v>
      </x:c>
      <x:c r="K769" t="str">
        <x:v>DEMO / SIMULATED</x:v>
      </x:c>
    </x:row>
    <x:row r="770">
      <x:c r="A770" t="str">
        <x:v>JFD-20241024-0441</x:v>
      </x:c>
      <x:c r="B770" s="11" t="n">
        <x:v>45589.77013888889</x:v>
      </x:c>
      <x:c r="C770" s="13" t="n">
        <x:v>0.7701388888888889</x:v>
      </x:c>
      <x:c r="D770" t="str">
        <x:v>Birtamode</x:v>
      </x:c>
      <x:c r="E770" t="str">
        <x:v>Pizza Ghar</x:v>
      </x:c>
      <x:c r="F770" t="str">
        <x:v>Coca-Cola 500ml</x:v>
      </x:c>
      <x:c r="G770" t="str">
        <x:v>Drink</x:v>
      </x:c>
      <x:c r="H770" t="n">
        <x:v>4</x:v>
      </x:c>
      <x:c r="I770" s="14" t="n">
        <x:v>90</x:v>
      </x:c>
      <x:c r="J770" s="14" t="n">
        <x:v>360</x:v>
      </x:c>
      <x:c r="K770" t="str">
        <x:v>DEMO / SIMULATED</x:v>
      </x:c>
    </x:row>
    <x:row r="771">
      <x:c r="A771" t="str">
        <x:v>JFD-20241024-0441</x:v>
      </x:c>
      <x:c r="B771" s="11" t="n">
        <x:v>45589.87013888889</x:v>
      </x:c>
      <x:c r="C771" s="13" t="n">
        <x:v>0.8701388888888889</x:v>
      </x:c>
      <x:c r="D771" t="str">
        <x:v>Birtamode</x:v>
      </x:c>
      <x:c r="E771" t="str">
        <x:v>Pizza Ghar</x:v>
      </x:c>
      <x:c r="F771" t="str">
        <x:v>Veg Fried Rice</x:v>
      </x:c>
      <x:c r="G771" t="str">
        <x:v>Food</x:v>
      </x:c>
      <x:c r="H771" t="n">
        <x:v>3</x:v>
      </x:c>
      <x:c r="I771" s="14" t="n">
        <x:v>195</x:v>
      </x:c>
      <x:c r="J771" s="14" t="n">
        <x:v>585</x:v>
      </x:c>
      <x:c r="K771" t="str">
        <x:v>DEMO / SIMULATED</x:v>
      </x:c>
    </x:row>
    <x:row r="772">
      <x:c r="A772" t="str">
        <x:v>JFD-20260818-0442</x:v>
      </x:c>
      <x:c r="B772" s="11" t="n">
        <x:v>46252.822916666664</x:v>
      </x:c>
      <x:c r="C772" s="13" t="n">
        <x:v>0.8229166666666666</x:v>
      </x:c>
      <x:c r="D772" t="str">
        <x:v>Birtamode</x:v>
      </x:c>
      <x:c r="E772" t="str">
        <x:v>Pizza Ghar</x:v>
      </x:c>
      <x:c r="F772" t="str">
        <x:v>Chicken BBQ Feast Pizza</x:v>
      </x:c>
      <x:c r="G772" t="str">
        <x:v>Food</x:v>
      </x:c>
      <x:c r="H772" t="n">
        <x:v>3</x:v>
      </x:c>
      <x:c r="I772" s="14" t="n">
        <x:v>580</x:v>
      </x:c>
      <x:c r="J772" s="14" t="n">
        <x:v>1740</x:v>
      </x:c>
      <x:c r="K772" t="str">
        <x:v>DEMO / SIMULATED</x:v>
      </x:c>
    </x:row>
    <x:row r="773">
      <x:c r="A773" t="str">
        <x:v>JFD-20230313-0443</x:v>
      </x:c>
      <x:c r="B773" s="11" t="n">
        <x:v>44998.77222222222</x:v>
      </x:c>
      <x:c r="C773" s="13" t="n">
        <x:v>0.7722222222222223</x:v>
      </x:c>
      <x:c r="D773" t="str">
        <x:v>Birtamode</x:v>
      </x:c>
      <x:c r="E773" t="str">
        <x:v>Pizza Ghar</x:v>
      </x:c>
      <x:c r="F773" t="str">
        <x:v>Coca-Cola 500ml</x:v>
      </x:c>
      <x:c r="G773" t="str">
        <x:v>Drink</x:v>
      </x:c>
      <x:c r="H773" t="n">
        <x:v>1</x:v>
      </x:c>
      <x:c r="I773" s="14" t="n">
        <x:v>80</x:v>
      </x:c>
      <x:c r="J773" s="14" t="n">
        <x:v>80</x:v>
      </x:c>
      <x:c r="K773" t="str">
        <x:v>DEMO / SIMULATED</x:v>
      </x:c>
    </x:row>
    <x:row r="774">
      <x:c r="A774" t="str">
        <x:v>JFD-20230503-0444</x:v>
      </x:c>
      <x:c r="B774" s="11" t="n">
        <x:v>45049.822916666664</x:v>
      </x:c>
      <x:c r="C774" s="13" t="n">
        <x:v>0.8229166666666666</x:v>
      </x:c>
      <x:c r="D774" t="str">
        <x:v>Damak</x:v>
      </x:c>
      <x:c r="E774" t="str">
        <x:v>Late Night Cravings</x:v>
      </x:c>
      <x:c r="F774" t="str">
        <x:v>Chicken Fry Rice</x:v>
      </x:c>
      <x:c r="G774" t="str">
        <x:v>Food</x:v>
      </x:c>
      <x:c r="H774" t="n">
        <x:v>1</x:v>
      </x:c>
      <x:c r="I774" s="14" t="n">
        <x:v>180</x:v>
      </x:c>
      <x:c r="J774" s="14" t="n">
        <x:v>180</x:v>
      </x:c>
      <x:c r="K774" t="str">
        <x:v>DEMO / SIMULATED</x:v>
      </x:c>
    </x:row>
    <x:row r="775">
      <x:c r="A775" t="str">
        <x:v>JFD-20240125-0445</x:v>
      </x:c>
      <x:c r="B775" s="11" t="n">
        <x:v>45316.81875</x:v>
      </x:c>
      <x:c r="C775" s="13" t="n">
        <x:v>0.81875</x:v>
      </x:c>
      <x:c r="D775" t="str">
        <x:v>Damak</x:v>
      </x:c>
      <x:c r="E775" t="str">
        <x:v>Milan’s Bakery</x:v>
      </x:c>
      <x:c r="F775" t="str">
        <x:v>Bottled Water 1L</x:v>
      </x:c>
      <x:c r="G775" t="str">
        <x:v>Drink</x:v>
      </x:c>
      <x:c r="H775" t="n">
        <x:v>2</x:v>
      </x:c>
      <x:c r="I775" s="14" t="n">
        <x:v>35</x:v>
      </x:c>
      <x:c r="J775" s="14" t="n">
        <x:v>70</x:v>
      </x:c>
      <x:c r="K775" t="str">
        <x:v>DEMO / SIMULATED</x:v>
      </x:c>
    </x:row>
    <x:row r="776">
      <x:c r="A776" t="str">
        <x:v>JFD-20251105-0446</x:v>
      </x:c>
      <x:c r="B776" s="11" t="n">
        <x:v>45966.56597222222</x:v>
      </x:c>
      <x:c r="C776" s="13" t="n">
        <x:v>0.5659722222222222</x:v>
      </x:c>
      <x:c r="D776" t="str">
        <x:v>Birtamode</x:v>
      </x:c>
      <x:c r="E776" t="str">
        <x:v>Pizza Ghar</x:v>
      </x:c>
      <x:c r="F776" t="str">
        <x:v>Egg Fried Rice</x:v>
      </x:c>
      <x:c r="G776" t="str">
        <x:v>Food</x:v>
      </x:c>
      <x:c r="H776" t="n">
        <x:v>4</x:v>
      </x:c>
      <x:c r="I776" s="14" t="n">
        <x:v>255</x:v>
      </x:c>
      <x:c r="J776" s="14" t="n">
        <x:v>1020</x:v>
      </x:c>
      <x:c r="K776" t="str">
        <x:v>DEMO / SIMULATED</x:v>
      </x:c>
    </x:row>
    <x:row r="777">
      <x:c r="A777" t="str">
        <x:v>JFD-20250523-0447</x:v>
      </x:c>
      <x:c r="B777" s="11" t="n">
        <x:v>45800.7875</x:v>
      </x:c>
      <x:c r="C777" s="13" t="n">
        <x:v>0.7875</x:v>
      </x:c>
      <x:c r="D777" t="str">
        <x:v>Damak</x:v>
      </x:c>
      <x:c r="E777" t="str">
        <x:v>Milan’s Bakery</x:v>
      </x:c>
      <x:c r="F777" t="str">
        <x:v>Red Velvet Cake</x:v>
      </x:c>
      <x:c r="G777" t="str">
        <x:v>Food</x:v>
      </x:c>
      <x:c r="H777" t="n">
        <x:v>2</x:v>
      </x:c>
      <x:c r="I777" s="14" t="n">
        <x:v>845</x:v>
      </x:c>
      <x:c r="J777" s="14" t="n">
        <x:v>1690</x:v>
      </x:c>
      <x:c r="K777" t="str">
        <x:v>DEMO / SIMULATED</x:v>
      </x:c>
    </x:row>
    <x:row r="778">
      <x:c r="A778" t="str">
        <x:v>JFD-20250523-0447</x:v>
      </x:c>
      <x:c r="B778" s="11" t="n">
        <x:v>45800.73888888889</x:v>
      </x:c>
      <x:c r="C778" s="13" t="n">
        <x:v>0.7388888888888889</x:v>
      </x:c>
      <x:c r="D778" t="str">
        <x:v>Damak</x:v>
      </x:c>
      <x:c r="E778" t="str">
        <x:v>Milan’s Bakery</x:v>
      </x:c>
      <x:c r="F778" t="str">
        <x:v>Black Forest Cake</x:v>
      </x:c>
      <x:c r="G778" t="str">
        <x:v>Food</x:v>
      </x:c>
      <x:c r="H778" t="n">
        <x:v>4</x:v>
      </x:c>
      <x:c r="I778" s="14" t="n">
        <x:v>280</x:v>
      </x:c>
      <x:c r="J778" s="14" t="n">
        <x:v>1120</x:v>
      </x:c>
      <x:c r="K778" t="str">
        <x:v>DEMO / SIMULATED</x:v>
      </x:c>
    </x:row>
    <x:row r="779">
      <x:c r="A779" t="str">
        <x:v>JFD-20230413-0448</x:v>
      </x:c>
      <x:c r="B779" s="11" t="n">
        <x:v>45029.55972222222</x:v>
      </x:c>
      <x:c r="C779" s="13" t="n">
        <x:v>0.5597222222222222</x:v>
      </x:c>
      <x:c r="D779" t="str">
        <x:v>Damak</x:v>
      </x:c>
      <x:c r="E779" t="str">
        <x:v>Late Night Cravings</x:v>
      </x:c>
      <x:c r="F779" t="str">
        <x:v>Veg Fry Rice</x:v>
      </x:c>
      <x:c r="G779" t="str">
        <x:v>Food</x:v>
      </x:c>
      <x:c r="H779" t="n">
        <x:v>1</x:v>
      </x:c>
      <x:c r="I779" s="14" t="n">
        <x:v>130</x:v>
      </x:c>
      <x:c r="J779" s="14" t="n">
        <x:v>130</x:v>
      </x:c>
      <x:c r="K779" t="str">
        <x:v>DEMO / SIMULATED</x:v>
      </x:c>
    </x:row>
    <x:row r="780">
      <x:c r="A780" t="str">
        <x:v>JFD-20230104-0449</x:v>
      </x:c>
      <x:c r="B780" s="11" t="n">
        <x:v>44930.85833333333</x:v>
      </x:c>
      <x:c r="C780" s="13" t="n">
        <x:v>0.8583333333333333</x:v>
      </x:c>
      <x:c r="D780" t="str">
        <x:v>Birtamode</x:v>
      </x:c>
      <x:c r="E780" t="str">
        <x:v>Pizza Ghar</x:v>
      </x:c>
      <x:c r="F780" t="str">
        <x:v>Egg Fried Rice</x:v>
      </x:c>
      <x:c r="G780" t="str">
        <x:v>Food</x:v>
      </x:c>
      <x:c r="H780" t="n">
        <x:v>2</x:v>
      </x:c>
      <x:c r="I780" s="14" t="n">
        <x:v>220</x:v>
      </x:c>
      <x:c r="J780" s="14" t="n">
        <x:v>440</x:v>
      </x:c>
      <x:c r="K780" t="str">
        <x:v>DEMO / SIMULATED</x:v>
      </x:c>
    </x:row>
    <x:row r="781">
      <x:c r="A781" t="str">
        <x:v>JFD-20230104-0449</x:v>
      </x:c>
      <x:c r="B781" s="11" t="n">
        <x:v>44930.71666666667</x:v>
      </x:c>
      <x:c r="C781" s="13" t="n">
        <x:v>0.7166666666666667</x:v>
      </x:c>
      <x:c r="D781" t="str">
        <x:v>Birtamode</x:v>
      </x:c>
      <x:c r="E781" t="str">
        <x:v>Pizza Ghar</x:v>
      </x:c>
      <x:c r="F781" t="str">
        <x:v>Bottled Water 1L</x:v>
      </x:c>
      <x:c r="G781" t="str">
        <x:v>Drink</x:v>
      </x:c>
      <x:c r="H781" t="n">
        <x:v>1</x:v>
      </x:c>
      <x:c r="I781" s="14" t="n">
        <x:v>35</x:v>
      </x:c>
      <x:c r="J781" s="14" t="n">
        <x:v>35</x:v>
      </x:c>
      <x:c r="K781" t="str">
        <x:v>DEMO / SIMULATED</x:v>
      </x:c>
    </x:row>
    <x:row r="782">
      <x:c r="A782" t="str">
        <x:v>JFD-20230104-0449</x:v>
      </x:c>
      <x:c r="B782" s="11" t="n">
        <x:v>44930.745833333334</x:v>
      </x:c>
      <x:c r="C782" s="13" t="n">
        <x:v>0.7458333333333333</x:v>
      </x:c>
      <x:c r="D782" t="str">
        <x:v>Birtamode</x:v>
      </x:c>
      <x:c r="E782" t="str">
        <x:v>Pizza Ghar</x:v>
      </x:c>
      <x:c r="F782" t="str">
        <x:v>Chicken BBQ Feast Pizza</x:v>
      </x:c>
      <x:c r="G782" t="str">
        <x:v>Food</x:v>
      </x:c>
      <x:c r="H782" t="n">
        <x:v>2</x:v>
      </x:c>
      <x:c r="I782" s="14" t="n">
        <x:v>475</x:v>
      </x:c>
      <x:c r="J782" s="14" t="n">
        <x:v>950</x:v>
      </x:c>
      <x:c r="K782" t="str">
        <x:v>DEMO / SIMULATED</x:v>
      </x:c>
    </x:row>
    <x:row r="783">
      <x:c r="A783" t="str">
        <x:v>JFD-20240724-0450</x:v>
      </x:c>
      <x:c r="B783" s="11" t="n">
        <x:v>45497.61944444444</x:v>
      </x:c>
      <x:c r="C783" s="13" t="n">
        <x:v>0.6194444444444445</x:v>
      </x:c>
      <x:c r="D783" t="str">
        <x:v>Damak</x:v>
      </x:c>
      <x:c r="E783" t="str">
        <x:v>Milan’s Bakery</x:v>
      </x:c>
      <x:c r="F783" t="str">
        <x:v>Bottled Water 1L</x:v>
      </x:c>
      <x:c r="G783" t="str">
        <x:v>Drink</x:v>
      </x:c>
      <x:c r="H783" t="n">
        <x:v>4</x:v>
      </x:c>
      <x:c r="I783" s="14" t="n">
        <x:v>35</x:v>
      </x:c>
      <x:c r="J783" s="14" t="n">
        <x:v>140</x:v>
      </x:c>
      <x:c r="K783" t="str">
        <x:v>DEMO / SIMULATED</x:v>
      </x:c>
    </x:row>
    <x:row r="784">
      <x:c r="A784" t="str">
        <x:v>JFD-20240724-0450</x:v>
      </x:c>
      <x:c r="B784" s="11" t="n">
        <x:v>45497.68819444445</x:v>
      </x:c>
      <x:c r="C784" s="13" t="n">
        <x:v>0.6881944444444444</x:v>
      </x:c>
      <x:c r="D784" t="str">
        <x:v>Damak</x:v>
      </x:c>
      <x:c r="E784" t="str">
        <x:v>Milan’s Bakery</x:v>
      </x:c>
      <x:c r="F784" t="str">
        <x:v>Black Forest Cake</x:v>
      </x:c>
      <x:c r="G784" t="str">
        <x:v>Food</x:v>
      </x:c>
      <x:c r="H784" t="n">
        <x:v>3</x:v>
      </x:c>
      <x:c r="I784" s="14" t="n">
        <x:v>265</x:v>
      </x:c>
      <x:c r="J784" s="14" t="n">
        <x:v>795</x:v>
      </x:c>
      <x:c r="K784" t="str">
        <x:v>DEMO / SIMULATED</x:v>
      </x:c>
    </x:row>
    <x:row r="785">
      <x:c r="A785" t="str">
        <x:v>JFD-20230831-0451</x:v>
      </x:c>
      <x:c r="B785" s="11" t="n">
        <x:v>45169.43194444444</x:v>
      </x:c>
      <x:c r="C785" s="13" t="n">
        <x:v>0.43194444444444446</x:v>
      </x:c>
      <x:c r="D785" t="str">
        <x:v>Damak</x:v>
      </x:c>
      <x:c r="E785" t="str">
        <x:v>Late Night Cravings</x:v>
      </x:c>
      <x:c r="F785" t="str">
        <x:v>Chicken Fry Rice</x:v>
      </x:c>
      <x:c r="G785" t="str">
        <x:v>Food</x:v>
      </x:c>
      <x:c r="H785" t="n">
        <x:v>3</x:v>
      </x:c>
      <x:c r="I785" s="14" t="n">
        <x:v>180</x:v>
      </x:c>
      <x:c r="J785" s="14" t="n">
        <x:v>540</x:v>
      </x:c>
      <x:c r="K785" t="str">
        <x:v>DEMO / SIMULATED</x:v>
      </x:c>
    </x:row>
    <x:row r="786">
      <x:c r="A786" t="str">
        <x:v>JFD-20230831-0451</x:v>
      </x:c>
      <x:c r="B786" s="11" t="n">
        <x:v>45169.70763888889</x:v>
      </x:c>
      <x:c r="C786" s="13" t="n">
        <x:v>0.7076388888888889</x:v>
      </x:c>
      <x:c r="D786" t="str">
        <x:v>Damak</x:v>
      </x:c>
      <x:c r="E786" t="str">
        <x:v>Late Night Cravings</x:v>
      </x:c>
      <x:c r="F786" t="str">
        <x:v>Bottled Water 1L</x:v>
      </x:c>
      <x:c r="G786" t="str">
        <x:v>Drink</x:v>
      </x:c>
      <x:c r="H786" t="n">
        <x:v>3</x:v>
      </x:c>
      <x:c r="I786" s="14" t="n">
        <x:v>35</x:v>
      </x:c>
      <x:c r="J786" s="14" t="n">
        <x:v>105</x:v>
      </x:c>
      <x:c r="K786" t="str">
        <x:v>DEMO / SIMULATED</x:v>
      </x:c>
    </x:row>
    <x:row r="787">
      <x:c r="A787" t="str">
        <x:v>JFD-20230718-0452</x:v>
      </x:c>
      <x:c r="B787" s="11" t="n">
        <x:v>45125.48541666667</x:v>
      </x:c>
      <x:c r="C787" s="13" t="n">
        <x:v>0.48541666666666666</x:v>
      </x:c>
      <x:c r="D787" t="str">
        <x:v>Birtamode</x:v>
      </x:c>
      <x:c r="E787" t="str">
        <x:v>Pizza Ghar</x:v>
      </x:c>
      <x:c r="F787" t="str">
        <x:v>Coca-Cola 500ml</x:v>
      </x:c>
      <x:c r="G787" t="str">
        <x:v>Drink</x:v>
      </x:c>
      <x:c r="H787" t="n">
        <x:v>1</x:v>
      </x:c>
      <x:c r="I787" s="14" t="n">
        <x:v>80</x:v>
      </x:c>
      <x:c r="J787" s="14" t="n">
        <x:v>80</x:v>
      </x:c>
      <x:c r="K787" t="str">
        <x:v>DEMO / SIMULATED</x:v>
      </x:c>
    </x:row>
    <x:row r="788">
      <x:c r="A788" t="str">
        <x:v>JFD-20230718-0452</x:v>
      </x:c>
      <x:c r="B788" s="11" t="n">
        <x:v>45125.87013888889</x:v>
      </x:c>
      <x:c r="C788" s="13" t="n">
        <x:v>0.8701388888888889</x:v>
      </x:c>
      <x:c r="D788" t="str">
        <x:v>Birtamode</x:v>
      </x:c>
      <x:c r="E788" t="str">
        <x:v>Pizza Ghar</x:v>
      </x:c>
      <x:c r="F788" t="str">
        <x:v>Bottled Water 1L</x:v>
      </x:c>
      <x:c r="G788" t="str">
        <x:v>Drink</x:v>
      </x:c>
      <x:c r="H788" t="n">
        <x:v>3</x:v>
      </x:c>
      <x:c r="I788" s="14" t="n">
        <x:v>35</x:v>
      </x:c>
      <x:c r="J788" s="14" t="n">
        <x:v>105</x:v>
      </x:c>
      <x:c r="K788" t="str">
        <x:v>DEMO / SIMULATED</x:v>
      </x:c>
    </x:row>
    <x:row r="789">
      <x:c r="A789" t="str">
        <x:v>JFD-20230718-0452</x:v>
      </x:c>
      <x:c r="B789" s="11" t="n">
        <x:v>45125.654861111114</x:v>
      </x:c>
      <x:c r="C789" s="13" t="n">
        <x:v>0.6548611111111111</x:v>
      </x:c>
      <x:c r="D789" t="str">
        <x:v>Birtamode</x:v>
      </x:c>
      <x:c r="E789" t="str">
        <x:v>Pizza Ghar</x:v>
      </x:c>
      <x:c r="F789" t="str">
        <x:v>Veg Fried Rice</x:v>
      </x:c>
      <x:c r="G789" t="str">
        <x:v>Food</x:v>
      </x:c>
      <x:c r="H789" t="n">
        <x:v>1</x:v>
      </x:c>
      <x:c r="I789" s="14" t="n">
        <x:v>180</x:v>
      </x:c>
      <x:c r="J789" s="14" t="n">
        <x:v>180</x:v>
      </x:c>
      <x:c r="K789" t="str">
        <x:v>DEMO / SIMULATED</x:v>
      </x:c>
    </x:row>
    <x:row r="790">
      <x:c r="A790" t="str">
        <x:v>JFD-20250918-0453</x:v>
      </x:c>
      <x:c r="B790" s="11" t="n">
        <x:v>45918.85277777778</x:v>
      </x:c>
      <x:c r="C790" s="13" t="n">
        <x:v>0.8527777777777777</x:v>
      </x:c>
      <x:c r="D790" t="str">
        <x:v>Birtamode</x:v>
      </x:c>
      <x:c r="E790" t="str">
        <x:v>The Underground Cafe &amp; Restaurant</x:v>
      </x:c>
      <x:c r="F790" t="str">
        <x:v>Coca-Cola 500ml</x:v>
      </x:c>
      <x:c r="G790" t="str">
        <x:v>Drink</x:v>
      </x:c>
      <x:c r="H790" t="n">
        <x:v>3</x:v>
      </x:c>
      <x:c r="I790" s="14" t="n">
        <x:v>95</x:v>
      </x:c>
      <x:c r="J790" s="14" t="n">
        <x:v>285</x:v>
      </x:c>
      <x:c r="K790" t="str">
        <x:v>DEMO / SIMULATED</x:v>
      </x:c>
    </x:row>
    <x:row r="791">
      <x:c r="A791" t="str">
        <x:v>JFD-20230430-0454</x:v>
      </x:c>
      <x:c r="B791" s="11" t="n">
        <x:v>45046.777083333334</x:v>
      </x:c>
      <x:c r="C791" s="13" t="n">
        <x:v>0.7770833333333333</x:v>
      </x:c>
      <x:c r="D791" t="str">
        <x:v>Birtamode</x:v>
      </x:c>
      <x:c r="E791" t="str">
        <x:v>Pizza Ghar</x:v>
      </x:c>
      <x:c r="F791" t="str">
        <x:v>Veg Fried Rice</x:v>
      </x:c>
      <x:c r="G791" t="str">
        <x:v>Food</x:v>
      </x:c>
      <x:c r="H791" t="n">
        <x:v>2</x:v>
      </x:c>
      <x:c r="I791" s="14" t="n">
        <x:v>180</x:v>
      </x:c>
      <x:c r="J791" s="14" t="n">
        <x:v>360</x:v>
      </x:c>
      <x:c r="K791" t="str">
        <x:v>DEMO / SIMULATED</x:v>
      </x:c>
    </x:row>
    <x:row r="792">
      <x:c r="A792" t="str">
        <x:v>JFD-20230430-0454</x:v>
      </x:c>
      <x:c r="B792" s="11" t="n">
        <x:v>45046.62152777778</x:v>
      </x:c>
      <x:c r="C792" s="13" t="n">
        <x:v>0.6215277777777778</x:v>
      </x:c>
      <x:c r="D792" t="str">
        <x:v>Birtamode</x:v>
      </x:c>
      <x:c r="E792" t="str">
        <x:v>Pizza Ghar</x:v>
      </x:c>
      <x:c r="F792" t="str">
        <x:v>Chicken BBQ Feast Pizza</x:v>
      </x:c>
      <x:c r="G792" t="str">
        <x:v>Food</x:v>
      </x:c>
      <x:c r="H792" t="n">
        <x:v>4</x:v>
      </x:c>
      <x:c r="I792" s="14" t="n">
        <x:v>475</x:v>
      </x:c>
      <x:c r="J792" s="14" t="n">
        <x:v>1900</x:v>
      </x:c>
      <x:c r="K792" t="str">
        <x:v>DEMO / SIMULATED</x:v>
      </x:c>
    </x:row>
    <x:row r="793">
      <x:c r="A793" t="str">
        <x:v>JFD-20240901-0455</x:v>
      </x:c>
      <x:c r="B793" s="11" t="n">
        <x:v>45536.76736111111</x:v>
      </x:c>
      <x:c r="C793" s="13" t="n">
        <x:v>0.7673611111111112</x:v>
      </x:c>
      <x:c r="D793" t="str">
        <x:v>Damak</x:v>
      </x:c>
      <x:c r="E793" t="str">
        <x:v>Late Night Cravings</x:v>
      </x:c>
      <x:c r="F793" t="str">
        <x:v>Chicken Fry Rice</x:v>
      </x:c>
      <x:c r="G793" t="str">
        <x:v>Food</x:v>
      </x:c>
      <x:c r="H793" t="n">
        <x:v>4</x:v>
      </x:c>
      <x:c r="I793" s="14" t="n">
        <x:v>195</x:v>
      </x:c>
      <x:c r="J793" s="14" t="n">
        <x:v>780</x:v>
      </x:c>
      <x:c r="K793" t="str">
        <x:v>DEMO / SIMULATED</x:v>
      </x:c>
    </x:row>
    <x:row r="794">
      <x:c r="A794" t="str">
        <x:v>JFD-20261008-0456</x:v>
      </x:c>
      <x:c r="B794" s="11" t="n">
        <x:v>46303.85555555556</x:v>
      </x:c>
      <x:c r="C794" s="13" t="n">
        <x:v>0.8555555555555555</x:v>
      </x:c>
      <x:c r="D794" t="str">
        <x:v>Damak</x:v>
      </x:c>
      <x:c r="E794" t="str">
        <x:v>Late Night Cravings</x:v>
      </x:c>
      <x:c r="F794" t="str">
        <x:v>Coca-Cola 500ml</x:v>
      </x:c>
      <x:c r="G794" t="str">
        <x:v>Drink</x:v>
      </x:c>
      <x:c r="H794" t="n">
        <x:v>1</x:v>
      </x:c>
      <x:c r="I794" s="14" t="n">
        <x:v>100</x:v>
      </x:c>
      <x:c r="J794" s="14" t="n">
        <x:v>100</x:v>
      </x:c>
      <x:c r="K794" t="str">
        <x:v>DEMO / SIMULATED</x:v>
      </x:c>
    </x:row>
    <x:row r="795">
      <x:c r="A795" t="str">
        <x:v>JFD-20261008-0456</x:v>
      </x:c>
      <x:c r="B795" s="11" t="n">
        <x:v>46303.486805555556</x:v>
      </x:c>
      <x:c r="C795" s="13" t="n">
        <x:v>0.48680555555555555</x:v>
      </x:c>
      <x:c r="D795" t="str">
        <x:v>Damak</x:v>
      </x:c>
      <x:c r="E795" t="str">
        <x:v>Late Night Cravings</x:v>
      </x:c>
      <x:c r="F795" t="str">
        <x:v>Chicken Fry Rice</x:v>
      </x:c>
      <x:c r="G795" t="str">
        <x:v>Food</x:v>
      </x:c>
      <x:c r="H795" t="n">
        <x:v>4</x:v>
      </x:c>
      <x:c r="I795" s="14" t="n">
        <x:v>220</x:v>
      </x:c>
      <x:c r="J795" s="14" t="n">
        <x:v>880</x:v>
      </x:c>
      <x:c r="K795" t="str">
        <x:v>DEMO / SIMULATED</x:v>
      </x:c>
    </x:row>
    <x:row r="796">
      <x:c r="A796" t="str">
        <x:v>JFD-20261008-0456</x:v>
      </x:c>
      <x:c r="B796" s="11" t="n">
        <x:v>46303.72708333333</x:v>
      </x:c>
      <x:c r="C796" s="13" t="n">
        <x:v>0.7270833333333333</x:v>
      </x:c>
      <x:c r="D796" t="str">
        <x:v>Damak</x:v>
      </x:c>
      <x:c r="E796" t="str">
        <x:v>Late Night Cravings</x:v>
      </x:c>
      <x:c r="F796" t="str">
        <x:v>Bottled Water 1L</x:v>
      </x:c>
      <x:c r="G796" t="str">
        <x:v>Drink</x:v>
      </x:c>
      <x:c r="H796" t="n">
        <x:v>2</x:v>
      </x:c>
      <x:c r="I796" s="14" t="n">
        <x:v>40</x:v>
      </x:c>
      <x:c r="J796" s="14" t="n">
        <x:v>80</x:v>
      </x:c>
      <x:c r="K796" t="str">
        <x:v>DEMO / SIMULATED</x:v>
      </x:c>
    </x:row>
    <x:row r="797">
      <x:c r="A797" t="str">
        <x:v>JFD-20230112-0457</x:v>
      </x:c>
      <x:c r="B797" s="11" t="n">
        <x:v>44938.72638888889</x:v>
      </x:c>
      <x:c r="C797" s="13" t="n">
        <x:v>0.7263888888888889</x:v>
      </x:c>
      <x:c r="D797" t="str">
        <x:v>Damak</x:v>
      </x:c>
      <x:c r="E797" t="str">
        <x:v>Milan’s Bakery</x:v>
      </x:c>
      <x:c r="F797" t="str">
        <x:v>Black Forest Cake</x:v>
      </x:c>
      <x:c r="G797" t="str">
        <x:v>Food</x:v>
      </x:c>
      <x:c r="H797" t="n">
        <x:v>1</x:v>
      </x:c>
      <x:c r="I797" s="14" t="n">
        <x:v>245</x:v>
      </x:c>
      <x:c r="J797" s="14" t="n">
        <x:v>245</x:v>
      </x:c>
      <x:c r="K797" t="str">
        <x:v>DEMO / SIMULATED</x:v>
      </x:c>
    </x:row>
    <x:row r="798">
      <x:c r="A798" t="str">
        <x:v>JFD-20230215-0458</x:v>
      </x:c>
      <x:c r="B798" s="11" t="n">
        <x:v>44972.55625</x:v>
      </x:c>
      <x:c r="C798" s="13" t="n">
        <x:v>0.55625</x:v>
      </x:c>
      <x:c r="D798" t="str">
        <x:v>Birtamode</x:v>
      </x:c>
      <x:c r="E798" t="str">
        <x:v>The Underground Cafe &amp; Restaurant</x:v>
      </x:c>
      <x:c r="F798" t="str">
        <x:v>Aalu Jeera</x:v>
      </x:c>
      <x:c r="G798" t="str">
        <x:v>Food</x:v>
      </x:c>
      <x:c r="H798" t="n">
        <x:v>3</x:v>
      </x:c>
      <x:c r="I798" s="14" t="n">
        <x:v>125</x:v>
      </x:c>
      <x:c r="J798" s="14" t="n">
        <x:v>375</x:v>
      </x:c>
      <x:c r="K798" t="str">
        <x:v>DEMO / SIMULATED</x:v>
      </x:c>
    </x:row>
    <x:row r="799">
      <x:c r="A799" t="str">
        <x:v>JFD-20230215-0458</x:v>
      </x:c>
      <x:c r="B799" s="11" t="n">
        <x:v>44972.55416666667</x:v>
      </x:c>
      <x:c r="C799" s="13" t="n">
        <x:v>0.5541666666666667</x:v>
      </x:c>
      <x:c r="D799" t="str">
        <x:v>Birtamode</x:v>
      </x:c>
      <x:c r="E799" t="str">
        <x:v>The Underground Cafe &amp; Restaurant</x:v>
      </x:c>
      <x:c r="F799" t="str">
        <x:v>Veg Pakauda</x:v>
      </x:c>
      <x:c r="G799" t="str">
        <x:v>Food</x:v>
      </x:c>
      <x:c r="H799" t="n">
        <x:v>4</x:v>
      </x:c>
      <x:c r="I799" s="14" t="n">
        <x:v>145</x:v>
      </x:c>
      <x:c r="J799" s="14" t="n">
        <x:v>580</x:v>
      </x:c>
      <x:c r="K799" t="str">
        <x:v>DEMO / SIMULATED</x:v>
      </x:c>
    </x:row>
    <x:row r="800">
      <x:c r="A800" t="str">
        <x:v>JFD-20250115-0459</x:v>
      </x:c>
      <x:c r="B800" s="11" t="n">
        <x:v>45672.55763888889</x:v>
      </x:c>
      <x:c r="C800" s="13" t="n">
        <x:v>0.5576388888888889</x:v>
      </x:c>
      <x:c r="D800" t="str">
        <x:v>Birtamode</x:v>
      </x:c>
      <x:c r="E800" t="str">
        <x:v>Pizza Ghar</x:v>
      </x:c>
      <x:c r="F800" t="str">
        <x:v>Bottled Water 1L</x:v>
      </x:c>
      <x:c r="G800" t="str">
        <x:v>Drink</x:v>
      </x:c>
      <x:c r="H800" t="n">
        <x:v>1</x:v>
      </x:c>
      <x:c r="I800" s="14" t="n">
        <x:v>40</x:v>
      </x:c>
      <x:c r="J800" s="14" t="n">
        <x:v>40</x:v>
      </x:c>
      <x:c r="K800" t="str">
        <x:v>DEMO / SIMULATED</x:v>
      </x:c>
    </x:row>
    <x:row r="801">
      <x:c r="A801" t="str">
        <x:v>JFD-20250115-0459</x:v>
      </x:c>
      <x:c r="B801" s="11" t="n">
        <x:v>45672.59583333333</x:v>
      </x:c>
      <x:c r="C801" s="13" t="n">
        <x:v>0.5958333333333333</x:v>
      </x:c>
      <x:c r="D801" t="str">
        <x:v>Birtamode</x:v>
      </x:c>
      <x:c r="E801" t="str">
        <x:v>Pizza Ghar</x:v>
      </x:c>
      <x:c r="F801" t="str">
        <x:v>Chicken BBQ Feast Pizza</x:v>
      </x:c>
      <x:c r="G801" t="str">
        <x:v>Food</x:v>
      </x:c>
      <x:c r="H801" t="n">
        <x:v>4</x:v>
      </x:c>
      <x:c r="I801" s="14" t="n">
        <x:v>545</x:v>
      </x:c>
      <x:c r="J801" s="14" t="n">
        <x:v>2180</x:v>
      </x:c>
      <x:c r="K801" t="str">
        <x:v>DEMO / SIMULATED</x:v>
      </x:c>
    </x:row>
    <x:row r="802">
      <x:c r="A802" t="str">
        <x:v>JFD-20230125-0460</x:v>
      </x:c>
      <x:c r="B802" s="11" t="n">
        <x:v>44951.69375</x:v>
      </x:c>
      <x:c r="C802" s="13" t="n">
        <x:v>0.69375</x:v>
      </x:c>
      <x:c r="D802" t="str">
        <x:v>Damak</x:v>
      </x:c>
      <x:c r="E802" t="str">
        <x:v>Milan’s Bakery</x:v>
      </x:c>
      <x:c r="F802" t="str">
        <x:v>Vanilla Cake</x:v>
      </x:c>
      <x:c r="G802" t="str">
        <x:v>Food</x:v>
      </x:c>
      <x:c r="H802" t="n">
        <x:v>1</x:v>
      </x:c>
      <x:c r="I802" s="14" t="n">
        <x:v>245</x:v>
      </x:c>
      <x:c r="J802" s="14" t="n">
        <x:v>245</x:v>
      </x:c>
      <x:c r="K802" t="str">
        <x:v>DEMO / SIMULATED</x:v>
      </x:c>
    </x:row>
    <x:row r="803">
      <x:c r="A803" t="str">
        <x:v>JFD-20240317-0461</x:v>
      </x:c>
      <x:c r="B803" s="11" t="n">
        <x:v>45368.62708333333</x:v>
      </x:c>
      <x:c r="C803" s="13" t="n">
        <x:v>0.6270833333333333</x:v>
      </x:c>
      <x:c r="D803" t="str">
        <x:v>Birtamode</x:v>
      </x:c>
      <x:c r="E803" t="str">
        <x:v>Pizza Ghar</x:v>
      </x:c>
      <x:c r="F803" t="str">
        <x:v>Coca-Cola 500ml</x:v>
      </x:c>
      <x:c r="G803" t="str">
        <x:v>Drink</x:v>
      </x:c>
      <x:c r="H803" t="n">
        <x:v>2</x:v>
      </x:c>
      <x:c r="I803" s="14" t="n">
        <x:v>90</x:v>
      </x:c>
      <x:c r="J803" s="14" t="n">
        <x:v>180</x:v>
      </x:c>
      <x:c r="K803" t="str">
        <x:v>DEMO / SIMULATED</x:v>
      </x:c>
    </x:row>
    <x:row r="804">
      <x:c r="A804" t="str">
        <x:v>JFD-20240317-0461</x:v>
      </x:c>
      <x:c r="B804" s="11" t="n">
        <x:v>45368.822222222225</x:v>
      </x:c>
      <x:c r="C804" s="13" t="n">
        <x:v>0.8222222222222222</x:v>
      </x:c>
      <x:c r="D804" t="str">
        <x:v>Birtamode</x:v>
      </x:c>
      <x:c r="E804" t="str">
        <x:v>Pizza Ghar</x:v>
      </x:c>
      <x:c r="F804" t="str">
        <x:v>Bottled Water 1L</x:v>
      </x:c>
      <x:c r="G804" t="str">
        <x:v>Drink</x:v>
      </x:c>
      <x:c r="H804" t="n">
        <x:v>3</x:v>
      </x:c>
      <x:c r="I804" s="14" t="n">
        <x:v>35</x:v>
      </x:c>
      <x:c r="J804" s="14" t="n">
        <x:v>105</x:v>
      </x:c>
      <x:c r="K804" t="str">
        <x:v>DEMO / SIMULATED</x:v>
      </x:c>
    </x:row>
    <x:row r="805">
      <x:c r="A805" t="str">
        <x:v>JFD-20240823-0462</x:v>
      </x:c>
      <x:c r="B805" s="11" t="n">
        <x:v>45527.57708333333</x:v>
      </x:c>
      <x:c r="C805" s="13" t="n">
        <x:v>0.5770833333333333</x:v>
      </x:c>
      <x:c r="D805" t="str">
        <x:v>Damak</x:v>
      </x:c>
      <x:c r="E805" t="str">
        <x:v>Milan’s Bakery</x:v>
      </x:c>
      <x:c r="F805" t="str">
        <x:v>Black Forest Cake</x:v>
      </x:c>
      <x:c r="G805" t="str">
        <x:v>Food</x:v>
      </x:c>
      <x:c r="H805" t="n">
        <x:v>1</x:v>
      </x:c>
      <x:c r="I805" s="14" t="n">
        <x:v>265</x:v>
      </x:c>
      <x:c r="J805" s="14" t="n">
        <x:v>265</x:v>
      </x:c>
      <x:c r="K805" t="str">
        <x:v>DEMO / SIMULATED</x:v>
      </x:c>
    </x:row>
    <x:row r="806">
      <x:c r="A806" t="str">
        <x:v>JFD-20240823-0462</x:v>
      </x:c>
      <x:c r="B806" s="11" t="n">
        <x:v>45527.72083333333</x:v>
      </x:c>
      <x:c r="C806" s="13" t="n">
        <x:v>0.7208333333333333</x:v>
      </x:c>
      <x:c r="D806" t="str">
        <x:v>Damak</x:v>
      </x:c>
      <x:c r="E806" t="str">
        <x:v>Milan’s Bakery</x:v>
      </x:c>
      <x:c r="F806" t="str">
        <x:v>Red Velvet Cake</x:v>
      </x:c>
      <x:c r="G806" t="str">
        <x:v>Food</x:v>
      </x:c>
      <x:c r="H806" t="n">
        <x:v>4</x:v>
      </x:c>
      <x:c r="I806" s="14" t="n">
        <x:v>790</x:v>
      </x:c>
      <x:c r="J806" s="14" t="n">
        <x:v>3160</x:v>
      </x:c>
      <x:c r="K806" t="str">
        <x:v>DEMO / SIMULATED</x:v>
      </x:c>
    </x:row>
    <x:row r="807">
      <x:c r="A807" t="str">
        <x:v>JFD-20260210-0463</x:v>
      </x:c>
      <x:c r="B807" s="11" t="n">
        <x:v>46063.67986111111</x:v>
      </x:c>
      <x:c r="C807" s="13" t="n">
        <x:v>0.6798611111111111</x:v>
      </x:c>
      <x:c r="D807" t="str">
        <x:v>Birtamode</x:v>
      </x:c>
      <x:c r="E807" t="str">
        <x:v>The Underground Cafe &amp; Restaurant</x:v>
      </x:c>
      <x:c r="F807" t="str">
        <x:v>Paneer Pakauda</x:v>
      </x:c>
      <x:c r="G807" t="str">
        <x:v>Food</x:v>
      </x:c>
      <x:c r="H807" t="n">
        <x:v>3</x:v>
      </x:c>
      <x:c r="I807" s="14" t="n">
        <x:v>225</x:v>
      </x:c>
      <x:c r="J807" s="14" t="n">
        <x:v>675</x:v>
      </x:c>
      <x:c r="K807" t="str">
        <x:v>DEMO / SIMULATED</x:v>
      </x:c>
    </x:row>
    <x:row r="808">
      <x:c r="A808" t="str">
        <x:v>JFD-20240418-0464</x:v>
      </x:c>
      <x:c r="B808" s="11" t="n">
        <x:v>45400.53958333333</x:v>
      </x:c>
      <x:c r="C808" s="13" t="n">
        <x:v>0.5395833333333333</x:v>
      </x:c>
      <x:c r="D808" t="str">
        <x:v>Damak</x:v>
      </x:c>
      <x:c r="E808" t="str">
        <x:v>Milan’s Bakery</x:v>
      </x:c>
      <x:c r="F808" t="str">
        <x:v>Chocolate Cake</x:v>
      </x:c>
      <x:c r="G808" t="str">
        <x:v>Food</x:v>
      </x:c>
      <x:c r="H808" t="n">
        <x:v>2</x:v>
      </x:c>
      <x:c r="I808" s="14" t="n">
        <x:v>310</x:v>
      </x:c>
      <x:c r="J808" s="14" t="n">
        <x:v>620</x:v>
      </x:c>
      <x:c r="K808" t="str">
        <x:v>DEMO / SIMULATED</x:v>
      </x:c>
    </x:row>
    <x:row r="809">
      <x:c r="A809" t="str">
        <x:v>JFD-20240418-0464</x:v>
      </x:c>
      <x:c r="B809" s="11" t="n">
        <x:v>45400.62777777778</x:v>
      </x:c>
      <x:c r="C809" s="13" t="n">
        <x:v>0.6277777777777778</x:v>
      </x:c>
      <x:c r="D809" t="str">
        <x:v>Damak</x:v>
      </x:c>
      <x:c r="E809" t="str">
        <x:v>Milan’s Bakery</x:v>
      </x:c>
      <x:c r="F809" t="str">
        <x:v>Coca-Cola 500ml</x:v>
      </x:c>
      <x:c r="G809" t="str">
        <x:v>Drink</x:v>
      </x:c>
      <x:c r="H809" t="n">
        <x:v>3</x:v>
      </x:c>
      <x:c r="I809" s="14" t="n">
        <x:v>90</x:v>
      </x:c>
      <x:c r="J809" s="14" t="n">
        <x:v>270</x:v>
      </x:c>
      <x:c r="K809" t="str">
        <x:v>DEMO / SIMULATED</x:v>
      </x:c>
    </x:row>
    <x:row r="810">
      <x:c r="A810" t="str">
        <x:v>JFD-20240418-0464</x:v>
      </x:c>
      <x:c r="B810" s="11" t="n">
        <x:v>45400.478472222225</x:v>
      </x:c>
      <x:c r="C810" s="13" t="n">
        <x:v>0.47847222222222224</x:v>
      </x:c>
      <x:c r="D810" t="str">
        <x:v>Damak</x:v>
      </x:c>
      <x:c r="E810" t="str">
        <x:v>Milan’s Bakery</x:v>
      </x:c>
      <x:c r="F810" t="str">
        <x:v>Vanilla Cake</x:v>
      </x:c>
      <x:c r="G810" t="str">
        <x:v>Food</x:v>
      </x:c>
      <x:c r="H810" t="n">
        <x:v>4</x:v>
      </x:c>
      <x:c r="I810" s="14" t="n">
        <x:v>265</x:v>
      </x:c>
      <x:c r="J810" s="14" t="n">
        <x:v>1060</x:v>
      </x:c>
      <x:c r="K810" t="str">
        <x:v>DEMO / SIMULATED</x:v>
      </x:c>
    </x:row>
    <x:row r="811">
      <x:c r="A811" t="str">
        <x:v>JFD-20250212-0465</x:v>
      </x:c>
      <x:c r="B811" s="11" t="n">
        <x:v>45700.54861111111</x:v>
      </x:c>
      <x:c r="C811" s="13" t="n">
        <x:v>0.5486111111111112</x:v>
      </x:c>
      <x:c r="D811" t="str">
        <x:v>Birtamode</x:v>
      </x:c>
      <x:c r="E811" t="str">
        <x:v>Pizza Ghar</x:v>
      </x:c>
      <x:c r="F811" t="str">
        <x:v>Chicken BBQ Feast Pizza</x:v>
      </x:c>
      <x:c r="G811" t="str">
        <x:v>Food</x:v>
      </x:c>
      <x:c r="H811" t="n">
        <x:v>3</x:v>
      </x:c>
      <x:c r="I811" s="14" t="n">
        <x:v>545</x:v>
      </x:c>
      <x:c r="J811" s="14" t="n">
        <x:v>1635</x:v>
      </x:c>
      <x:c r="K811" t="str">
        <x:v>DEMO / SIMULATED</x:v>
      </x:c>
    </x:row>
    <x:row r="812">
      <x:c r="A812" t="str">
        <x:v>JFD-20230930-0466</x:v>
      </x:c>
      <x:c r="B812" s="11" t="n">
        <x:v>45199.88888888889</x:v>
      </x:c>
      <x:c r="C812" s="13" t="n">
        <x:v>0.8888888888888888</x:v>
      </x:c>
      <x:c r="D812" t="str">
        <x:v>Damak</x:v>
      </x:c>
      <x:c r="E812" t="str">
        <x:v>Milan’s Bakery</x:v>
      </x:c>
      <x:c r="F812" t="str">
        <x:v>Bottled Water 1L</x:v>
      </x:c>
      <x:c r="G812" t="str">
        <x:v>Drink</x:v>
      </x:c>
      <x:c r="H812" t="n">
        <x:v>1</x:v>
      </x:c>
      <x:c r="I812" s="14" t="n">
        <x:v>35</x:v>
      </x:c>
      <x:c r="J812" s="14" t="n">
        <x:v>35</x:v>
      </x:c>
      <x:c r="K812" t="str">
        <x:v>DEMO / SIMULATED</x:v>
      </x:c>
    </x:row>
    <x:row r="813">
      <x:c r="A813" t="str">
        <x:v>JFD-20230930-0466</x:v>
      </x:c>
      <x:c r="B813" s="11" t="n">
        <x:v>45199.43680555555</x:v>
      </x:c>
      <x:c r="C813" s="13" t="n">
        <x:v>0.43680555555555556</x:v>
      </x:c>
      <x:c r="D813" t="str">
        <x:v>Damak</x:v>
      </x:c>
      <x:c r="E813" t="str">
        <x:v>Milan’s Bakery</x:v>
      </x:c>
      <x:c r="F813" t="str">
        <x:v>Red Velvet Cake</x:v>
      </x:c>
      <x:c r="G813" t="str">
        <x:v>Food</x:v>
      </x:c>
      <x:c r="H813" t="n">
        <x:v>3</x:v>
      </x:c>
      <x:c r="I813" s="14" t="n">
        <x:v>740</x:v>
      </x:c>
      <x:c r="J813" s="14" t="n">
        <x:v>2220</x:v>
      </x:c>
      <x:c r="K813" t="str">
        <x:v>DEMO / SIMULATED</x:v>
      </x:c>
    </x:row>
    <x:row r="814">
      <x:c r="A814" t="str">
        <x:v>JFD-20230930-0466</x:v>
      </x:c>
      <x:c r="B814" s="11" t="n">
        <x:v>45199.57083333333</x:v>
      </x:c>
      <x:c r="C814" s="13" t="n">
        <x:v>0.5708333333333333</x:v>
      </x:c>
      <x:c r="D814" t="str">
        <x:v>Damak</x:v>
      </x:c>
      <x:c r="E814" t="str">
        <x:v>Milan’s Bakery</x:v>
      </x:c>
      <x:c r="F814" t="str">
        <x:v>Vanilla Cake</x:v>
      </x:c>
      <x:c r="G814" t="str">
        <x:v>Food</x:v>
      </x:c>
      <x:c r="H814" t="n">
        <x:v>4</x:v>
      </x:c>
      <x:c r="I814" s="14" t="n">
        <x:v>245</x:v>
      </x:c>
      <x:c r="J814" s="14" t="n">
        <x:v>980</x:v>
      </x:c>
      <x:c r="K814" t="str">
        <x:v>DEMO / SIMULATED</x:v>
      </x:c>
    </x:row>
    <x:row r="815">
      <x:c r="A815" t="str">
        <x:v>JFD-20250227-0467</x:v>
      </x:c>
      <x:c r="B815" s="11" t="n">
        <x:v>45715.59861111111</x:v>
      </x:c>
      <x:c r="C815" s="13" t="n">
        <x:v>0.5986111111111111</x:v>
      </x:c>
      <x:c r="D815" t="str">
        <x:v>Birtamode</x:v>
      </x:c>
      <x:c r="E815" t="str">
        <x:v>Pizza Ghar</x:v>
      </x:c>
      <x:c r="F815" t="str">
        <x:v>Egg Fried Rice</x:v>
      </x:c>
      <x:c r="G815" t="str">
        <x:v>Food</x:v>
      </x:c>
      <x:c r="H815" t="n">
        <x:v>4</x:v>
      </x:c>
      <x:c r="I815" s="14" t="n">
        <x:v>255</x:v>
      </x:c>
      <x:c r="J815" s="14" t="n">
        <x:v>1020</x:v>
      </x:c>
      <x:c r="K815" t="str">
        <x:v>DEMO / SIMULATED</x:v>
      </x:c>
    </x:row>
    <x:row r="816">
      <x:c r="A816" t="str">
        <x:v>JFD-20230226-0468</x:v>
      </x:c>
      <x:c r="B816" s="11" t="n">
        <x:v>44983.88263888889</x:v>
      </x:c>
      <x:c r="C816" s="13" t="n">
        <x:v>0.8826388888888889</x:v>
      </x:c>
      <x:c r="D816" t="str">
        <x:v>Damak</x:v>
      </x:c>
      <x:c r="E816" t="str">
        <x:v>Late Night Cravings</x:v>
      </x:c>
      <x:c r="F816" t="str">
        <x:v>Egg Fry Rice</x:v>
      </x:c>
      <x:c r="G816" t="str">
        <x:v>Food</x:v>
      </x:c>
      <x:c r="H816" t="n">
        <x:v>3</x:v>
      </x:c>
      <x:c r="I816" s="14" t="n">
        <x:v>165</x:v>
      </x:c>
      <x:c r="J816" s="14" t="n">
        <x:v>495</x:v>
      </x:c>
      <x:c r="K816" t="str">
        <x:v>DEMO / SIMULATED</x:v>
      </x:c>
    </x:row>
    <x:row r="817">
      <x:c r="A817" t="str">
        <x:v>JFD-20250618-0469</x:v>
      </x:c>
      <x:c r="B817" s="11" t="n">
        <x:v>45826.521527777775</x:v>
      </x:c>
      <x:c r="C817" s="13" t="n">
        <x:v>0.5215277777777778</x:v>
      </x:c>
      <x:c r="D817" t="str">
        <x:v>Damak</x:v>
      </x:c>
      <x:c r="E817" t="str">
        <x:v>Late Night Cravings</x:v>
      </x:c>
      <x:c r="F817" t="str">
        <x:v>Chicken Fry Rice</x:v>
      </x:c>
      <x:c r="G817" t="str">
        <x:v>Food</x:v>
      </x:c>
      <x:c r="H817" t="n">
        <x:v>2</x:v>
      </x:c>
      <x:c r="I817" s="14" t="n">
        <x:v>205</x:v>
      </x:c>
      <x:c r="J817" s="14" t="n">
        <x:v>410</x:v>
      </x:c>
      <x:c r="K817" t="str">
        <x:v>DEMO / SIMULATED</x:v>
      </x:c>
    </x:row>
    <x:row r="818">
      <x:c r="A818" t="str">
        <x:v>JFD-20250618-0469</x:v>
      </x:c>
      <x:c r="B818" s="11" t="n">
        <x:v>45826.808333333334</x:v>
      </x:c>
      <x:c r="C818" s="13" t="n">
        <x:v>0.8083333333333333</x:v>
      </x:c>
      <x:c r="D818" t="str">
        <x:v>Damak</x:v>
      </x:c>
      <x:c r="E818" t="str">
        <x:v>Late Night Cravings</x:v>
      </x:c>
      <x:c r="F818" t="str">
        <x:v>Coca-Cola 500ml</x:v>
      </x:c>
      <x:c r="G818" t="str">
        <x:v>Drink</x:v>
      </x:c>
      <x:c r="H818" t="n">
        <x:v>2</x:v>
      </x:c>
      <x:c r="I818" s="14" t="n">
        <x:v>95</x:v>
      </x:c>
      <x:c r="J818" s="14" t="n">
        <x:v>190</x:v>
      </x:c>
      <x:c r="K818" t="str">
        <x:v>DEMO / SIMULATED</x:v>
      </x:c>
    </x:row>
    <x:row r="819">
      <x:c r="A819" t="str">
        <x:v>JFD-20250618-0469</x:v>
      </x:c>
      <x:c r="B819" s="11" t="n">
        <x:v>45826.56319444445</x:v>
      </x:c>
      <x:c r="C819" s="13" t="n">
        <x:v>0.5631944444444444</x:v>
      </x:c>
      <x:c r="D819" t="str">
        <x:v>Damak</x:v>
      </x:c>
      <x:c r="E819" t="str">
        <x:v>Late Night Cravings</x:v>
      </x:c>
      <x:c r="F819" t="str">
        <x:v>Mix Fry Rice</x:v>
      </x:c>
      <x:c r="G819" t="str">
        <x:v>Food</x:v>
      </x:c>
      <x:c r="H819" t="n">
        <x:v>1</x:v>
      </x:c>
      <x:c r="I819" s="14" t="n">
        <x:v>265</x:v>
      </x:c>
      <x:c r="J819" s="14" t="n">
        <x:v>265</x:v>
      </x:c>
      <x:c r="K819" t="str">
        <x:v>DEMO / SIMULATED</x:v>
      </x:c>
    </x:row>
    <x:row r="820">
      <x:c r="A820" t="str">
        <x:v>JFD-20240427-0470</x:v>
      </x:c>
      <x:c r="B820" s="11" t="n">
        <x:v>45409.60972222222</x:v>
      </x:c>
      <x:c r="C820" s="13" t="n">
        <x:v>0.6097222222222223</x:v>
      </x:c>
      <x:c r="D820" t="str">
        <x:v>Birtamode</x:v>
      </x:c>
      <x:c r="E820" t="str">
        <x:v>The Underground Cafe &amp; Restaurant</x:v>
      </x:c>
      <x:c r="F820" t="str">
        <x:v>Paneer Pakauda</x:v>
      </x:c>
      <x:c r="G820" t="str">
        <x:v>Food</x:v>
      </x:c>
      <x:c r="H820" t="n">
        <x:v>3</x:v>
      </x:c>
      <x:c r="I820" s="14" t="n">
        <x:v>200</x:v>
      </x:c>
      <x:c r="J820" s="14" t="n">
        <x:v>600</x:v>
      </x:c>
      <x:c r="K820" t="str">
        <x:v>DEMO / SIMULATED</x:v>
      </x:c>
    </x:row>
    <x:row r="821">
      <x:c r="A821" t="str">
        <x:v>JFD-20240427-0470</x:v>
      </x:c>
      <x:c r="B821" s="11" t="n">
        <x:v>45409.44236111111</x:v>
      </x:c>
      <x:c r="C821" s="13" t="n">
        <x:v>0.4423611111111111</x:v>
      </x:c>
      <x:c r="D821" t="str">
        <x:v>Birtamode</x:v>
      </x:c>
      <x:c r="E821" t="str">
        <x:v>The Underground Cafe &amp; Restaurant</x:v>
      </x:c>
      <x:c r="F821" t="str">
        <x:v>Aalu Jeera</x:v>
      </x:c>
      <x:c r="G821" t="str">
        <x:v>Food</x:v>
      </x:c>
      <x:c r="H821" t="n">
        <x:v>1</x:v>
      </x:c>
      <x:c r="I821" s="14" t="n">
        <x:v>135</x:v>
      </x:c>
      <x:c r="J821" s="14" t="n">
        <x:v>135</x:v>
      </x:c>
      <x:c r="K821" t="str">
        <x:v>DEMO / SIMULATED</x:v>
      </x:c>
    </x:row>
    <x:row r="822">
      <x:c r="A822" t="str">
        <x:v>JFD-20260106-0471</x:v>
      </x:c>
      <x:c r="B822" s="11" t="n">
        <x:v>46028.74791666667</x:v>
      </x:c>
      <x:c r="C822" s="13" t="n">
        <x:v>0.7479166666666667</x:v>
      </x:c>
      <x:c r="D822" t="str">
        <x:v>Birtamode</x:v>
      </x:c>
      <x:c r="E822" t="str">
        <x:v>Pizza Ghar</x:v>
      </x:c>
      <x:c r="F822" t="str">
        <x:v>Chicken Fried Rice</x:v>
      </x:c>
      <x:c r="G822" t="str">
        <x:v>Food</x:v>
      </x:c>
      <x:c r="H822" t="n">
        <x:v>4</x:v>
      </x:c>
      <x:c r="I822" s="14" t="n">
        <x:v>300</x:v>
      </x:c>
      <x:c r="J822" s="14" t="n">
        <x:v>1200</x:v>
      </x:c>
      <x:c r="K822" t="str">
        <x:v>DEMO / SIMULATED</x:v>
      </x:c>
    </x:row>
    <x:row r="823">
      <x:c r="A823" t="str">
        <x:v>JFD-20240205-0472</x:v>
      </x:c>
      <x:c r="B823" s="11" t="n">
        <x:v>45327.54027777778</x:v>
      </x:c>
      <x:c r="C823" s="13" t="n">
        <x:v>0.5402777777777777</x:v>
      </x:c>
      <x:c r="D823" t="str">
        <x:v>Damak</x:v>
      </x:c>
      <x:c r="E823" t="str">
        <x:v>Late Night Cravings</x:v>
      </x:c>
      <x:c r="F823" t="str">
        <x:v>Chicken Fry Rice</x:v>
      </x:c>
      <x:c r="G823" t="str">
        <x:v>Food</x:v>
      </x:c>
      <x:c r="H823" t="n">
        <x:v>4</x:v>
      </x:c>
      <x:c r="I823" s="14" t="n">
        <x:v>195</x:v>
      </x:c>
      <x:c r="J823" s="14" t="n">
        <x:v>780</x:v>
      </x:c>
      <x:c r="K823" t="str">
        <x:v>DEMO / SIMULATED</x:v>
      </x:c>
    </x:row>
    <x:row r="824">
      <x:c r="A824" t="str">
        <x:v>JFD-20240205-0472</x:v>
      </x:c>
      <x:c r="B824" s="11" t="n">
        <x:v>45327.48472222222</x:v>
      </x:c>
      <x:c r="C824" s="13" t="n">
        <x:v>0.4847222222222222</x:v>
      </x:c>
      <x:c r="D824" t="str">
        <x:v>Damak</x:v>
      </x:c>
      <x:c r="E824" t="str">
        <x:v>Late Night Cravings</x:v>
      </x:c>
      <x:c r="F824" t="str">
        <x:v>Egg Fry Rice</x:v>
      </x:c>
      <x:c r="G824" t="str">
        <x:v>Food</x:v>
      </x:c>
      <x:c r="H824" t="n">
        <x:v>2</x:v>
      </x:c>
      <x:c r="I824" s="14" t="n">
        <x:v>175</x:v>
      </x:c>
      <x:c r="J824" s="14" t="n">
        <x:v>350</x:v>
      </x:c>
      <x:c r="K824" t="str">
        <x:v>DEMO / SIMULATED</x:v>
      </x:c>
    </x:row>
    <x:row r="825">
      <x:c r="A825" t="str">
        <x:v>JFD-20231006-0473</x:v>
      </x:c>
      <x:c r="B825" s="11" t="n">
        <x:v>45205.86388888889</x:v>
      </x:c>
      <x:c r="C825" s="13" t="n">
        <x:v>0.8638888888888889</x:v>
      </x:c>
      <x:c r="D825" t="str">
        <x:v>Damak</x:v>
      </x:c>
      <x:c r="E825" t="str">
        <x:v>Late Night Cravings</x:v>
      </x:c>
      <x:c r="F825" t="str">
        <x:v>Bottled Water 1L</x:v>
      </x:c>
      <x:c r="G825" t="str">
        <x:v>Drink</x:v>
      </x:c>
      <x:c r="H825" t="n">
        <x:v>3</x:v>
      </x:c>
      <x:c r="I825" s="14" t="n">
        <x:v>35</x:v>
      </x:c>
      <x:c r="J825" s="14" t="n">
        <x:v>105</x:v>
      </x:c>
      <x:c r="K825" t="str">
        <x:v>DEMO / SIMULATED</x:v>
      </x:c>
    </x:row>
    <x:row r="826">
      <x:c r="A826" t="str">
        <x:v>JFD-20231006-0473</x:v>
      </x:c>
      <x:c r="B826" s="11" t="n">
        <x:v>45205.91180555556</x:v>
      </x:c>
      <x:c r="C826" s="13" t="n">
        <x:v>0.9118055555555555</x:v>
      </x:c>
      <x:c r="D826" t="str">
        <x:v>Damak</x:v>
      </x:c>
      <x:c r="E826" t="str">
        <x:v>Late Night Cravings</x:v>
      </x:c>
      <x:c r="F826" t="str">
        <x:v>Chicken Fry Rice</x:v>
      </x:c>
      <x:c r="G826" t="str">
        <x:v>Food</x:v>
      </x:c>
      <x:c r="H826" t="n">
        <x:v>1</x:v>
      </x:c>
      <x:c r="I826" s="14" t="n">
        <x:v>180</x:v>
      </x:c>
      <x:c r="J826" s="14" t="n">
        <x:v>180</x:v>
      </x:c>
      <x:c r="K826" t="str">
        <x:v>DEMO / SIMULATED</x:v>
      </x:c>
    </x:row>
    <x:row r="827">
      <x:c r="A827" t="str">
        <x:v>JFD-20231006-0473</x:v>
      </x:c>
      <x:c r="B827" s="11" t="n">
        <x:v>45205.563888888886</x:v>
      </x:c>
      <x:c r="C827" s="13" t="n">
        <x:v>0.5638888888888889</x:v>
      </x:c>
      <x:c r="D827" t="str">
        <x:v>Damak</x:v>
      </x:c>
      <x:c r="E827" t="str">
        <x:v>Late Night Cravings</x:v>
      </x:c>
      <x:c r="F827" t="str">
        <x:v>Egg Fry Rice</x:v>
      </x:c>
      <x:c r="G827" t="str">
        <x:v>Food</x:v>
      </x:c>
      <x:c r="H827" t="n">
        <x:v>4</x:v>
      </x:c>
      <x:c r="I827" s="14" t="n">
        <x:v>165</x:v>
      </x:c>
      <x:c r="J827" s="14" t="n">
        <x:v>660</x:v>
      </x:c>
      <x:c r="K827" t="str">
        <x:v>DEMO / SIMULATED</x:v>
      </x:c>
    </x:row>
    <x:row r="828">
      <x:c r="A828" t="str">
        <x:v>JFD-20230824-0474</x:v>
      </x:c>
      <x:c r="B828" s="11" t="n">
        <x:v>45162.76111111111</x:v>
      </x:c>
      <x:c r="C828" s="13" t="n">
        <x:v>0.7611111111111111</x:v>
      </x:c>
      <x:c r="D828" t="str">
        <x:v>Birtamode</x:v>
      </x:c>
      <x:c r="E828" t="str">
        <x:v>Pizza Ghar</x:v>
      </x:c>
      <x:c r="F828" t="str">
        <x:v>Chicken BBQ Feast Pizza</x:v>
      </x:c>
      <x:c r="G828" t="str">
        <x:v>Food</x:v>
      </x:c>
      <x:c r="H828" t="n">
        <x:v>3</x:v>
      </x:c>
      <x:c r="I828" s="14" t="n">
        <x:v>475</x:v>
      </x:c>
      <x:c r="J828" s="14" t="n">
        <x:v>1425</x:v>
      </x:c>
      <x:c r="K828" t="str">
        <x:v>DEMO / SIMULATED</x:v>
      </x:c>
    </x:row>
    <x:row r="829">
      <x:c r="A829" t="str">
        <x:v>JFD-20240508-0475</x:v>
      </x:c>
      <x:c r="B829" s="11" t="n">
        <x:v>45420.77013888889</x:v>
      </x:c>
      <x:c r="C829" s="13" t="n">
        <x:v>0.7701388888888889</x:v>
      </x:c>
      <x:c r="D829" t="str">
        <x:v>Damak</x:v>
      </x:c>
      <x:c r="E829" t="str">
        <x:v>Late Night Cravings</x:v>
      </x:c>
      <x:c r="F829" t="str">
        <x:v>Mix Fry Rice</x:v>
      </x:c>
      <x:c r="G829" t="str">
        <x:v>Food</x:v>
      </x:c>
      <x:c r="H829" t="n">
        <x:v>3</x:v>
      </x:c>
      <x:c r="I829" s="14" t="n">
        <x:v>245</x:v>
      </x:c>
      <x:c r="J829" s="14" t="n">
        <x:v>735</x:v>
      </x:c>
      <x:c r="K829" t="str">
        <x:v>DEMO / SIMULATED</x:v>
      </x:c>
    </x:row>
    <x:row r="830">
      <x:c r="A830" t="str">
        <x:v>JFD-20240810-0476</x:v>
      </x:c>
      <x:c r="B830" s="11" t="n">
        <x:v>45514.78402777778</x:v>
      </x:c>
      <x:c r="C830" s="13" t="n">
        <x:v>0.7840277777777778</x:v>
      </x:c>
      <x:c r="D830" t="str">
        <x:v>Birtamode</x:v>
      </x:c>
      <x:c r="E830" t="str">
        <x:v>Pizza Ghar</x:v>
      </x:c>
      <x:c r="F830" t="str">
        <x:v>Bottled Water 1L</x:v>
      </x:c>
      <x:c r="G830" t="str">
        <x:v>Drink</x:v>
      </x:c>
      <x:c r="H830" t="n">
        <x:v>1</x:v>
      </x:c>
      <x:c r="I830" s="14" t="n">
        <x:v>35</x:v>
      </x:c>
      <x:c r="J830" s="14" t="n">
        <x:v>35</x:v>
      </x:c>
      <x:c r="K830" t="str">
        <x:v>DEMO / SIMULATED</x:v>
      </x:c>
    </x:row>
    <x:row r="831">
      <x:c r="A831" t="str">
        <x:v>JFD-20240810-0476</x:v>
      </x:c>
      <x:c r="B831" s="11" t="n">
        <x:v>45514.90138888889</x:v>
      </x:c>
      <x:c r="C831" s="13" t="n">
        <x:v>0.9013888888888889</x:v>
      </x:c>
      <x:c r="D831" t="str">
        <x:v>Birtamode</x:v>
      </x:c>
      <x:c r="E831" t="str">
        <x:v>Pizza Ghar</x:v>
      </x:c>
      <x:c r="F831" t="str">
        <x:v>Coca-Cola 500ml</x:v>
      </x:c>
      <x:c r="G831" t="str">
        <x:v>Drink</x:v>
      </x:c>
      <x:c r="H831" t="n">
        <x:v>4</x:v>
      </x:c>
      <x:c r="I831" s="14" t="n">
        <x:v>90</x:v>
      </x:c>
      <x:c r="J831" s="14" t="n">
        <x:v>360</x:v>
      </x:c>
      <x:c r="K831" t="str">
        <x:v>DEMO / SIMULATED</x:v>
      </x:c>
    </x:row>
    <x:row r="832">
      <x:c r="A832" t="str">
        <x:v>JFD-20240209-0477</x:v>
      </x:c>
      <x:c r="B832" s="11" t="n">
        <x:v>45331.65625</x:v>
      </x:c>
      <x:c r="C832" s="13" t="n">
        <x:v>0.65625</x:v>
      </x:c>
      <x:c r="D832" t="str">
        <x:v>Birtamode</x:v>
      </x:c>
      <x:c r="E832" t="str">
        <x:v>Pizza Ghar</x:v>
      </x:c>
      <x:c r="F832" t="str">
        <x:v>Coca-Cola 500ml</x:v>
      </x:c>
      <x:c r="G832" t="str">
        <x:v>Drink</x:v>
      </x:c>
      <x:c r="H832" t="n">
        <x:v>4</x:v>
      </x:c>
      <x:c r="I832" s="14" t="n">
        <x:v>90</x:v>
      </x:c>
      <x:c r="J832" s="14" t="n">
        <x:v>360</x:v>
      </x:c>
      <x:c r="K832" t="str">
        <x:v>DEMO / SIMULATED</x:v>
      </x:c>
    </x:row>
    <x:row r="833">
      <x:c r="A833" t="str">
        <x:v>JFD-20240209-0477</x:v>
      </x:c>
      <x:c r="B833" s="11" t="n">
        <x:v>45331.48541666667</x:v>
      </x:c>
      <x:c r="C833" s="13" t="n">
        <x:v>0.48541666666666666</x:v>
      </x:c>
      <x:c r="D833" t="str">
        <x:v>Birtamode</x:v>
      </x:c>
      <x:c r="E833" t="str">
        <x:v>Pizza Ghar</x:v>
      </x:c>
      <x:c r="F833" t="str">
        <x:v>Chicken BBQ Feast Pizza</x:v>
      </x:c>
      <x:c r="G833" t="str">
        <x:v>Food</x:v>
      </x:c>
      <x:c r="H833" t="n">
        <x:v>1</x:v>
      </x:c>
      <x:c r="I833" s="14" t="n">
        <x:v>510</x:v>
      </x:c>
      <x:c r="J833" s="14" t="n">
        <x:v>510</x:v>
      </x:c>
      <x:c r="K833" t="str">
        <x:v>DEMO / SIMULATED</x:v>
      </x:c>
    </x:row>
    <x:row r="834">
      <x:c r="A834" t="str">
        <x:v>JFD-20230824-0478</x:v>
      </x:c>
      <x:c r="B834" s="11" t="n">
        <x:v>45162.751388888886</x:v>
      </x:c>
      <x:c r="C834" s="13" t="n">
        <x:v>0.7513888888888889</x:v>
      </x:c>
      <x:c r="D834" t="str">
        <x:v>Birtamode</x:v>
      </x:c>
      <x:c r="E834" t="str">
        <x:v>The Underground Cafe &amp; Restaurant</x:v>
      </x:c>
      <x:c r="F834" t="str">
        <x:v>Bottled Water 1L</x:v>
      </x:c>
      <x:c r="G834" t="str">
        <x:v>Drink</x:v>
      </x:c>
      <x:c r="H834" t="n">
        <x:v>4</x:v>
      </x:c>
      <x:c r="I834" s="14" t="n">
        <x:v>35</x:v>
      </x:c>
      <x:c r="J834" s="14" t="n">
        <x:v>140</x:v>
      </x:c>
      <x:c r="K834" t="str">
        <x:v>DEMO / SIMULATED</x:v>
      </x:c>
    </x:row>
    <x:row r="835">
      <x:c r="A835" t="str">
        <x:v>JFD-20230824-0478</x:v>
      </x:c>
      <x:c r="B835" s="11" t="n">
        <x:v>45162.49652777778</x:v>
      </x:c>
      <x:c r="C835" s="13" t="n">
        <x:v>0.4965277777777778</x:v>
      </x:c>
      <x:c r="D835" t="str">
        <x:v>Birtamode</x:v>
      </x:c>
      <x:c r="E835" t="str">
        <x:v>The Underground Cafe &amp; Restaurant</x:v>
      </x:c>
      <x:c r="F835" t="str">
        <x:v>Veg Pakauda</x:v>
      </x:c>
      <x:c r="G835" t="str">
        <x:v>Food</x:v>
      </x:c>
      <x:c r="H835" t="n">
        <x:v>2</x:v>
      </x:c>
      <x:c r="I835" s="14" t="n">
        <x:v>145</x:v>
      </x:c>
      <x:c r="J835" s="14" t="n">
        <x:v>290</x:v>
      </x:c>
      <x:c r="K835" t="str">
        <x:v>DEMO / SIMULATED</x:v>
      </x:c>
    </x:row>
    <x:row r="836">
      <x:c r="A836" t="str">
        <x:v>JFD-20260701-0479</x:v>
      </x:c>
      <x:c r="B836" s="11" t="n">
        <x:v>46204.44027777778</x:v>
      </x:c>
      <x:c r="C836" s="13" t="n">
        <x:v>0.44027777777777777</x:v>
      </x:c>
      <x:c r="D836" t="str">
        <x:v>Birtamode</x:v>
      </x:c>
      <x:c r="E836" t="str">
        <x:v>Pizza Ghar</x:v>
      </x:c>
      <x:c r="F836" t="str">
        <x:v>Egg Fried Rice</x:v>
      </x:c>
      <x:c r="G836" t="str">
        <x:v>Food</x:v>
      </x:c>
      <x:c r="H836" t="n">
        <x:v>2</x:v>
      </x:c>
      <x:c r="I836" s="14" t="n">
        <x:v>270</x:v>
      </x:c>
      <x:c r="J836" s="14" t="n">
        <x:v>540</x:v>
      </x:c>
      <x:c r="K836" t="str">
        <x:v>DEMO / SIMULATED</x:v>
      </x:c>
    </x:row>
    <x:row r="837">
      <x:c r="A837" t="str">
        <x:v>JFD-20231018-0480</x:v>
      </x:c>
      <x:c r="B837" s="11" t="n">
        <x:v>45217.811111111114</x:v>
      </x:c>
      <x:c r="C837" s="13" t="n">
        <x:v>0.8111111111111111</x:v>
      </x:c>
      <x:c r="D837" t="str">
        <x:v>Birtamode</x:v>
      </x:c>
      <x:c r="E837" t="str">
        <x:v>Pizza Ghar</x:v>
      </x:c>
      <x:c r="F837" t="str">
        <x:v>Bottled Water 1L</x:v>
      </x:c>
      <x:c r="G837" t="str">
        <x:v>Drink</x:v>
      </x:c>
      <x:c r="H837" t="n">
        <x:v>1</x:v>
      </x:c>
      <x:c r="I837" s="14" t="n">
        <x:v>35</x:v>
      </x:c>
      <x:c r="J837" s="14" t="n">
        <x:v>35</x:v>
      </x:c>
      <x:c r="K837" t="str">
        <x:v>DEMO / SIMULATED</x:v>
      </x:c>
    </x:row>
    <x:row r="838">
      <x:c r="A838" t="str">
        <x:v>JFD-20231018-0480</x:v>
      </x:c>
      <x:c r="B838" s="11" t="n">
        <x:v>45217.68541666667</x:v>
      </x:c>
      <x:c r="C838" s="13" t="n">
        <x:v>0.6854166666666667</x:v>
      </x:c>
      <x:c r="D838" t="str">
        <x:v>Birtamode</x:v>
      </x:c>
      <x:c r="E838" t="str">
        <x:v>Pizza Ghar</x:v>
      </x:c>
      <x:c r="F838" t="str">
        <x:v>Chicken BBQ Feast Pizza</x:v>
      </x:c>
      <x:c r="G838" t="str">
        <x:v>Food</x:v>
      </x:c>
      <x:c r="H838" t="n">
        <x:v>2</x:v>
      </x:c>
      <x:c r="I838" s="14" t="n">
        <x:v>475</x:v>
      </x:c>
      <x:c r="J838" s="14" t="n">
        <x:v>950</x:v>
      </x:c>
      <x:c r="K838" t="str">
        <x:v>DEMO / SIMULATED</x:v>
      </x:c>
    </x:row>
    <x:row r="839">
      <x:c r="A839" t="str">
        <x:v>JFD-20231018-0480</x:v>
      </x:c>
      <x:c r="B839" s="11" t="n">
        <x:v>45217.72430555556</x:v>
      </x:c>
      <x:c r="C839" s="13" t="n">
        <x:v>0.7243055555555555</x:v>
      </x:c>
      <x:c r="D839" t="str">
        <x:v>Birtamode</x:v>
      </x:c>
      <x:c r="E839" t="str">
        <x:v>Pizza Ghar</x:v>
      </x:c>
      <x:c r="F839" t="str">
        <x:v>Egg Fried Rice</x:v>
      </x:c>
      <x:c r="G839" t="str">
        <x:v>Food</x:v>
      </x:c>
      <x:c r="H839" t="n">
        <x:v>3</x:v>
      </x:c>
      <x:c r="I839" s="14" t="n">
        <x:v>220</x:v>
      </x:c>
      <x:c r="J839" s="14" t="n">
        <x:v>660</x:v>
      </x:c>
      <x:c r="K839" t="str">
        <x:v>DEMO / SIMULATED</x:v>
      </x:c>
    </x:row>
    <x:row r="840">
      <x:c r="A840" t="str">
        <x:v>JFD-20231018-0481</x:v>
      </x:c>
      <x:c r="B840" s="11" t="n">
        <x:v>45217.825</x:v>
      </x:c>
      <x:c r="C840" s="13" t="n">
        <x:v>0.825</x:v>
      </x:c>
      <x:c r="D840" t="str">
        <x:v>Damak</x:v>
      </x:c>
      <x:c r="E840" t="str">
        <x:v>Milan’s Bakery</x:v>
      </x:c>
      <x:c r="F840" t="str">
        <x:v>Bottled Water 1L</x:v>
      </x:c>
      <x:c r="G840" t="str">
        <x:v>Drink</x:v>
      </x:c>
      <x:c r="H840" t="n">
        <x:v>4</x:v>
      </x:c>
      <x:c r="I840" s="14" t="n">
        <x:v>35</x:v>
      </x:c>
      <x:c r="J840" s="14" t="n">
        <x:v>140</x:v>
      </x:c>
      <x:c r="K840" t="str">
        <x:v>DEMO / SIMULATED</x:v>
      </x:c>
    </x:row>
    <x:row r="841">
      <x:c r="A841" t="str">
        <x:v>JFD-20251213-0482</x:v>
      </x:c>
      <x:c r="B841" s="11" t="n">
        <x:v>46004.85555555556</x:v>
      </x:c>
      <x:c r="C841" s="13" t="n">
        <x:v>0.8555555555555555</x:v>
      </x:c>
      <x:c r="D841" t="str">
        <x:v>Birtamode</x:v>
      </x:c>
      <x:c r="E841" t="str">
        <x:v>Pizza Ghar</x:v>
      </x:c>
      <x:c r="F841" t="str">
        <x:v>Egg Fried Rice</x:v>
      </x:c>
      <x:c r="G841" t="str">
        <x:v>Food</x:v>
      </x:c>
      <x:c r="H841" t="n">
        <x:v>1</x:v>
      </x:c>
      <x:c r="I841" s="14" t="n">
        <x:v>255</x:v>
      </x:c>
      <x:c r="J841" s="14" t="n">
        <x:v>255</x:v>
      </x:c>
      <x:c r="K841" t="str">
        <x:v>DEMO / SIMULATED</x:v>
      </x:c>
    </x:row>
    <x:row r="842">
      <x:c r="A842" t="str">
        <x:v>JFD-20230306-0483</x:v>
      </x:c>
      <x:c r="B842" s="11" t="n">
        <x:v>44991.6875</x:v>
      </x:c>
      <x:c r="C842" s="13" t="n">
        <x:v>0.6875</x:v>
      </x:c>
      <x:c r="D842" t="str">
        <x:v>Birtamode</x:v>
      </x:c>
      <x:c r="E842" t="str">
        <x:v>Pizza Ghar</x:v>
      </x:c>
      <x:c r="F842" t="str">
        <x:v>Bottled Water 1L</x:v>
      </x:c>
      <x:c r="G842" t="str">
        <x:v>Drink</x:v>
      </x:c>
      <x:c r="H842" t="n">
        <x:v>4</x:v>
      </x:c>
      <x:c r="I842" s="14" t="n">
        <x:v>35</x:v>
      </x:c>
      <x:c r="J842" s="14" t="n">
        <x:v>140</x:v>
      </x:c>
      <x:c r="K842" t="str">
        <x:v>DEMO / SIMULATED</x:v>
      </x:c>
    </x:row>
    <x:row r="843">
      <x:c r="A843" t="str">
        <x:v>JFD-20230306-0483</x:v>
      </x:c>
      <x:c r="B843" s="11" t="n">
        <x:v>44991.71041666667</x:v>
      </x:c>
      <x:c r="C843" s="13" t="n">
        <x:v>0.7104166666666667</x:v>
      </x:c>
      <x:c r="D843" t="str">
        <x:v>Birtamode</x:v>
      </x:c>
      <x:c r="E843" t="str">
        <x:v>Pizza Ghar</x:v>
      </x:c>
      <x:c r="F843" t="str">
        <x:v>Egg Fried Rice</x:v>
      </x:c>
      <x:c r="G843" t="str">
        <x:v>Food</x:v>
      </x:c>
      <x:c r="H843" t="n">
        <x:v>4</x:v>
      </x:c>
      <x:c r="I843" s="14" t="n">
        <x:v>220</x:v>
      </x:c>
      <x:c r="J843" s="14" t="n">
        <x:v>880</x:v>
      </x:c>
      <x:c r="K843" t="str">
        <x:v>DEMO / SIMULATED</x:v>
      </x:c>
    </x:row>
    <x:row r="844">
      <x:c r="A844" t="str">
        <x:v>JFD-20230306-0483</x:v>
      </x:c>
      <x:c r="B844" s="11" t="n">
        <x:v>44991.60555555556</x:v>
      </x:c>
      <x:c r="C844" s="13" t="n">
        <x:v>0.6055555555555555</x:v>
      </x:c>
      <x:c r="D844" t="str">
        <x:v>Birtamode</x:v>
      </x:c>
      <x:c r="E844" t="str">
        <x:v>Pizza Ghar</x:v>
      </x:c>
      <x:c r="F844" t="str">
        <x:v>Coca-Cola 500ml</x:v>
      </x:c>
      <x:c r="G844" t="str">
        <x:v>Drink</x:v>
      </x:c>
      <x:c r="H844" t="n">
        <x:v>3</x:v>
      </x:c>
      <x:c r="I844" s="14" t="n">
        <x:v>80</x:v>
      </x:c>
      <x:c r="J844" s="14" t="n">
        <x:v>240</x:v>
      </x:c>
      <x:c r="K844" t="str">
        <x:v>DEMO / SIMULATED</x:v>
      </x:c>
    </x:row>
    <x:row r="845">
      <x:c r="A845" t="str">
        <x:v>JFD-20240531-0484</x:v>
      </x:c>
      <x:c r="B845" s="11" t="n">
        <x:v>45443.49791666667</x:v>
      </x:c>
      <x:c r="C845" s="13" t="n">
        <x:v>0.4979166666666667</x:v>
      </x:c>
      <x:c r="D845" t="str">
        <x:v>Birtamode</x:v>
      </x:c>
      <x:c r="E845" t="str">
        <x:v>The Underground Cafe &amp; Restaurant</x:v>
      </x:c>
      <x:c r="F845" t="str">
        <x:v>Bottled Water 1L</x:v>
      </x:c>
      <x:c r="G845" t="str">
        <x:v>Drink</x:v>
      </x:c>
      <x:c r="H845" t="n">
        <x:v>2</x:v>
      </x:c>
      <x:c r="I845" s="14" t="n">
        <x:v>35</x:v>
      </x:c>
      <x:c r="J845" s="14" t="n">
        <x:v>70</x:v>
      </x:c>
      <x:c r="K845" t="str">
        <x:v>DEMO / SIMULATED</x:v>
      </x:c>
    </x:row>
    <x:row r="846">
      <x:c r="A846" t="str">
        <x:v>JFD-20250130-0485</x:v>
      </x:c>
      <x:c r="B846" s="11" t="n">
        <x:v>45687.75347222222</x:v>
      </x:c>
      <x:c r="C846" s="13" t="n">
        <x:v>0.7534722222222222</x:v>
      </x:c>
      <x:c r="D846" t="str">
        <x:v>Damak</x:v>
      </x:c>
      <x:c r="E846" t="str">
        <x:v>Milan’s Bakery</x:v>
      </x:c>
      <x:c r="F846" t="str">
        <x:v>Coca-Cola 500ml</x:v>
      </x:c>
      <x:c r="G846" t="str">
        <x:v>Drink</x:v>
      </x:c>
      <x:c r="H846" t="n">
        <x:v>4</x:v>
      </x:c>
      <x:c r="I846" s="14" t="n">
        <x:v>95</x:v>
      </x:c>
      <x:c r="J846" s="14" t="n">
        <x:v>380</x:v>
      </x:c>
      <x:c r="K846" t="str">
        <x:v>DEMO / SIMULATED</x:v>
      </x:c>
    </x:row>
    <x:row r="847">
      <x:c r="A847" t="str">
        <x:v>JFD-20250130-0485</x:v>
      </x:c>
      <x:c r="B847" s="11" t="n">
        <x:v>45687.82708333333</x:v>
      </x:c>
      <x:c r="C847" s="13" t="n">
        <x:v>0.8270833333333333</x:v>
      </x:c>
      <x:c r="D847" t="str">
        <x:v>Damak</x:v>
      </x:c>
      <x:c r="E847" t="str">
        <x:v>Milan’s Bakery</x:v>
      </x:c>
      <x:c r="F847" t="str">
        <x:v>Black Forest Cake</x:v>
      </x:c>
      <x:c r="G847" t="str">
        <x:v>Food</x:v>
      </x:c>
      <x:c r="H847" t="n">
        <x:v>3</x:v>
      </x:c>
      <x:c r="I847" s="14" t="n">
        <x:v>280</x:v>
      </x:c>
      <x:c r="J847" s="14" t="n">
        <x:v>840</x:v>
      </x:c>
      <x:c r="K847" t="str">
        <x:v>DEMO / SIMULATED</x:v>
      </x:c>
    </x:row>
    <x:row r="848">
      <x:c r="A848" t="str">
        <x:v>JFD-20231007-0486</x:v>
      </x:c>
      <x:c r="B848" s="11" t="n">
        <x:v>45206.830555555556</x:v>
      </x:c>
      <x:c r="C848" s="13" t="n">
        <x:v>0.8305555555555556</x:v>
      </x:c>
      <x:c r="D848" t="str">
        <x:v>Birtamode</x:v>
      </x:c>
      <x:c r="E848" t="str">
        <x:v>Pizza Ghar</x:v>
      </x:c>
      <x:c r="F848" t="str">
        <x:v>Egg Fried Rice</x:v>
      </x:c>
      <x:c r="G848" t="str">
        <x:v>Food</x:v>
      </x:c>
      <x:c r="H848" t="n">
        <x:v>1</x:v>
      </x:c>
      <x:c r="I848" s="14" t="n">
        <x:v>220</x:v>
      </x:c>
      <x:c r="J848" s="14" t="n">
        <x:v>220</x:v>
      </x:c>
      <x:c r="K848" t="str">
        <x:v>DEMO / SIMULATED</x:v>
      </x:c>
    </x:row>
    <x:row r="849">
      <x:c r="A849" t="str">
        <x:v>JFD-20250616-0487</x:v>
      </x:c>
      <x:c r="B849" s="11" t="n">
        <x:v>45824.42916666667</x:v>
      </x:c>
      <x:c r="C849" s="13" t="n">
        <x:v>0.42916666666666664</x:v>
      </x:c>
      <x:c r="D849" t="str">
        <x:v>Birtamode</x:v>
      </x:c>
      <x:c r="E849" t="str">
        <x:v>The Underground Cafe &amp; Restaurant</x:v>
      </x:c>
      <x:c r="F849" t="str">
        <x:v>Aalu Jeera</x:v>
      </x:c>
      <x:c r="G849" t="str">
        <x:v>Food</x:v>
      </x:c>
      <x:c r="H849" t="n">
        <x:v>4</x:v>
      </x:c>
      <x:c r="I849" s="14" t="n">
        <x:v>145</x:v>
      </x:c>
      <x:c r="J849" s="14" t="n">
        <x:v>580</x:v>
      </x:c>
      <x:c r="K849" t="str">
        <x:v>DEMO / SIMULATED</x:v>
      </x:c>
    </x:row>
    <x:row r="850">
      <x:c r="A850" t="str">
        <x:v>JFD-20231026-0488</x:v>
      </x:c>
      <x:c r="B850" s="11" t="n">
        <x:v>45225.709027777775</x:v>
      </x:c>
      <x:c r="C850" s="13" t="n">
        <x:v>0.7090277777777778</x:v>
      </x:c>
      <x:c r="D850" t="str">
        <x:v>Birtamode</x:v>
      </x:c>
      <x:c r="E850" t="str">
        <x:v>Pizza Ghar</x:v>
      </x:c>
      <x:c r="F850" t="str">
        <x:v>Coca-Cola 500ml</x:v>
      </x:c>
      <x:c r="G850" t="str">
        <x:v>Drink</x:v>
      </x:c>
      <x:c r="H850" t="n">
        <x:v>3</x:v>
      </x:c>
      <x:c r="I850" s="14" t="n">
        <x:v>80</x:v>
      </x:c>
      <x:c r="J850" s="14" t="n">
        <x:v>240</x:v>
      </x:c>
      <x:c r="K850" t="str">
        <x:v>DEMO / SIMULATED</x:v>
      </x:c>
    </x:row>
    <x:row r="851">
      <x:c r="A851" t="str">
        <x:v>JFD-20231026-0488</x:v>
      </x:c>
      <x:c r="B851" s="11" t="n">
        <x:v>45225.72777777778</x:v>
      </x:c>
      <x:c r="C851" s="13" t="n">
        <x:v>0.7277777777777777</x:v>
      </x:c>
      <x:c r="D851" t="str">
        <x:v>Birtamode</x:v>
      </x:c>
      <x:c r="E851" t="str">
        <x:v>Pizza Ghar</x:v>
      </x:c>
      <x:c r="F851" t="str">
        <x:v>Chicken BBQ Feast Pizza</x:v>
      </x:c>
      <x:c r="G851" t="str">
        <x:v>Food</x:v>
      </x:c>
      <x:c r="H851" t="n">
        <x:v>4</x:v>
      </x:c>
      <x:c r="I851" s="14" t="n">
        <x:v>475</x:v>
      </x:c>
      <x:c r="J851" s="14" t="n">
        <x:v>1900</x:v>
      </x:c>
      <x:c r="K851" t="str">
        <x:v>DEMO / SIMULATED</x:v>
      </x:c>
    </x:row>
    <x:row r="852">
      <x:c r="A852" t="str">
        <x:v>JFD-20231026-0488</x:v>
      </x:c>
      <x:c r="B852" s="11" t="n">
        <x:v>45225.87222222222</x:v>
      </x:c>
      <x:c r="C852" s="13" t="n">
        <x:v>0.8722222222222222</x:v>
      </x:c>
      <x:c r="D852" t="str">
        <x:v>Birtamode</x:v>
      </x:c>
      <x:c r="E852" t="str">
        <x:v>Pizza Ghar</x:v>
      </x:c>
      <x:c r="F852" t="str">
        <x:v>Chicken Fried Rice</x:v>
      </x:c>
      <x:c r="G852" t="str">
        <x:v>Food</x:v>
      </x:c>
      <x:c r="H852" t="n">
        <x:v>2</x:v>
      </x:c>
      <x:c r="I852" s="14" t="n">
        <x:v>245</x:v>
      </x:c>
      <x:c r="J852" s="14" t="n">
        <x:v>490</x:v>
      </x:c>
      <x:c r="K852" t="str">
        <x:v>DEMO / SIMULATED</x:v>
      </x:c>
    </x:row>
    <x:row r="853">
      <x:c r="A853" t="str">
        <x:v>JFD-20260824-0489</x:v>
      </x:c>
      <x:c r="B853" s="11" t="n">
        <x:v>46258.80694444444</x:v>
      </x:c>
      <x:c r="C853" s="13" t="n">
        <x:v>0.8069444444444445</x:v>
      </x:c>
      <x:c r="D853" t="str">
        <x:v>Birtamode</x:v>
      </x:c>
      <x:c r="E853" t="str">
        <x:v>The Underground Cafe &amp; Restaurant</x:v>
      </x:c>
      <x:c r="F853" t="str">
        <x:v>Coca-Cola 500ml</x:v>
      </x:c>
      <x:c r="G853" t="str">
        <x:v>Drink</x:v>
      </x:c>
      <x:c r="H853" t="n">
        <x:v>4</x:v>
      </x:c>
      <x:c r="I853" s="14" t="n">
        <x:v>100</x:v>
      </x:c>
      <x:c r="J853" s="14" t="n">
        <x:v>400</x:v>
      </x:c>
      <x:c r="K853" t="str">
        <x:v>DEMO / SIMULATED</x:v>
      </x:c>
    </x:row>
    <x:row r="854">
      <x:c r="A854" t="str">
        <x:v>JFD-20241014-0490</x:v>
      </x:c>
      <x:c r="B854" s="11" t="n">
        <x:v>45579.82847222222</x:v>
      </x:c>
      <x:c r="C854" s="13" t="n">
        <x:v>0.8284722222222223</x:v>
      </x:c>
      <x:c r="D854" t="str">
        <x:v>Birtamode</x:v>
      </x:c>
      <x:c r="E854" t="str">
        <x:v>The Underground Cafe &amp; Restaurant</x:v>
      </x:c>
      <x:c r="F854" t="str">
        <x:v>Aalu Jeera</x:v>
      </x:c>
      <x:c r="G854" t="str">
        <x:v>Food</x:v>
      </x:c>
      <x:c r="H854" t="n">
        <x:v>2</x:v>
      </x:c>
      <x:c r="I854" s="14" t="n">
        <x:v>135</x:v>
      </x:c>
      <x:c r="J854" s="14" t="n">
        <x:v>270</x:v>
      </x:c>
      <x:c r="K854" t="str">
        <x:v>DEMO / SIMULATED</x:v>
      </x:c>
    </x:row>
    <x:row r="855">
      <x:c r="A855" t="str">
        <x:v>JFD-20241014-0490</x:v>
      </x:c>
      <x:c r="B855" s="11" t="n">
        <x:v>45579.53958333333</x:v>
      </x:c>
      <x:c r="C855" s="13" t="n">
        <x:v>0.5395833333333333</x:v>
      </x:c>
      <x:c r="D855" t="str">
        <x:v>Birtamode</x:v>
      </x:c>
      <x:c r="E855" t="str">
        <x:v>The Underground Cafe &amp; Restaurant</x:v>
      </x:c>
      <x:c r="F855" t="str">
        <x:v>Veg Pakauda</x:v>
      </x:c>
      <x:c r="G855" t="str">
        <x:v>Food</x:v>
      </x:c>
      <x:c r="H855" t="n">
        <x:v>1</x:v>
      </x:c>
      <x:c r="I855" s="14" t="n">
        <x:v>155</x:v>
      </x:c>
      <x:c r="J855" s="14" t="n">
        <x:v>155</x:v>
      </x:c>
      <x:c r="K855" t="str">
        <x:v>DEMO / SIMULATED</x:v>
      </x:c>
    </x:row>
    <x:row r="856">
      <x:c r="A856" t="str">
        <x:v>JFD-20240917-0491</x:v>
      </x:c>
      <x:c r="B856" s="11" t="n">
        <x:v>45552.87777777778</x:v>
      </x:c>
      <x:c r="C856" s="13" t="n">
        <x:v>0.8777777777777778</x:v>
      </x:c>
      <x:c r="D856" t="str">
        <x:v>Birtamode</x:v>
      </x:c>
      <x:c r="E856" t="str">
        <x:v>Pizza Ghar</x:v>
      </x:c>
      <x:c r="F856" t="str">
        <x:v>Bottled Water 1L</x:v>
      </x:c>
      <x:c r="G856" t="str">
        <x:v>Drink</x:v>
      </x:c>
      <x:c r="H856" t="n">
        <x:v>4</x:v>
      </x:c>
      <x:c r="I856" s="14" t="n">
        <x:v>35</x:v>
      </x:c>
      <x:c r="J856" s="14" t="n">
        <x:v>140</x:v>
      </x:c>
      <x:c r="K856" t="str">
        <x:v>DEMO / SIMULATED</x:v>
      </x:c>
    </x:row>
    <x:row r="857">
      <x:c r="A857" t="str">
        <x:v>JFD-20240917-0491</x:v>
      </x:c>
      <x:c r="B857" s="11" t="n">
        <x:v>45552.720138888886</x:v>
      </x:c>
      <x:c r="C857" s="13" t="n">
        <x:v>0.7201388888888889</x:v>
      </x:c>
      <x:c r="D857" t="str">
        <x:v>Birtamode</x:v>
      </x:c>
      <x:c r="E857" t="str">
        <x:v>Pizza Ghar</x:v>
      </x:c>
      <x:c r="F857" t="str">
        <x:v>Coca-Cola 500ml</x:v>
      </x:c>
      <x:c r="G857" t="str">
        <x:v>Drink</x:v>
      </x:c>
      <x:c r="H857" t="n">
        <x:v>2</x:v>
      </x:c>
      <x:c r="I857" s="14" t="n">
        <x:v>90</x:v>
      </x:c>
      <x:c r="J857" s="14" t="n">
        <x:v>180</x:v>
      </x:c>
      <x:c r="K857" t="str">
        <x:v>DEMO / SIMULATED</x:v>
      </x:c>
    </x:row>
    <x:row r="858">
      <x:c r="A858" t="str">
        <x:v>JFD-20240917-0491</x:v>
      </x:c>
      <x:c r="B858" s="11" t="n">
        <x:v>45552.63958333333</x:v>
      </x:c>
      <x:c r="C858" s="13" t="n">
        <x:v>0.6395833333333333</x:v>
      </x:c>
      <x:c r="D858" t="str">
        <x:v>Birtamode</x:v>
      </x:c>
      <x:c r="E858" t="str">
        <x:v>Pizza Ghar</x:v>
      </x:c>
      <x:c r="F858" t="str">
        <x:v>Veg Fried Rice</x:v>
      </x:c>
      <x:c r="G858" t="str">
        <x:v>Food</x:v>
      </x:c>
      <x:c r="H858" t="n">
        <x:v>3</x:v>
      </x:c>
      <x:c r="I858" s="14" t="n">
        <x:v>195</x:v>
      </x:c>
      <x:c r="J858" s="14" t="n">
        <x:v>585</x:v>
      </x:c>
      <x:c r="K858" t="str">
        <x:v>DEMO / SIMULATED</x:v>
      </x:c>
    </x:row>
    <x:row r="859">
      <x:c r="A859" t="str">
        <x:v>JFD-20250320-0492</x:v>
      </x:c>
      <x:c r="B859" s="11" t="n">
        <x:v>45736.77569444444</x:v>
      </x:c>
      <x:c r="C859" s="13" t="n">
        <x:v>0.7756944444444445</x:v>
      </x:c>
      <x:c r="D859" t="str">
        <x:v>Damak</x:v>
      </x:c>
      <x:c r="E859" t="str">
        <x:v>Milan’s Bakery</x:v>
      </x:c>
      <x:c r="F859" t="str">
        <x:v>Vanilla Cake</x:v>
      </x:c>
      <x:c r="G859" t="str">
        <x:v>Food</x:v>
      </x:c>
      <x:c r="H859" t="n">
        <x:v>2</x:v>
      </x:c>
      <x:c r="I859" s="14" t="n">
        <x:v>280</x:v>
      </x:c>
      <x:c r="J859" s="14" t="n">
        <x:v>560</x:v>
      </x:c>
      <x:c r="K859" t="str">
        <x:v>DEMO / SIMULATED</x:v>
      </x:c>
    </x:row>
    <x:row r="860">
      <x:c r="A860" t="str">
        <x:v>JFD-20250320-0492</x:v>
      </x:c>
      <x:c r="B860" s="11" t="n">
        <x:v>45736.46111111111</x:v>
      </x:c>
      <x:c r="C860" s="13" t="n">
        <x:v>0.46111111111111114</x:v>
      </x:c>
      <x:c r="D860" t="str">
        <x:v>Damak</x:v>
      </x:c>
      <x:c r="E860" t="str">
        <x:v>Milan’s Bakery</x:v>
      </x:c>
      <x:c r="F860" t="str">
        <x:v>Coca-Cola 500ml</x:v>
      </x:c>
      <x:c r="G860" t="str">
        <x:v>Drink</x:v>
      </x:c>
      <x:c r="H860" t="n">
        <x:v>1</x:v>
      </x:c>
      <x:c r="I860" s="14" t="n">
        <x:v>95</x:v>
      </x:c>
      <x:c r="J860" s="14" t="n">
        <x:v>95</x:v>
      </x:c>
      <x:c r="K860" t="str">
        <x:v>DEMO / SIMULATED</x:v>
      </x:c>
    </x:row>
    <x:row r="861">
      <x:c r="A861" t="str">
        <x:v>JFD-20231217-0493</x:v>
      </x:c>
      <x:c r="B861" s="11" t="n">
        <x:v>45277.634722222225</x:v>
      </x:c>
      <x:c r="C861" s="13" t="n">
        <x:v>0.6347222222222222</x:v>
      </x:c>
      <x:c r="D861" t="str">
        <x:v>Damak</x:v>
      </x:c>
      <x:c r="E861" t="str">
        <x:v>Milan’s Bakery</x:v>
      </x:c>
      <x:c r="F861" t="str">
        <x:v>Vanilla Cake</x:v>
      </x:c>
      <x:c r="G861" t="str">
        <x:v>Food</x:v>
      </x:c>
      <x:c r="H861" t="n">
        <x:v>4</x:v>
      </x:c>
      <x:c r="I861" s="14" t="n">
        <x:v>245</x:v>
      </x:c>
      <x:c r="J861" s="14" t="n">
        <x:v>980</x:v>
      </x:c>
      <x:c r="K861" t="str">
        <x:v>DEMO / SIMULATED</x:v>
      </x:c>
    </x:row>
    <x:row r="862">
      <x:c r="A862" t="str">
        <x:v>JFD-20231217-0493</x:v>
      </x:c>
      <x:c r="B862" s="11" t="n">
        <x:v>45277.52847222222</x:v>
      </x:c>
      <x:c r="C862" s="13" t="n">
        <x:v>0.5284722222222222</x:v>
      </x:c>
      <x:c r="D862" t="str">
        <x:v>Damak</x:v>
      </x:c>
      <x:c r="E862" t="str">
        <x:v>Milan’s Bakery</x:v>
      </x:c>
      <x:c r="F862" t="str">
        <x:v>Coca-Cola 500ml</x:v>
      </x:c>
      <x:c r="G862" t="str">
        <x:v>Drink</x:v>
      </x:c>
      <x:c r="H862" t="n">
        <x:v>4</x:v>
      </x:c>
      <x:c r="I862" s="14" t="n">
        <x:v>80</x:v>
      </x:c>
      <x:c r="J862" s="14" t="n">
        <x:v>320</x:v>
      </x:c>
      <x:c r="K862" t="str">
        <x:v>DEMO / SIMULATED</x:v>
      </x:c>
    </x:row>
    <x:row r="863">
      <x:c r="A863" t="str">
        <x:v>JFD-20260607-0494</x:v>
      </x:c>
      <x:c r="B863" s="11" t="n">
        <x:v>46180.881944444445</x:v>
      </x:c>
      <x:c r="C863" s="13" t="n">
        <x:v>0.8819444444444444</x:v>
      </x:c>
      <x:c r="D863" t="str">
        <x:v>Birtamode</x:v>
      </x:c>
      <x:c r="E863" t="str">
        <x:v>The Underground Cafe &amp; Restaurant</x:v>
      </x:c>
      <x:c r="F863" t="str">
        <x:v>Coca-Cola 500ml</x:v>
      </x:c>
      <x:c r="G863" t="str">
        <x:v>Drink</x:v>
      </x:c>
      <x:c r="H863" t="n">
        <x:v>4</x:v>
      </x:c>
      <x:c r="I863" s="14" t="n">
        <x:v>100</x:v>
      </x:c>
      <x:c r="J863" s="14" t="n">
        <x:v>400</x:v>
      </x:c>
      <x:c r="K863" t="str">
        <x:v>DEMO / SIMULATED</x:v>
      </x:c>
    </x:row>
    <x:row r="864">
      <x:c r="A864" t="str">
        <x:v>JFD-20260607-0494</x:v>
      </x:c>
      <x:c r="B864" s="11" t="n">
        <x:v>46180.486805555556</x:v>
      </x:c>
      <x:c r="C864" s="13" t="n">
        <x:v>0.48680555555555555</x:v>
      </x:c>
      <x:c r="D864" t="str">
        <x:v>Birtamode</x:v>
      </x:c>
      <x:c r="E864" t="str">
        <x:v>The Underground Cafe &amp; Restaurant</x:v>
      </x:c>
      <x:c r="F864" t="str">
        <x:v>Bottled Water 1L</x:v>
      </x:c>
      <x:c r="G864" t="str">
        <x:v>Drink</x:v>
      </x:c>
      <x:c r="H864" t="n">
        <x:v>4</x:v>
      </x:c>
      <x:c r="I864" s="14" t="n">
        <x:v>40</x:v>
      </x:c>
      <x:c r="J864" s="14" t="n">
        <x:v>160</x:v>
      </x:c>
      <x:c r="K864" t="str">
        <x:v>DEMO / SIMULATED</x:v>
      </x:c>
    </x:row>
    <x:row r="865">
      <x:c r="A865" t="str">
        <x:v>JFD-20260622-0495</x:v>
      </x:c>
      <x:c r="B865" s="11" t="n">
        <x:v>46195.87291666667</x:v>
      </x:c>
      <x:c r="C865" s="13" t="n">
        <x:v>0.8729166666666667</x:v>
      </x:c>
      <x:c r="D865" t="str">
        <x:v>Damak</x:v>
      </x:c>
      <x:c r="E865" t="str">
        <x:v>Milan’s Bakery</x:v>
      </x:c>
      <x:c r="F865" t="str">
        <x:v>Coca-Cola 500ml</x:v>
      </x:c>
      <x:c r="G865" t="str">
        <x:v>Drink</x:v>
      </x:c>
      <x:c r="H865" t="n">
        <x:v>2</x:v>
      </x:c>
      <x:c r="I865" s="14" t="n">
        <x:v>100</x:v>
      </x:c>
      <x:c r="J865" s="14" t="n">
        <x:v>200</x:v>
      </x:c>
      <x:c r="K865" t="str">
        <x:v>DEMO / SIMULATED</x:v>
      </x:c>
    </x:row>
    <x:row r="866">
      <x:c r="A866" t="str">
        <x:v>JFD-20260928-0496</x:v>
      </x:c>
      <x:c r="B866" s="11" t="n">
        <x:v>46293.714583333334</x:v>
      </x:c>
      <x:c r="C866" s="13" t="n">
        <x:v>0.7145833333333333</x:v>
      </x:c>
      <x:c r="D866" t="str">
        <x:v>Birtamode</x:v>
      </x:c>
      <x:c r="E866" t="str">
        <x:v>Pizza Ghar</x:v>
      </x:c>
      <x:c r="F866" t="str">
        <x:v>Chicken Fried Rice</x:v>
      </x:c>
      <x:c r="G866" t="str">
        <x:v>Food</x:v>
      </x:c>
      <x:c r="H866" t="n">
        <x:v>1</x:v>
      </x:c>
      <x:c r="I866" s="14" t="n">
        <x:v>300</x:v>
      </x:c>
      <x:c r="J866" s="14" t="n">
        <x:v>300</x:v>
      </x:c>
      <x:c r="K866" t="str">
        <x:v>DEMO / SIMULATED</x:v>
      </x:c>
    </x:row>
    <x:row r="867">
      <x:c r="A867" t="str">
        <x:v>JFD-20250313-0497</x:v>
      </x:c>
      <x:c r="B867" s="11" t="n">
        <x:v>45729.69305555556</x:v>
      </x:c>
      <x:c r="C867" s="13" t="n">
        <x:v>0.6930555555555555</x:v>
      </x:c>
      <x:c r="D867" t="str">
        <x:v>Birtamode</x:v>
      </x:c>
      <x:c r="E867" t="str">
        <x:v>The Underground Cafe &amp; Restaurant</x:v>
      </x:c>
      <x:c r="F867" t="str">
        <x:v>Aalu Jeera</x:v>
      </x:c>
      <x:c r="G867" t="str">
        <x:v>Food</x:v>
      </x:c>
      <x:c r="H867" t="n">
        <x:v>2</x:v>
      </x:c>
      <x:c r="I867" s="14" t="n">
        <x:v>145</x:v>
      </x:c>
      <x:c r="J867" s="14" t="n">
        <x:v>290</x:v>
      </x:c>
      <x:c r="K867" t="str">
        <x:v>DEMO / SIMULATED</x:v>
      </x:c>
    </x:row>
    <x:row r="868">
      <x:c r="A868" t="str">
        <x:v>JFD-20250313-0497</x:v>
      </x:c>
      <x:c r="B868" s="11" t="n">
        <x:v>45729.68194444444</x:v>
      </x:c>
      <x:c r="C868" s="13" t="n">
        <x:v>0.6819444444444445</x:v>
      </x:c>
      <x:c r="D868" t="str">
        <x:v>Birtamode</x:v>
      </x:c>
      <x:c r="E868" t="str">
        <x:v>The Underground Cafe &amp; Restaurant</x:v>
      </x:c>
      <x:c r="F868" t="str">
        <x:v>Bottled Water 1L</x:v>
      </x:c>
      <x:c r="G868" t="str">
        <x:v>Drink</x:v>
      </x:c>
      <x:c r="H868" t="n">
        <x:v>1</x:v>
      </x:c>
      <x:c r="I868" s="14" t="n">
        <x:v>40</x:v>
      </x:c>
      <x:c r="J868" s="14" t="n">
        <x:v>40</x:v>
      </x:c>
      <x:c r="K868" t="str">
        <x:v>DEMO / SIMULATED</x:v>
      </x:c>
    </x:row>
    <x:row r="869">
      <x:c r="A869" t="str">
        <x:v>JFD-20251001-0498</x:v>
      </x:c>
      <x:c r="B869" s="11" t="n">
        <x:v>45931.91527777778</x:v>
      </x:c>
      <x:c r="C869" s="13" t="n">
        <x:v>0.9152777777777777</x:v>
      </x:c>
      <x:c r="D869" t="str">
        <x:v>Birtamode</x:v>
      </x:c>
      <x:c r="E869" t="str">
        <x:v>The Underground Cafe &amp; Restaurant</x:v>
      </x:c>
      <x:c r="F869" t="str">
        <x:v>Coca-Cola 500ml</x:v>
      </x:c>
      <x:c r="G869" t="str">
        <x:v>Drink</x:v>
      </x:c>
      <x:c r="H869" t="n">
        <x:v>2</x:v>
      </x:c>
      <x:c r="I869" s="14" t="n">
        <x:v>95</x:v>
      </x:c>
      <x:c r="J869" s="14" t="n">
        <x:v>190</x:v>
      </x:c>
      <x:c r="K869" t="str">
        <x:v>DEMO / SIMULATED</x:v>
      </x:c>
    </x:row>
    <x:row r="870">
      <x:c r="A870" t="str">
        <x:v>JFD-20241121-0499</x:v>
      </x:c>
      <x:c r="B870" s="11" t="n">
        <x:v>45617.74097222222</x:v>
      </x:c>
      <x:c r="C870" s="13" t="n">
        <x:v>0.7409722222222223</x:v>
      </x:c>
      <x:c r="D870" t="str">
        <x:v>Birtamode</x:v>
      </x:c>
      <x:c r="E870" t="str">
        <x:v>The Underground Cafe &amp; Restaurant</x:v>
      </x:c>
      <x:c r="F870" t="str">
        <x:v>Paneer Pakauda</x:v>
      </x:c>
      <x:c r="G870" t="str">
        <x:v>Food</x:v>
      </x:c>
      <x:c r="H870" t="n">
        <x:v>1</x:v>
      </x:c>
      <x:c r="I870" s="14" t="n">
        <x:v>200</x:v>
      </x:c>
      <x:c r="J870" s="14" t="n">
        <x:v>200</x:v>
      </x:c>
      <x:c r="K870" t="str">
        <x:v>DEMO / SIMULATED</x:v>
      </x:c>
    </x:row>
    <x:row r="871">
      <x:c r="A871" t="str">
        <x:v>JFD-20260716-0500</x:v>
      </x:c>
      <x:c r="B871" s="11" t="n">
        <x:v>46219.62430555555</x:v>
      </x:c>
      <x:c r="C871" s="13" t="n">
        <x:v>0.6243055555555556</x:v>
      </x:c>
      <x:c r="D871" t="str">
        <x:v>Damak</x:v>
      </x:c>
      <x:c r="E871" t="str">
        <x:v>Milan’s Bakery</x:v>
      </x:c>
      <x:c r="F871" t="str">
        <x:v>Vanilla Cake</x:v>
      </x:c>
      <x:c r="G871" t="str">
        <x:v>Food</x:v>
      </x:c>
      <x:c r="H871" t="n">
        <x:v>2</x:v>
      </x:c>
      <x:c r="I871" s="14" t="n">
        <x:v>300</x:v>
      </x:c>
      <x:c r="J871" s="14" t="n">
        <x:v>600</x:v>
      </x:c>
      <x:c r="K871" t="str">
        <x:v>DEMO / SIMULATED</x:v>
      </x:c>
    </x:row>
    <x:row r="872">
      <x:c r="A872" t="str">
        <x:v>JFD-20260716-0500</x:v>
      </x:c>
      <x:c r="B872" s="11" t="n">
        <x:v>46219.54652777778</x:v>
      </x:c>
      <x:c r="C872" s="13" t="n">
        <x:v>0.5465277777777777</x:v>
      </x:c>
      <x:c r="D872" t="str">
        <x:v>Damak</x:v>
      </x:c>
      <x:c r="E872" t="str">
        <x:v>Milan’s Bakery</x:v>
      </x:c>
      <x:c r="F872" t="str">
        <x:v>Coca-Cola 500ml</x:v>
      </x:c>
      <x:c r="G872" t="str">
        <x:v>Drink</x:v>
      </x:c>
      <x:c r="H872" t="n">
        <x:v>4</x:v>
      </x:c>
      <x:c r="I872" s="14" t="n">
        <x:v>100</x:v>
      </x:c>
      <x:c r="J872" s="14" t="n">
        <x:v>400</x:v>
      </x:c>
      <x:c r="K872" t="str">
        <x:v>DEMO / SIMULATED</x:v>
      </x:c>
    </x:row>
    <x:row r="873">
      <x:c r="A873" t="str">
        <x:v>JFD-20260716-0500</x:v>
      </x:c>
      <x:c r="B873" s="11" t="n">
        <x:v>46219.634722222225</x:v>
      </x:c>
      <x:c r="C873" s="13" t="n">
        <x:v>0.6347222222222222</x:v>
      </x:c>
      <x:c r="D873" t="str">
        <x:v>Damak</x:v>
      </x:c>
      <x:c r="E873" t="str">
        <x:v>Milan’s Bakery</x:v>
      </x:c>
      <x:c r="F873" t="str">
        <x:v>Black Forest Cake</x:v>
      </x:c>
      <x:c r="G873" t="str">
        <x:v>Food</x:v>
      </x:c>
      <x:c r="H873" t="n">
        <x:v>1</x:v>
      </x:c>
      <x:c r="I873" s="14" t="n">
        <x:v>300</x:v>
      </x:c>
      <x:c r="J873" s="14" t="n">
        <x:v>300</x:v>
      </x:c>
      <x:c r="K873" t="str">
        <x:v>DEMO / SIMULATED</x:v>
      </x:c>
    </x:row>
    <x:row r="874">
      <x:c r="A874" t="str">
        <x:v>JFD-20240813-0501</x:v>
      </x:c>
      <x:c r="B874" s="11" t="n">
        <x:v>45517.85625</x:v>
      </x:c>
      <x:c r="C874" s="13" t="n">
        <x:v>0.85625</x:v>
      </x:c>
      <x:c r="D874" t="str">
        <x:v>Birtamode</x:v>
      </x:c>
      <x:c r="E874" t="str">
        <x:v>Pizza Ghar</x:v>
      </x:c>
      <x:c r="F874" t="str">
        <x:v>Chicken Fried Rice</x:v>
      </x:c>
      <x:c r="G874" t="str">
        <x:v>Food</x:v>
      </x:c>
      <x:c r="H874" t="n">
        <x:v>3</x:v>
      </x:c>
      <x:c r="I874" s="14" t="n">
        <x:v>265</x:v>
      </x:c>
      <x:c r="J874" s="14" t="n">
        <x:v>795</x:v>
      </x:c>
      <x:c r="K874" t="str">
        <x:v>DEMO / SIMULATED</x:v>
      </x:c>
    </x:row>
    <x:row r="875">
      <x:c r="A875" t="str">
        <x:v>JFD-20240312-0502</x:v>
      </x:c>
      <x:c r="B875" s="11" t="n">
        <x:v>45363.427083333336</x:v>
      </x:c>
      <x:c r="C875" s="13" t="n">
        <x:v>0.4270833333333333</x:v>
      </x:c>
      <x:c r="D875" t="str">
        <x:v>Birtamode</x:v>
      </x:c>
      <x:c r="E875" t="str">
        <x:v>Pizza Ghar</x:v>
      </x:c>
      <x:c r="F875" t="str">
        <x:v>Egg Fried Rice</x:v>
      </x:c>
      <x:c r="G875" t="str">
        <x:v>Food</x:v>
      </x:c>
      <x:c r="H875" t="n">
        <x:v>4</x:v>
      </x:c>
      <x:c r="I875" s="14" t="n">
        <x:v>240</x:v>
      </x:c>
      <x:c r="J875" s="14" t="n">
        <x:v>960</x:v>
      </x:c>
      <x:c r="K875" t="str">
        <x:v>DEMO / SIMULATED</x:v>
      </x:c>
    </x:row>
    <x:row r="876">
      <x:c r="A876" t="str">
        <x:v>JFD-20230330-0503</x:v>
      </x:c>
      <x:c r="B876" s="11" t="n">
        <x:v>45015.4875</x:v>
      </x:c>
      <x:c r="C876" s="13" t="n">
        <x:v>0.4875</x:v>
      </x:c>
      <x:c r="D876" t="str">
        <x:v>Birtamode</x:v>
      </x:c>
      <x:c r="E876" t="str">
        <x:v>Pizza Ghar</x:v>
      </x:c>
      <x:c r="F876" t="str">
        <x:v>Egg Fried Rice</x:v>
      </x:c>
      <x:c r="G876" t="str">
        <x:v>Food</x:v>
      </x:c>
      <x:c r="H876" t="n">
        <x:v>1</x:v>
      </x:c>
      <x:c r="I876" s="14" t="n">
        <x:v>220</x:v>
      </x:c>
      <x:c r="J876" s="14" t="n">
        <x:v>220</x:v>
      </x:c>
      <x:c r="K876" t="str">
        <x:v>DEMO / SIMULATED</x:v>
      </x:c>
    </x:row>
    <x:row r="877">
      <x:c r="A877" t="str">
        <x:v>JFD-20230330-0503</x:v>
      </x:c>
      <x:c r="B877" s="11" t="n">
        <x:v>45015.89722222222</x:v>
      </x:c>
      <x:c r="C877" s="13" t="n">
        <x:v>0.8972222222222223</x:v>
      </x:c>
      <x:c r="D877" t="str">
        <x:v>Birtamode</x:v>
      </x:c>
      <x:c r="E877" t="str">
        <x:v>Pizza Ghar</x:v>
      </x:c>
      <x:c r="F877" t="str">
        <x:v>Bottled Water 1L</x:v>
      </x:c>
      <x:c r="G877" t="str">
        <x:v>Drink</x:v>
      </x:c>
      <x:c r="H877" t="n">
        <x:v>1</x:v>
      </x:c>
      <x:c r="I877" s="14" t="n">
        <x:v>35</x:v>
      </x:c>
      <x:c r="J877" s="14" t="n">
        <x:v>35</x:v>
      </x:c>
      <x:c r="K877" t="str">
        <x:v>DEMO / SIMULATED</x:v>
      </x:c>
    </x:row>
    <x:row r="878">
      <x:c r="A878" t="str">
        <x:v>JFD-20230330-0503</x:v>
      </x:c>
      <x:c r="B878" s="11" t="n">
        <x:v>45015.50486111111</x:v>
      </x:c>
      <x:c r="C878" s="13" t="n">
        <x:v>0.5048611111111111</x:v>
      </x:c>
      <x:c r="D878" t="str">
        <x:v>Birtamode</x:v>
      </x:c>
      <x:c r="E878" t="str">
        <x:v>Pizza Ghar</x:v>
      </x:c>
      <x:c r="F878" t="str">
        <x:v>Chicken Fried Rice</x:v>
      </x:c>
      <x:c r="G878" t="str">
        <x:v>Food</x:v>
      </x:c>
      <x:c r="H878" t="n">
        <x:v>3</x:v>
      </x:c>
      <x:c r="I878" s="14" t="n">
        <x:v>245</x:v>
      </x:c>
      <x:c r="J878" s="14" t="n">
        <x:v>735</x:v>
      </x:c>
      <x:c r="K878" t="str">
        <x:v>DEMO / SIMULATED</x:v>
      </x:c>
    </x:row>
    <x:row r="879">
      <x:c r="A879" t="str">
        <x:v>JFD-20260510-0504</x:v>
      </x:c>
      <x:c r="B879" s="11" t="n">
        <x:v>46152.44861111111</x:v>
      </x:c>
      <x:c r="C879" s="13" t="n">
        <x:v>0.4486111111111111</x:v>
      </x:c>
      <x:c r="D879" t="str">
        <x:v>Birtamode</x:v>
      </x:c>
      <x:c r="E879" t="str">
        <x:v>The Underground Cafe &amp; Restaurant</x:v>
      </x:c>
      <x:c r="F879" t="str">
        <x:v>Bottled Water 1L</x:v>
      </x:c>
      <x:c r="G879" t="str">
        <x:v>Drink</x:v>
      </x:c>
      <x:c r="H879" t="n">
        <x:v>2</x:v>
      </x:c>
      <x:c r="I879" s="14" t="n">
        <x:v>40</x:v>
      </x:c>
      <x:c r="J879" s="14" t="n">
        <x:v>80</x:v>
      </x:c>
      <x:c r="K879" t="str">
        <x:v>DEMO / SIMULATED</x:v>
      </x:c>
    </x:row>
    <x:row r="880">
      <x:c r="A880" t="str">
        <x:v>JFD-20250405-0505</x:v>
      </x:c>
      <x:c r="B880" s="11" t="n">
        <x:v>45752.58819444444</x:v>
      </x:c>
      <x:c r="C880" s="13" t="n">
        <x:v>0.5881944444444445</x:v>
      </x:c>
      <x:c r="D880" t="str">
        <x:v>Damak</x:v>
      </x:c>
      <x:c r="E880" t="str">
        <x:v>Late Night Cravings</x:v>
      </x:c>
      <x:c r="F880" t="str">
        <x:v>Mix Fry Rice</x:v>
      </x:c>
      <x:c r="G880" t="str">
        <x:v>Food</x:v>
      </x:c>
      <x:c r="H880" t="n">
        <x:v>3</x:v>
      </x:c>
      <x:c r="I880" s="14" t="n">
        <x:v>265</x:v>
      </x:c>
      <x:c r="J880" s="14" t="n">
        <x:v>795</x:v>
      </x:c>
      <x:c r="K880" t="str">
        <x:v>DEMO / SIMULATED</x:v>
      </x:c>
    </x:row>
    <x:row r="881">
      <x:c r="A881" t="str">
        <x:v>JFD-20250405-0505</x:v>
      </x:c>
      <x:c r="B881" s="11" t="n">
        <x:v>45752.65972222222</x:v>
      </x:c>
      <x:c r="C881" s="13" t="n">
        <x:v>0.6597222222222222</x:v>
      </x:c>
      <x:c r="D881" t="str">
        <x:v>Damak</x:v>
      </x:c>
      <x:c r="E881" t="str">
        <x:v>Late Night Cravings</x:v>
      </x:c>
      <x:c r="F881" t="str">
        <x:v>Coca-Cola 500ml</x:v>
      </x:c>
      <x:c r="G881" t="str">
        <x:v>Drink</x:v>
      </x:c>
      <x:c r="H881" t="n">
        <x:v>3</x:v>
      </x:c>
      <x:c r="I881" s="14" t="n">
        <x:v>95</x:v>
      </x:c>
      <x:c r="J881" s="14" t="n">
        <x:v>285</x:v>
      </x:c>
      <x:c r="K881" t="str">
        <x:v>DEMO / SIMULATED</x:v>
      </x:c>
    </x:row>
    <x:row r="882">
      <x:c r="A882" t="str">
        <x:v>JFD-20231220-0506</x:v>
      </x:c>
      <x:c r="B882" s="11" t="n">
        <x:v>45280.802777777775</x:v>
      </x:c>
      <x:c r="C882" s="13" t="n">
        <x:v>0.8027777777777778</x:v>
      </x:c>
      <x:c r="D882" t="str">
        <x:v>Damak</x:v>
      </x:c>
      <x:c r="E882" t="str">
        <x:v>Milan’s Bakery</x:v>
      </x:c>
      <x:c r="F882" t="str">
        <x:v>Bottled Water 1L</x:v>
      </x:c>
      <x:c r="G882" t="str">
        <x:v>Drink</x:v>
      </x:c>
      <x:c r="H882" t="n">
        <x:v>4</x:v>
      </x:c>
      <x:c r="I882" s="14" t="n">
        <x:v>35</x:v>
      </x:c>
      <x:c r="J882" s="14" t="n">
        <x:v>140</x:v>
      </x:c>
      <x:c r="K882" t="str">
        <x:v>DEMO / SIMULATED</x:v>
      </x:c>
    </x:row>
    <x:row r="883">
      <x:c r="A883" t="str">
        <x:v>JFD-20231220-0506</x:v>
      </x:c>
      <x:c r="B883" s="11" t="n">
        <x:v>45280.47152777778</x:v>
      </x:c>
      <x:c r="C883" s="13" t="n">
        <x:v>0.47152777777777777</x:v>
      </x:c>
      <x:c r="D883" t="str">
        <x:v>Damak</x:v>
      </x:c>
      <x:c r="E883" t="str">
        <x:v>Milan’s Bakery</x:v>
      </x:c>
      <x:c r="F883" t="str">
        <x:v>Coca-Cola 500ml</x:v>
      </x:c>
      <x:c r="G883" t="str">
        <x:v>Drink</x:v>
      </x:c>
      <x:c r="H883" t="n">
        <x:v>2</x:v>
      </x:c>
      <x:c r="I883" s="14" t="n">
        <x:v>80</x:v>
      </x:c>
      <x:c r="J883" s="14" t="n">
        <x:v>160</x:v>
      </x:c>
      <x:c r="K883" t="str">
        <x:v>DEMO / SIMULATED</x:v>
      </x:c>
    </x:row>
    <x:row r="884">
      <x:c r="A884" t="str">
        <x:v>JFD-20231220-0506</x:v>
      </x:c>
      <x:c r="B884" s="11" t="n">
        <x:v>45280.45277777778</x:v>
      </x:c>
      <x:c r="C884" s="13" t="n">
        <x:v>0.4527777777777778</x:v>
      </x:c>
      <x:c r="D884" t="str">
        <x:v>Damak</x:v>
      </x:c>
      <x:c r="E884" t="str">
        <x:v>Milan’s Bakery</x:v>
      </x:c>
      <x:c r="F884" t="str">
        <x:v>Black Forest Cake</x:v>
      </x:c>
      <x:c r="G884" t="str">
        <x:v>Food</x:v>
      </x:c>
      <x:c r="H884" t="n">
        <x:v>2</x:v>
      </x:c>
      <x:c r="I884" s="14" t="n">
        <x:v>245</x:v>
      </x:c>
      <x:c r="J884" s="14" t="n">
        <x:v>490</x:v>
      </x:c>
      <x:c r="K884" t="str">
        <x:v>DEMO / SIMULATED</x:v>
      </x:c>
    </x:row>
    <x:row r="885">
      <x:c r="A885" t="str">
        <x:v>JFD-20251125-0507</x:v>
      </x:c>
      <x:c r="B885" s="11" t="n">
        <x:v>45986.41805555556</x:v>
      </x:c>
      <x:c r="C885" s="13" t="n">
        <x:v>0.41805555555555557</x:v>
      </x:c>
      <x:c r="D885" t="str">
        <x:v>Damak</x:v>
      </x:c>
      <x:c r="E885" t="str">
        <x:v>Milan’s Bakery</x:v>
      </x:c>
      <x:c r="F885" t="str">
        <x:v>Bottled Water 1L</x:v>
      </x:c>
      <x:c r="G885" t="str">
        <x:v>Drink</x:v>
      </x:c>
      <x:c r="H885" t="n">
        <x:v>3</x:v>
      </x:c>
      <x:c r="I885" s="14" t="n">
        <x:v>40</x:v>
      </x:c>
      <x:c r="J885" s="14" t="n">
        <x:v>120</x:v>
      </x:c>
      <x:c r="K885" t="str">
        <x:v>DEMO / SIMULATED</x:v>
      </x:c>
    </x:row>
    <x:row r="886">
      <x:c r="A886" t="str">
        <x:v>JFD-20231206-0508</x:v>
      </x:c>
      <x:c r="B886" s="11" t="n">
        <x:v>45266.4625</x:v>
      </x:c>
      <x:c r="C886" s="13" t="n">
        <x:v>0.4625</x:v>
      </x:c>
      <x:c r="D886" t="str">
        <x:v>Birtamode</x:v>
      </x:c>
      <x:c r="E886" t="str">
        <x:v>The Underground Cafe &amp; Restaurant</x:v>
      </x:c>
      <x:c r="F886" t="str">
        <x:v>Paneer Pakauda</x:v>
      </x:c>
      <x:c r="G886" t="str">
        <x:v>Food</x:v>
      </x:c>
      <x:c r="H886" t="n">
        <x:v>4</x:v>
      </x:c>
      <x:c r="I886" s="14" t="n">
        <x:v>185</x:v>
      </x:c>
      <x:c r="J886" s="14" t="n">
        <x:v>740</x:v>
      </x:c>
      <x:c r="K886" t="str">
        <x:v>DEMO / SIMULATED</x:v>
      </x:c>
    </x:row>
    <x:row r="887">
      <x:c r="A887" t="str">
        <x:v>JFD-20231206-0508</x:v>
      </x:c>
      <x:c r="B887" s="11" t="n">
        <x:v>45266.86875</x:v>
      </x:c>
      <x:c r="C887" s="13" t="n">
        <x:v>0.86875</x:v>
      </x:c>
      <x:c r="D887" t="str">
        <x:v>Birtamode</x:v>
      </x:c>
      <x:c r="E887" t="str">
        <x:v>The Underground Cafe &amp; Restaurant</x:v>
      </x:c>
      <x:c r="F887" t="str">
        <x:v>Coca-Cola 500ml</x:v>
      </x:c>
      <x:c r="G887" t="str">
        <x:v>Drink</x:v>
      </x:c>
      <x:c r="H887" t="n">
        <x:v>4</x:v>
      </x:c>
      <x:c r="I887" s="14" t="n">
        <x:v>80</x:v>
      </x:c>
      <x:c r="J887" s="14" t="n">
        <x:v>320</x:v>
      </x:c>
      <x:c r="K887" t="str">
        <x:v>DEMO / SIMULATED</x:v>
      </x:c>
    </x:row>
    <x:row r="888">
      <x:c r="A888" t="str">
        <x:v>JFD-20230814-0509</x:v>
      </x:c>
      <x:c r="B888" s="11" t="n">
        <x:v>45152.424305555556</x:v>
      </x:c>
      <x:c r="C888" s="13" t="n">
        <x:v>0.42430555555555555</x:v>
      </x:c>
      <x:c r="D888" t="str">
        <x:v>Birtamode</x:v>
      </x:c>
      <x:c r="E888" t="str">
        <x:v>The Underground Cafe &amp; Restaurant</x:v>
      </x:c>
      <x:c r="F888" t="str">
        <x:v>Paneer Pakauda</x:v>
      </x:c>
      <x:c r="G888" t="str">
        <x:v>Food</x:v>
      </x:c>
      <x:c r="H888" t="n">
        <x:v>1</x:v>
      </x:c>
      <x:c r="I888" s="14" t="n">
        <x:v>185</x:v>
      </x:c>
      <x:c r="J888" s="14" t="n">
        <x:v>185</x:v>
      </x:c>
      <x:c r="K888" t="str">
        <x:v>DEMO / SIMULATED</x:v>
      </x:c>
    </x:row>
    <x:row r="889">
      <x:c r="A889" t="str">
        <x:v>JFD-20230814-0509</x:v>
      </x:c>
      <x:c r="B889" s="11" t="n">
        <x:v>45152.614583333336</x:v>
      </x:c>
      <x:c r="C889" s="13" t="n">
        <x:v>0.6145833333333334</x:v>
      </x:c>
      <x:c r="D889" t="str">
        <x:v>Birtamode</x:v>
      </x:c>
      <x:c r="E889" t="str">
        <x:v>The Underground Cafe &amp; Restaurant</x:v>
      </x:c>
      <x:c r="F889" t="str">
        <x:v>Bottled Water 1L</x:v>
      </x:c>
      <x:c r="G889" t="str">
        <x:v>Drink</x:v>
      </x:c>
      <x:c r="H889" t="n">
        <x:v>2</x:v>
      </x:c>
      <x:c r="I889" s="14" t="n">
        <x:v>35</x:v>
      </x:c>
      <x:c r="J889" s="14" t="n">
        <x:v>70</x:v>
      </x:c>
      <x:c r="K889" t="str">
        <x:v>DEMO / SIMULATED</x:v>
      </x:c>
    </x:row>
    <x:row r="890">
      <x:c r="A890" t="str">
        <x:v>JFD-20230814-0509</x:v>
      </x:c>
      <x:c r="B890" s="11" t="n">
        <x:v>45152.86319444444</x:v>
      </x:c>
      <x:c r="C890" s="13" t="n">
        <x:v>0.8631944444444445</x:v>
      </x:c>
      <x:c r="D890" t="str">
        <x:v>Birtamode</x:v>
      </x:c>
      <x:c r="E890" t="str">
        <x:v>The Underground Cafe &amp; Restaurant</x:v>
      </x:c>
      <x:c r="F890" t="str">
        <x:v>Veg Pakauda</x:v>
      </x:c>
      <x:c r="G890" t="str">
        <x:v>Food</x:v>
      </x:c>
      <x:c r="H890" t="n">
        <x:v>2</x:v>
      </x:c>
      <x:c r="I890" s="14" t="n">
        <x:v>145</x:v>
      </x:c>
      <x:c r="J890" s="14" t="n">
        <x:v>290</x:v>
      </x:c>
      <x:c r="K890" t="str">
        <x:v>DEMO / SIMULATED</x:v>
      </x:c>
    </x:row>
    <x:row r="891">
      <x:c r="A891" t="str">
        <x:v>JFD-20251015-0510</x:v>
      </x:c>
      <x:c r="B891" s="11" t="n">
        <x:v>45945.68680555555</x:v>
      </x:c>
      <x:c r="C891" s="13" t="n">
        <x:v>0.6868055555555556</x:v>
      </x:c>
      <x:c r="D891" t="str">
        <x:v>Damak</x:v>
      </x:c>
      <x:c r="E891" t="str">
        <x:v>Milan’s Bakery</x:v>
      </x:c>
      <x:c r="F891" t="str">
        <x:v>Chocolate Cake</x:v>
      </x:c>
      <x:c r="G891" t="str">
        <x:v>Food</x:v>
      </x:c>
      <x:c r="H891" t="n">
        <x:v>2</x:v>
      </x:c>
      <x:c r="I891" s="14" t="n">
        <x:v>330</x:v>
      </x:c>
      <x:c r="J891" s="14" t="n">
        <x:v>660</x:v>
      </x:c>
      <x:c r="K891" t="str">
        <x:v>DEMO / SIMULATED</x:v>
      </x:c>
    </x:row>
    <x:row r="892">
      <x:c r="A892" t="str">
        <x:v>JFD-20251002-0511</x:v>
      </x:c>
      <x:c r="B892" s="11" t="n">
        <x:v>45932.85138888889</x:v>
      </x:c>
      <x:c r="C892" s="13" t="n">
        <x:v>0.8513888888888889</x:v>
      </x:c>
      <x:c r="D892" t="str">
        <x:v>Damak</x:v>
      </x:c>
      <x:c r="E892" t="str">
        <x:v>Milan’s Bakery</x:v>
      </x:c>
      <x:c r="F892" t="str">
        <x:v>Coca-Cola 500ml</x:v>
      </x:c>
      <x:c r="G892" t="str">
        <x:v>Drink</x:v>
      </x:c>
      <x:c r="H892" t="n">
        <x:v>1</x:v>
      </x:c>
      <x:c r="I892" s="14" t="n">
        <x:v>95</x:v>
      </x:c>
      <x:c r="J892" s="14" t="n">
        <x:v>95</x:v>
      </x:c>
      <x:c r="K892" t="str">
        <x:v>DEMO / SIMULATED</x:v>
      </x:c>
    </x:row>
    <x:row r="893">
      <x:c r="A893" t="str">
        <x:v>JFD-20260115-0512</x:v>
      </x:c>
      <x:c r="B893" s="11" t="n">
        <x:v>46037.67847222222</x:v>
      </x:c>
      <x:c r="C893" s="13" t="n">
        <x:v>0.6784722222222223</x:v>
      </x:c>
      <x:c r="D893" t="str">
        <x:v>Birtamode</x:v>
      </x:c>
      <x:c r="E893" t="str">
        <x:v>Pizza Ghar</x:v>
      </x:c>
      <x:c r="F893" t="str">
        <x:v>Coca-Cola 500ml</x:v>
      </x:c>
      <x:c r="G893" t="str">
        <x:v>Drink</x:v>
      </x:c>
      <x:c r="H893" t="n">
        <x:v>3</x:v>
      </x:c>
      <x:c r="I893" s="14" t="n">
        <x:v>100</x:v>
      </x:c>
      <x:c r="J893" s="14" t="n">
        <x:v>300</x:v>
      </x:c>
      <x:c r="K893" t="str">
        <x:v>DEMO / SIMULATED</x:v>
      </x:c>
    </x:row>
    <x:row r="894">
      <x:c r="A894" t="str">
        <x:v>JFD-20260115-0512</x:v>
      </x:c>
      <x:c r="B894" s="11" t="n">
        <x:v>46037.520833333336</x:v>
      </x:c>
      <x:c r="C894" s="13" t="n">
        <x:v>0.5208333333333334</x:v>
      </x:c>
      <x:c r="D894" t="str">
        <x:v>Birtamode</x:v>
      </x:c>
      <x:c r="E894" t="str">
        <x:v>Pizza Ghar</x:v>
      </x:c>
      <x:c r="F894" t="str">
        <x:v>Egg Fried Rice</x:v>
      </x:c>
      <x:c r="G894" t="str">
        <x:v>Food</x:v>
      </x:c>
      <x:c r="H894" t="n">
        <x:v>1</x:v>
      </x:c>
      <x:c r="I894" s="14" t="n">
        <x:v>270</x:v>
      </x:c>
      <x:c r="J894" s="14" t="n">
        <x:v>270</x:v>
      </x:c>
      <x:c r="K894" t="str">
        <x:v>DEMO / SIMULATED</x:v>
      </x:c>
    </x:row>
    <x:row r="895">
      <x:c r="A895" t="str">
        <x:v>JFD-20260115-0512</x:v>
      </x:c>
      <x:c r="B895" s="11" t="n">
        <x:v>46037.7125</x:v>
      </x:c>
      <x:c r="C895" s="13" t="n">
        <x:v>0.7125</x:v>
      </x:c>
      <x:c r="D895" t="str">
        <x:v>Birtamode</x:v>
      </x:c>
      <x:c r="E895" t="str">
        <x:v>Pizza Ghar</x:v>
      </x:c>
      <x:c r="F895" t="str">
        <x:v>Chicken BBQ Feast Pizza</x:v>
      </x:c>
      <x:c r="G895" t="str">
        <x:v>Food</x:v>
      </x:c>
      <x:c r="H895" t="n">
        <x:v>3</x:v>
      </x:c>
      <x:c r="I895" s="14" t="n">
        <x:v>580</x:v>
      </x:c>
      <x:c r="J895" s="14" t="n">
        <x:v>1740</x:v>
      </x:c>
      <x:c r="K895" t="str">
        <x:v>DEMO / SIMULATED</x:v>
      </x:c>
    </x:row>
    <x:row r="896">
      <x:c r="A896" t="str">
        <x:v>JFD-20250318-0513</x:v>
      </x:c>
      <x:c r="B896" s="11" t="n">
        <x:v>45734.61875</x:v>
      </x:c>
      <x:c r="C896" s="13" t="n">
        <x:v>0.61875</x:v>
      </x:c>
      <x:c r="D896" t="str">
        <x:v>Damak</x:v>
      </x:c>
      <x:c r="E896" t="str">
        <x:v>Milan’s Bakery</x:v>
      </x:c>
      <x:c r="F896" t="str">
        <x:v>Red Velvet Cake</x:v>
      </x:c>
      <x:c r="G896" t="str">
        <x:v>Food</x:v>
      </x:c>
      <x:c r="H896" t="n">
        <x:v>1</x:v>
      </x:c>
      <x:c r="I896" s="14" t="n">
        <x:v>845</x:v>
      </x:c>
      <x:c r="J896" s="14" t="n">
        <x:v>845</x:v>
      </x:c>
      <x:c r="K896" t="str">
        <x:v>DEMO / SIMULATED</x:v>
      </x:c>
    </x:row>
    <x:row r="897">
      <x:c r="A897" t="str">
        <x:v>JFD-20250318-0513</x:v>
      </x:c>
      <x:c r="B897" s="11" t="n">
        <x:v>45734.75</x:v>
      </x:c>
      <x:c r="C897" s="13" t="n">
        <x:v>0.75</x:v>
      </x:c>
      <x:c r="D897" t="str">
        <x:v>Damak</x:v>
      </x:c>
      <x:c r="E897" t="str">
        <x:v>Milan’s Bakery</x:v>
      </x:c>
      <x:c r="F897" t="str">
        <x:v>Coca-Cola 500ml</x:v>
      </x:c>
      <x:c r="G897" t="str">
        <x:v>Drink</x:v>
      </x:c>
      <x:c r="H897" t="n">
        <x:v>4</x:v>
      </x:c>
      <x:c r="I897" s="14" t="n">
        <x:v>95</x:v>
      </x:c>
      <x:c r="J897" s="14" t="n">
        <x:v>380</x:v>
      </x:c>
      <x:c r="K897" t="str">
        <x:v>DEMO / SIMULATED</x:v>
      </x:c>
    </x:row>
    <x:row r="898">
      <x:c r="A898" t="str">
        <x:v>JFD-20240508-0514</x:v>
      </x:c>
      <x:c r="B898" s="11" t="n">
        <x:v>45420.71319444444</x:v>
      </x:c>
      <x:c r="C898" s="13" t="n">
        <x:v>0.7131944444444445</x:v>
      </x:c>
      <x:c r="D898" t="str">
        <x:v>Damak</x:v>
      </x:c>
      <x:c r="E898" t="str">
        <x:v>Milan’s Bakery</x:v>
      </x:c>
      <x:c r="F898" t="str">
        <x:v>Vanilla Cake</x:v>
      </x:c>
      <x:c r="G898" t="str">
        <x:v>Food</x:v>
      </x:c>
      <x:c r="H898" t="n">
        <x:v>1</x:v>
      </x:c>
      <x:c r="I898" s="14" t="n">
        <x:v>265</x:v>
      </x:c>
      <x:c r="J898" s="14" t="n">
        <x:v>265</x:v>
      </x:c>
      <x:c r="K898" t="str">
        <x:v>DEMO / SIMULATED</x:v>
      </x:c>
    </x:row>
    <x:row r="899">
      <x:c r="A899" t="str">
        <x:v>JFD-20240508-0514</x:v>
      </x:c>
      <x:c r="B899" s="11" t="n">
        <x:v>45420.8375</x:v>
      </x:c>
      <x:c r="C899" s="13" t="n">
        <x:v>0.8375</x:v>
      </x:c>
      <x:c r="D899" t="str">
        <x:v>Damak</x:v>
      </x:c>
      <x:c r="E899" t="str">
        <x:v>Milan’s Bakery</x:v>
      </x:c>
      <x:c r="F899" t="str">
        <x:v>Bottled Water 1L</x:v>
      </x:c>
      <x:c r="G899" t="str">
        <x:v>Drink</x:v>
      </x:c>
      <x:c r="H899" t="n">
        <x:v>3</x:v>
      </x:c>
      <x:c r="I899" s="14" t="n">
        <x:v>35</x:v>
      </x:c>
      <x:c r="J899" s="14" t="n">
        <x:v>105</x:v>
      </x:c>
      <x:c r="K899" t="str">
        <x:v>DEMO / SIMULATED</x:v>
      </x:c>
    </x:row>
    <x:row r="900">
      <x:c r="A900" t="str">
        <x:v>JFD-20240508-0514</x:v>
      </x:c>
      <x:c r="B900" s="11" t="n">
        <x:v>45420.520833333336</x:v>
      </x:c>
      <x:c r="C900" s="13" t="n">
        <x:v>0.5208333333333334</x:v>
      </x:c>
      <x:c r="D900" t="str">
        <x:v>Damak</x:v>
      </x:c>
      <x:c r="E900" t="str">
        <x:v>Milan’s Bakery</x:v>
      </x:c>
      <x:c r="F900" t="str">
        <x:v>Red Velvet Cake</x:v>
      </x:c>
      <x:c r="G900" t="str">
        <x:v>Food</x:v>
      </x:c>
      <x:c r="H900" t="n">
        <x:v>3</x:v>
      </x:c>
      <x:c r="I900" s="14" t="n">
        <x:v>790</x:v>
      </x:c>
      <x:c r="J900" s="14" t="n">
        <x:v>2370</x:v>
      </x:c>
      <x:c r="K900" t="str">
        <x:v>DEMO / SIMULATED</x:v>
      </x:c>
    </x:row>
    <x:row r="901">
      <x:c r="A901" t="str">
        <x:v>JFD-20250130-0515</x:v>
      </x:c>
      <x:c r="B901" s="11" t="n">
        <x:v>45687.455555555556</x:v>
      </x:c>
      <x:c r="C901" s="13" t="n">
        <x:v>0.45555555555555555</x:v>
      </x:c>
      <x:c r="D901" t="str">
        <x:v>Damak</x:v>
      </x:c>
      <x:c r="E901" t="str">
        <x:v>Milan’s Bakery</x:v>
      </x:c>
      <x:c r="F901" t="str">
        <x:v>Bottled Water 1L</x:v>
      </x:c>
      <x:c r="G901" t="str">
        <x:v>Drink</x:v>
      </x:c>
      <x:c r="H901" t="n">
        <x:v>3</x:v>
      </x:c>
      <x:c r="I901" s="14" t="n">
        <x:v>40</x:v>
      </x:c>
      <x:c r="J901" s="14" t="n">
        <x:v>120</x:v>
      </x:c>
      <x:c r="K901" t="str">
        <x:v>DEMO / SIMULATED</x:v>
      </x:c>
    </x:row>
    <x:row r="902">
      <x:c r="A902" t="str">
        <x:v>JFD-20250130-0515</x:v>
      </x:c>
      <x:c r="B902" s="11" t="n">
        <x:v>45687.63125</x:v>
      </x:c>
      <x:c r="C902" s="13" t="n">
        <x:v>0.63125</x:v>
      </x:c>
      <x:c r="D902" t="str">
        <x:v>Damak</x:v>
      </x:c>
      <x:c r="E902" t="str">
        <x:v>Milan’s Bakery</x:v>
      </x:c>
      <x:c r="F902" t="str">
        <x:v>Red Velvet Cake</x:v>
      </x:c>
      <x:c r="G902" t="str">
        <x:v>Food</x:v>
      </x:c>
      <x:c r="H902" t="n">
        <x:v>1</x:v>
      </x:c>
      <x:c r="I902" s="14" t="n">
        <x:v>845</x:v>
      </x:c>
      <x:c r="J902" s="14" t="n">
        <x:v>845</x:v>
      </x:c>
      <x:c r="K902" t="str">
        <x:v>DEMO / SIMULATED</x:v>
      </x:c>
    </x:row>
    <x:row r="903">
      <x:c r="A903" t="str">
        <x:v>JFD-20260326-0516</x:v>
      </x:c>
      <x:c r="B903" s="11" t="n">
        <x:v>46107.90555555555</x:v>
      </x:c>
      <x:c r="C903" s="13" t="n">
        <x:v>0.9055555555555556</x:v>
      </x:c>
      <x:c r="D903" t="str">
        <x:v>Birtamode</x:v>
      </x:c>
      <x:c r="E903" t="str">
        <x:v>Pizza Ghar</x:v>
      </x:c>
      <x:c r="F903" t="str">
        <x:v>Chicken Fried Rice</x:v>
      </x:c>
      <x:c r="G903" t="str">
        <x:v>Food</x:v>
      </x:c>
      <x:c r="H903" t="n">
        <x:v>3</x:v>
      </x:c>
      <x:c r="I903" s="14" t="n">
        <x:v>300</x:v>
      </x:c>
      <x:c r="J903" s="14" t="n">
        <x:v>900</x:v>
      </x:c>
      <x:c r="K903" t="str">
        <x:v>DEMO / SIMULATED</x:v>
      </x:c>
    </x:row>
    <x:row r="904">
      <x:c r="A904" t="str">
        <x:v>JFD-20240730-0517</x:v>
      </x:c>
      <x:c r="B904" s="11" t="n">
        <x:v>45503.73819444444</x:v>
      </x:c>
      <x:c r="C904" s="13" t="n">
        <x:v>0.7381944444444445</x:v>
      </x:c>
      <x:c r="D904" t="str">
        <x:v>Damak</x:v>
      </x:c>
      <x:c r="E904" t="str">
        <x:v>Milan’s Bakery</x:v>
      </x:c>
      <x:c r="F904" t="str">
        <x:v>Coca-Cola 500ml</x:v>
      </x:c>
      <x:c r="G904" t="str">
        <x:v>Drink</x:v>
      </x:c>
      <x:c r="H904" t="n">
        <x:v>1</x:v>
      </x:c>
      <x:c r="I904" s="14" t="n">
        <x:v>90</x:v>
      </x:c>
      <x:c r="J904" s="14" t="n">
        <x:v>90</x:v>
      </x:c>
      <x:c r="K904" t="str">
        <x:v>DEMO / SIMULATED</x:v>
      </x:c>
    </x:row>
    <x:row r="905">
      <x:c r="A905" t="str">
        <x:v>JFD-20240730-0517</x:v>
      </x:c>
      <x:c r="B905" s="11" t="n">
        <x:v>45503.538194444445</x:v>
      </x:c>
      <x:c r="C905" s="13" t="n">
        <x:v>0.5381944444444444</x:v>
      </x:c>
      <x:c r="D905" t="str">
        <x:v>Damak</x:v>
      </x:c>
      <x:c r="E905" t="str">
        <x:v>Milan’s Bakery</x:v>
      </x:c>
      <x:c r="F905" t="str">
        <x:v>Black Forest Cake</x:v>
      </x:c>
      <x:c r="G905" t="str">
        <x:v>Food</x:v>
      </x:c>
      <x:c r="H905" t="n">
        <x:v>4</x:v>
      </x:c>
      <x:c r="I905" s="14" t="n">
        <x:v>265</x:v>
      </x:c>
      <x:c r="J905" s="14" t="n">
        <x:v>1060</x:v>
      </x:c>
      <x:c r="K905" t="str">
        <x:v>DEMO / SIMULATED</x:v>
      </x:c>
    </x:row>
    <x:row r="906">
      <x:c r="A906" t="str">
        <x:v>JFD-20250120-0518</x:v>
      </x:c>
      <x:c r="B906" s="11" t="n">
        <x:v>45677.444444444445</x:v>
      </x:c>
      <x:c r="C906" s="13" t="n">
        <x:v>0.4444444444444444</x:v>
      </x:c>
      <x:c r="D906" t="str">
        <x:v>Damak</x:v>
      </x:c>
      <x:c r="E906" t="str">
        <x:v>Milan’s Bakery</x:v>
      </x:c>
      <x:c r="F906" t="str">
        <x:v>Red Velvet Cake</x:v>
      </x:c>
      <x:c r="G906" t="str">
        <x:v>Food</x:v>
      </x:c>
      <x:c r="H906" t="n">
        <x:v>4</x:v>
      </x:c>
      <x:c r="I906" s="14" t="n">
        <x:v>845</x:v>
      </x:c>
      <x:c r="J906" s="14" t="n">
        <x:v>3380</x:v>
      </x:c>
      <x:c r="K906" t="str">
        <x:v>DEMO / SIMULATED</x:v>
      </x:c>
    </x:row>
    <x:row r="907">
      <x:c r="A907" t="str">
        <x:v>JFD-20250120-0518</x:v>
      </x:c>
      <x:c r="B907" s="11" t="n">
        <x:v>45677.71111111111</x:v>
      </x:c>
      <x:c r="C907" s="13" t="n">
        <x:v>0.7111111111111111</x:v>
      </x:c>
      <x:c r="D907" t="str">
        <x:v>Damak</x:v>
      </x:c>
      <x:c r="E907" t="str">
        <x:v>Milan’s Bakery</x:v>
      </x:c>
      <x:c r="F907" t="str">
        <x:v>Chocolate Cake</x:v>
      </x:c>
      <x:c r="G907" t="str">
        <x:v>Food</x:v>
      </x:c>
      <x:c r="H907" t="n">
        <x:v>1</x:v>
      </x:c>
      <x:c r="I907" s="14" t="n">
        <x:v>330</x:v>
      </x:c>
      <x:c r="J907" s="14" t="n">
        <x:v>330</x:v>
      </x:c>
      <x:c r="K907" t="str">
        <x:v>DEMO / SIMULATED</x:v>
      </x:c>
    </x:row>
    <x:row r="908">
      <x:c r="A908" t="str">
        <x:v>JFD-20260105-0519</x:v>
      </x:c>
      <x:c r="B908" s="11" t="n">
        <x:v>46027.81180555555</x:v>
      </x:c>
      <x:c r="C908" s="13" t="n">
        <x:v>0.8118055555555556</x:v>
      </x:c>
      <x:c r="D908" t="str">
        <x:v>Birtamode</x:v>
      </x:c>
      <x:c r="E908" t="str">
        <x:v>Pizza Ghar</x:v>
      </x:c>
      <x:c r="F908" t="str">
        <x:v>Chicken Fried Rice</x:v>
      </x:c>
      <x:c r="G908" t="str">
        <x:v>Food</x:v>
      </x:c>
      <x:c r="H908" t="n">
        <x:v>1</x:v>
      </x:c>
      <x:c r="I908" s="14" t="n">
        <x:v>300</x:v>
      </x:c>
      <x:c r="J908" s="14" t="n">
        <x:v>300</x:v>
      </x:c>
      <x:c r="K908" t="str">
        <x:v>DEMO / SIMULATED</x:v>
      </x:c>
    </x:row>
    <x:row r="909">
      <x:c r="A909" t="str">
        <x:v>JFD-20260105-0519</x:v>
      </x:c>
      <x:c r="B909" s="11" t="n">
        <x:v>46027.666666666664</x:v>
      </x:c>
      <x:c r="C909" s="13" t="n">
        <x:v>0.6666666666666666</x:v>
      </x:c>
      <x:c r="D909" t="str">
        <x:v>Birtamode</x:v>
      </x:c>
      <x:c r="E909" t="str">
        <x:v>Pizza Ghar</x:v>
      </x:c>
      <x:c r="F909" t="str">
        <x:v>Egg Fried Rice</x:v>
      </x:c>
      <x:c r="G909" t="str">
        <x:v>Food</x:v>
      </x:c>
      <x:c r="H909" t="n">
        <x:v>1</x:v>
      </x:c>
      <x:c r="I909" s="14" t="n">
        <x:v>270</x:v>
      </x:c>
      <x:c r="J909" s="14" t="n">
        <x:v>270</x:v>
      </x:c>
      <x:c r="K909" t="str">
        <x:v>DEMO / SIMULATED</x:v>
      </x:c>
    </x:row>
    <x:row r="910">
      <x:c r="A910" t="str">
        <x:v>JFD-20260105-0519</x:v>
      </x:c>
      <x:c r="B910" s="11" t="n">
        <x:v>46027.63402777778</x:v>
      </x:c>
      <x:c r="C910" s="13" t="n">
        <x:v>0.6340277777777777</x:v>
      </x:c>
      <x:c r="D910" t="str">
        <x:v>Birtamode</x:v>
      </x:c>
      <x:c r="E910" t="str">
        <x:v>Pizza Ghar</x:v>
      </x:c>
      <x:c r="F910" t="str">
        <x:v>Bottled Water 1L</x:v>
      </x:c>
      <x:c r="G910" t="str">
        <x:v>Drink</x:v>
      </x:c>
      <x:c r="H910" t="n">
        <x:v>2</x:v>
      </x:c>
      <x:c r="I910" s="14" t="n">
        <x:v>40</x:v>
      </x:c>
      <x:c r="J910" s="14" t="n">
        <x:v>80</x:v>
      </x:c>
      <x:c r="K910" t="str">
        <x:v>DEMO / SIMULATED</x:v>
      </x:c>
    </x:row>
    <x:row r="911">
      <x:c r="A911" t="str">
        <x:v>JFD-20260909-0520</x:v>
      </x:c>
      <x:c r="B911" s="11" t="n">
        <x:v>46274.54722222222</x:v>
      </x:c>
      <x:c r="C911" s="13" t="n">
        <x:v>0.5472222222222223</x:v>
      </x:c>
      <x:c r="D911" t="str">
        <x:v>Birtamode</x:v>
      </x:c>
      <x:c r="E911" t="str">
        <x:v>Pizza Ghar</x:v>
      </x:c>
      <x:c r="F911" t="str">
        <x:v>Bottled Water 1L</x:v>
      </x:c>
      <x:c r="G911" t="str">
        <x:v>Drink</x:v>
      </x:c>
      <x:c r="H911" t="n">
        <x:v>3</x:v>
      </x:c>
      <x:c r="I911" s="14" t="n">
        <x:v>40</x:v>
      </x:c>
      <x:c r="J911" s="14" t="n">
        <x:v>120</x:v>
      </x:c>
      <x:c r="K911" t="str">
        <x:v>DEMO / SIMULATED</x:v>
      </x:c>
    </x:row>
    <x:row r="912">
      <x:c r="A912" t="str">
        <x:v>JFD-20230427-0521</x:v>
      </x:c>
      <x:c r="B912" s="11" t="n">
        <x:v>45043.811111111114</x:v>
      </x:c>
      <x:c r="C912" s="13" t="n">
        <x:v>0.8111111111111111</x:v>
      </x:c>
      <x:c r="D912" t="str">
        <x:v>Birtamode</x:v>
      </x:c>
      <x:c r="E912" t="str">
        <x:v>Pizza Ghar</x:v>
      </x:c>
      <x:c r="F912" t="str">
        <x:v>Chicken Fried Rice</x:v>
      </x:c>
      <x:c r="G912" t="str">
        <x:v>Food</x:v>
      </x:c>
      <x:c r="H912" t="n">
        <x:v>4</x:v>
      </x:c>
      <x:c r="I912" s="14" t="n">
        <x:v>245</x:v>
      </x:c>
      <x:c r="J912" s="14" t="n">
        <x:v>980</x:v>
      </x:c>
      <x:c r="K912" t="str">
        <x:v>DEMO / SIMULATED</x:v>
      </x:c>
    </x:row>
    <x:row r="913">
      <x:c r="A913" t="str">
        <x:v>JFD-20260407-0522</x:v>
      </x:c>
      <x:c r="B913" s="11" t="n">
        <x:v>46119.53402777778</x:v>
      </x:c>
      <x:c r="C913" s="13" t="n">
        <x:v>0.5340277777777778</x:v>
      </x:c>
      <x:c r="D913" t="str">
        <x:v>Damak</x:v>
      </x:c>
      <x:c r="E913" t="str">
        <x:v>Late Night Cravings</x:v>
      </x:c>
      <x:c r="F913" t="str">
        <x:v>Coca-Cola 500ml</x:v>
      </x:c>
      <x:c r="G913" t="str">
        <x:v>Drink</x:v>
      </x:c>
      <x:c r="H913" t="n">
        <x:v>4</x:v>
      </x:c>
      <x:c r="I913" s="14" t="n">
        <x:v>100</x:v>
      </x:c>
      <x:c r="J913" s="14" t="n">
        <x:v>400</x:v>
      </x:c>
      <x:c r="K913" t="str">
        <x:v>DEMO / SIMULATED</x:v>
      </x:c>
    </x:row>
    <x:row r="914">
      <x:c r="A914" t="str">
        <x:v>JFD-20230111-0523</x:v>
      </x:c>
      <x:c r="B914" s="11" t="n">
        <x:v>44937.75763888889</x:v>
      </x:c>
      <x:c r="C914" s="13" t="n">
        <x:v>0.7576388888888889</x:v>
      </x:c>
      <x:c r="D914" t="str">
        <x:v>Damak</x:v>
      </x:c>
      <x:c r="E914" t="str">
        <x:v>Milan’s Bakery</x:v>
      </x:c>
      <x:c r="F914" t="str">
        <x:v>Red Velvet Cake</x:v>
      </x:c>
      <x:c r="G914" t="str">
        <x:v>Food</x:v>
      </x:c>
      <x:c r="H914" t="n">
        <x:v>1</x:v>
      </x:c>
      <x:c r="I914" s="14" t="n">
        <x:v>740</x:v>
      </x:c>
      <x:c r="J914" s="14" t="n">
        <x:v>740</x:v>
      </x:c>
      <x:c r="K914" t="str">
        <x:v>DEMO / SIMULATED</x:v>
      </x:c>
    </x:row>
    <x:row r="915">
      <x:c r="A915" t="str">
        <x:v>JFD-20251119-0524</x:v>
      </x:c>
      <x:c r="B915" s="11" t="n">
        <x:v>45980.91388888889</x:v>
      </x:c>
      <x:c r="C915" s="13" t="n">
        <x:v>0.9138888888888889</x:v>
      </x:c>
      <x:c r="D915" t="str">
        <x:v>Damak</x:v>
      </x:c>
      <x:c r="E915" t="str">
        <x:v>Milan’s Bakery</x:v>
      </x:c>
      <x:c r="F915" t="str">
        <x:v>Coca-Cola 500ml</x:v>
      </x:c>
      <x:c r="G915" t="str">
        <x:v>Drink</x:v>
      </x:c>
      <x:c r="H915" t="n">
        <x:v>2</x:v>
      </x:c>
      <x:c r="I915" s="14" t="n">
        <x:v>95</x:v>
      </x:c>
      <x:c r="J915" s="14" t="n">
        <x:v>190</x:v>
      </x:c>
      <x:c r="K915" t="str">
        <x:v>DEMO / SIMULATED</x:v>
      </x:c>
    </x:row>
    <x:row r="916">
      <x:c r="A916" t="str">
        <x:v>JFD-20240802-0525</x:v>
      </x:c>
      <x:c r="B916" s="11" t="n">
        <x:v>45506.60486111111</x:v>
      </x:c>
      <x:c r="C916" s="13" t="n">
        <x:v>0.6048611111111111</x:v>
      </x:c>
      <x:c r="D916" t="str">
        <x:v>Birtamode</x:v>
      </x:c>
      <x:c r="E916" t="str">
        <x:v>Pizza Ghar</x:v>
      </x:c>
      <x:c r="F916" t="str">
        <x:v>Chicken Fried Rice</x:v>
      </x:c>
      <x:c r="G916" t="str">
        <x:v>Food</x:v>
      </x:c>
      <x:c r="H916" t="n">
        <x:v>1</x:v>
      </x:c>
      <x:c r="I916" s="14" t="n">
        <x:v>265</x:v>
      </x:c>
      <x:c r="J916" s="14" t="n">
        <x:v>265</x:v>
      </x:c>
      <x:c r="K916" t="str">
        <x:v>DEMO / SIMULATED</x:v>
      </x:c>
    </x:row>
    <x:row r="917">
      <x:c r="A917" t="str">
        <x:v>JFD-20240618-0526</x:v>
      </x:c>
      <x:c r="B917" s="11" t="n">
        <x:v>45461.84444444445</x:v>
      </x:c>
      <x:c r="C917" s="13" t="n">
        <x:v>0.8444444444444444</x:v>
      </x:c>
      <x:c r="D917" t="str">
        <x:v>Damak</x:v>
      </x:c>
      <x:c r="E917" t="str">
        <x:v>Milan’s Bakery</x:v>
      </x:c>
      <x:c r="F917" t="str">
        <x:v>Vanilla Cake</x:v>
      </x:c>
      <x:c r="G917" t="str">
        <x:v>Food</x:v>
      </x:c>
      <x:c r="H917" t="n">
        <x:v>3</x:v>
      </x:c>
      <x:c r="I917" s="14" t="n">
        <x:v>265</x:v>
      </x:c>
      <x:c r="J917" s="14" t="n">
        <x:v>795</x:v>
      </x:c>
      <x:c r="K917" t="str">
        <x:v>DEMO / SIMULATED</x:v>
      </x:c>
    </x:row>
    <x:row r="918">
      <x:c r="A918" t="str">
        <x:v>JFD-20240618-0526</x:v>
      </x:c>
      <x:c r="B918" s="11" t="n">
        <x:v>45461.60208333333</x:v>
      </x:c>
      <x:c r="C918" s="13" t="n">
        <x:v>0.6020833333333333</x:v>
      </x:c>
      <x:c r="D918" t="str">
        <x:v>Damak</x:v>
      </x:c>
      <x:c r="E918" t="str">
        <x:v>Milan’s Bakery</x:v>
      </x:c>
      <x:c r="F918" t="str">
        <x:v>Bottled Water 1L</x:v>
      </x:c>
      <x:c r="G918" t="str">
        <x:v>Drink</x:v>
      </x:c>
      <x:c r="H918" t="n">
        <x:v>4</x:v>
      </x:c>
      <x:c r="I918" s="14" t="n">
        <x:v>35</x:v>
      </x:c>
      <x:c r="J918" s="14" t="n">
        <x:v>140</x:v>
      </x:c>
      <x:c r="K918" t="str">
        <x:v>DEMO / SIMULATED</x:v>
      </x:c>
    </x:row>
    <x:row r="919">
      <x:c r="A919" t="str">
        <x:v>JFD-20260926-0527</x:v>
      </x:c>
      <x:c r="B919" s="11" t="n">
        <x:v>46291.885416666664</x:v>
      </x:c>
      <x:c r="C919" s="13" t="n">
        <x:v>0.8854166666666666</x:v>
      </x:c>
      <x:c r="D919" t="str">
        <x:v>Damak</x:v>
      </x:c>
      <x:c r="E919" t="str">
        <x:v>Late Night Cravings</x:v>
      </x:c>
      <x:c r="F919" t="str">
        <x:v>Mix Fry Rice</x:v>
      </x:c>
      <x:c r="G919" t="str">
        <x:v>Food</x:v>
      </x:c>
      <x:c r="H919" t="n">
        <x:v>3</x:v>
      </x:c>
      <x:c r="I919" s="14" t="n">
        <x:v>280</x:v>
      </x:c>
      <x:c r="J919" s="14" t="n">
        <x:v>840</x:v>
      </x:c>
      <x:c r="K919" t="str">
        <x:v>DEMO / SIMULATED</x:v>
      </x:c>
    </x:row>
    <x:row r="920">
      <x:c r="A920" t="str">
        <x:v>JFD-20241204-0528</x:v>
      </x:c>
      <x:c r="B920" s="11" t="n">
        <x:v>45630.74236111111</x:v>
      </x:c>
      <x:c r="C920" s="13" t="n">
        <x:v>0.7423611111111111</x:v>
      </x:c>
      <x:c r="D920" t="str">
        <x:v>Damak</x:v>
      </x:c>
      <x:c r="E920" t="str">
        <x:v>Milan’s Bakery</x:v>
      </x:c>
      <x:c r="F920" t="str">
        <x:v>Bottled Water 1L</x:v>
      </x:c>
      <x:c r="G920" t="str">
        <x:v>Drink</x:v>
      </x:c>
      <x:c r="H920" t="n">
        <x:v>1</x:v>
      </x:c>
      <x:c r="I920" s="14" t="n">
        <x:v>35</x:v>
      </x:c>
      <x:c r="J920" s="14" t="n">
        <x:v>35</x:v>
      </x:c>
      <x:c r="K920" t="str">
        <x:v>DEMO / SIMULATED</x:v>
      </x:c>
    </x:row>
    <x:row r="921">
      <x:c r="A921" t="str">
        <x:v>JFD-20241204-0528</x:v>
      </x:c>
      <x:c r="B921" s="11" t="n">
        <x:v>45630.85486111111</x:v>
      </x:c>
      <x:c r="C921" s="13" t="n">
        <x:v>0.8548611111111111</x:v>
      </x:c>
      <x:c r="D921" t="str">
        <x:v>Damak</x:v>
      </x:c>
      <x:c r="E921" t="str">
        <x:v>Milan’s Bakery</x:v>
      </x:c>
      <x:c r="F921" t="str">
        <x:v>Red Velvet Cake</x:v>
      </x:c>
      <x:c r="G921" t="str">
        <x:v>Food</x:v>
      </x:c>
      <x:c r="H921" t="n">
        <x:v>3</x:v>
      </x:c>
      <x:c r="I921" s="14" t="n">
        <x:v>790</x:v>
      </x:c>
      <x:c r="J921" s="14" t="n">
        <x:v>2370</x:v>
      </x:c>
      <x:c r="K921" t="str">
        <x:v>DEMO / SIMULATED</x:v>
      </x:c>
    </x:row>
    <x:row r="922">
      <x:c r="A922" t="str">
        <x:v>JFD-20241204-0528</x:v>
      </x:c>
      <x:c r="B922" s="11" t="n">
        <x:v>45630.80625</x:v>
      </x:c>
      <x:c r="C922" s="13" t="n">
        <x:v>0.80625</x:v>
      </x:c>
      <x:c r="D922" t="str">
        <x:v>Damak</x:v>
      </x:c>
      <x:c r="E922" t="str">
        <x:v>Milan’s Bakery</x:v>
      </x:c>
      <x:c r="F922" t="str">
        <x:v>Vanilla Cake</x:v>
      </x:c>
      <x:c r="G922" t="str">
        <x:v>Food</x:v>
      </x:c>
      <x:c r="H922" t="n">
        <x:v>4</x:v>
      </x:c>
      <x:c r="I922" s="14" t="n">
        <x:v>265</x:v>
      </x:c>
      <x:c r="J922" s="14" t="n">
        <x:v>1060</x:v>
      </x:c>
      <x:c r="K922" t="str">
        <x:v>DEMO / SIMULATED</x:v>
      </x:c>
    </x:row>
    <x:row r="923">
      <x:c r="A923" t="str">
        <x:v>JFD-20260618-0529</x:v>
      </x:c>
      <x:c r="B923" s="11" t="n">
        <x:v>46191.544444444444</x:v>
      </x:c>
      <x:c r="C923" s="13" t="n">
        <x:v>0.5444444444444444</x:v>
      </x:c>
      <x:c r="D923" t="str">
        <x:v>Birtamode</x:v>
      </x:c>
      <x:c r="E923" t="str">
        <x:v>The Underground Cafe &amp; Restaurant</x:v>
      </x:c>
      <x:c r="F923" t="str">
        <x:v>Veg Pakauda</x:v>
      </x:c>
      <x:c r="G923" t="str">
        <x:v>Food</x:v>
      </x:c>
      <x:c r="H923" t="n">
        <x:v>1</x:v>
      </x:c>
      <x:c r="I923" s="14" t="n">
        <x:v>175</x:v>
      </x:c>
      <x:c r="J923" s="14" t="n">
        <x:v>175</x:v>
      </x:c>
      <x:c r="K923" t="str">
        <x:v>DEMO / SIMULATED</x:v>
      </x:c>
    </x:row>
    <x:row r="924">
      <x:c r="A924" t="str">
        <x:v>JFD-20230701-0530</x:v>
      </x:c>
      <x:c r="B924" s="11" t="n">
        <x:v>45108.888194444444</x:v>
      </x:c>
      <x:c r="C924" s="13" t="n">
        <x:v>0.8881944444444444</x:v>
      </x:c>
      <x:c r="D924" t="str">
        <x:v>Damak</x:v>
      </x:c>
      <x:c r="E924" t="str">
        <x:v>Milan’s Bakery</x:v>
      </x:c>
      <x:c r="F924" t="str">
        <x:v>Black Forest Cake</x:v>
      </x:c>
      <x:c r="G924" t="str">
        <x:v>Food</x:v>
      </x:c>
      <x:c r="H924" t="n">
        <x:v>3</x:v>
      </x:c>
      <x:c r="I924" s="14" t="n">
        <x:v>245</x:v>
      </x:c>
      <x:c r="J924" s="14" t="n">
        <x:v>735</x:v>
      </x:c>
      <x:c r="K924" t="str">
        <x:v>DEMO / SIMULATED</x:v>
      </x:c>
    </x:row>
    <x:row r="925">
      <x:c r="A925" t="str">
        <x:v>JFD-20230911-0531</x:v>
      </x:c>
      <x:c r="B925" s="11" t="n">
        <x:v>45180.79652777778</x:v>
      </x:c>
      <x:c r="C925" s="13" t="n">
        <x:v>0.7965277777777777</x:v>
      </x:c>
      <x:c r="D925" t="str">
        <x:v>Birtamode</x:v>
      </x:c>
      <x:c r="E925" t="str">
        <x:v>The Underground Cafe &amp; Restaurant</x:v>
      </x:c>
      <x:c r="F925" t="str">
        <x:v>Veg Pakauda</x:v>
      </x:c>
      <x:c r="G925" t="str">
        <x:v>Food</x:v>
      </x:c>
      <x:c r="H925" t="n">
        <x:v>1</x:v>
      </x:c>
      <x:c r="I925" s="14" t="n">
        <x:v>145</x:v>
      </x:c>
      <x:c r="J925" s="14" t="n">
        <x:v>145</x:v>
      </x:c>
      <x:c r="K925" t="str">
        <x:v>DEMO / SIMULATED</x:v>
      </x:c>
    </x:row>
    <x:row r="926">
      <x:c r="A926" t="str">
        <x:v>JFD-20230103-0532</x:v>
      </x:c>
      <x:c r="B926" s="11" t="n">
        <x:v>44929.70208333333</x:v>
      </x:c>
      <x:c r="C926" s="13" t="n">
        <x:v>0.7020833333333333</x:v>
      </x:c>
      <x:c r="D926" t="str">
        <x:v>Birtamode</x:v>
      </x:c>
      <x:c r="E926" t="str">
        <x:v>The Underground Cafe &amp; Restaurant</x:v>
      </x:c>
      <x:c r="F926" t="str">
        <x:v>Aalu Jeera</x:v>
      </x:c>
      <x:c r="G926" t="str">
        <x:v>Food</x:v>
      </x:c>
      <x:c r="H926" t="n">
        <x:v>2</x:v>
      </x:c>
      <x:c r="I926" s="14" t="n">
        <x:v>125</x:v>
      </x:c>
      <x:c r="J926" s="14" t="n">
        <x:v>250</x:v>
      </x:c>
      <x:c r="K926" t="str">
        <x:v>DEMO / SIMULATED</x:v>
      </x:c>
    </x:row>
    <x:row r="927">
      <x:c r="A927" t="str">
        <x:v>JFD-20231203-0533</x:v>
      </x:c>
      <x:c r="B927" s="11" t="n">
        <x:v>45263.59305555555</x:v>
      </x:c>
      <x:c r="C927" s="13" t="n">
        <x:v>0.5930555555555556</x:v>
      </x:c>
      <x:c r="D927" t="str">
        <x:v>Damak</x:v>
      </x:c>
      <x:c r="E927" t="str">
        <x:v>Milan’s Bakery</x:v>
      </x:c>
      <x:c r="F927" t="str">
        <x:v>Black Forest Cake</x:v>
      </x:c>
      <x:c r="G927" t="str">
        <x:v>Food</x:v>
      </x:c>
      <x:c r="H927" t="n">
        <x:v>4</x:v>
      </x:c>
      <x:c r="I927" s="14" t="n">
        <x:v>245</x:v>
      </x:c>
      <x:c r="J927" s="14" t="n">
        <x:v>980</x:v>
      </x:c>
      <x:c r="K927" t="str">
        <x:v>DEMO / SIMULATED</x:v>
      </x:c>
    </x:row>
    <x:row r="928">
      <x:c r="A928" t="str">
        <x:v>JFD-20231203-0533</x:v>
      </x:c>
      <x:c r="B928" s="11" t="n">
        <x:v>45263.52222222222</x:v>
      </x:c>
      <x:c r="C928" s="13" t="n">
        <x:v>0.5222222222222223</x:v>
      </x:c>
      <x:c r="D928" t="str">
        <x:v>Damak</x:v>
      </x:c>
      <x:c r="E928" t="str">
        <x:v>Milan’s Bakery</x:v>
      </x:c>
      <x:c r="F928" t="str">
        <x:v>Coca-Cola 500ml</x:v>
      </x:c>
      <x:c r="G928" t="str">
        <x:v>Drink</x:v>
      </x:c>
      <x:c r="H928" t="n">
        <x:v>1</x:v>
      </x:c>
      <x:c r="I928" s="14" t="n">
        <x:v>80</x:v>
      </x:c>
      <x:c r="J928" s="14" t="n">
        <x:v>80</x:v>
      </x:c>
      <x:c r="K928" t="str">
        <x:v>DEMO / SIMULATED</x:v>
      </x:c>
    </x:row>
    <x:row r="929">
      <x:c r="A929" t="str">
        <x:v>JFD-20231203-0533</x:v>
      </x:c>
      <x:c r="B929" s="11" t="n">
        <x:v>45263.87569444445</x:v>
      </x:c>
      <x:c r="C929" s="13" t="n">
        <x:v>0.8756944444444444</x:v>
      </x:c>
      <x:c r="D929" t="str">
        <x:v>Damak</x:v>
      </x:c>
      <x:c r="E929" t="str">
        <x:v>Milan’s Bakery</x:v>
      </x:c>
      <x:c r="F929" t="str">
        <x:v>Chocolate Cake</x:v>
      </x:c>
      <x:c r="G929" t="str">
        <x:v>Food</x:v>
      </x:c>
      <x:c r="H929" t="n">
        <x:v>2</x:v>
      </x:c>
      <x:c r="I929" s="14" t="n">
        <x:v>285</x:v>
      </x:c>
      <x:c r="J929" s="14" t="n">
        <x:v>570</x:v>
      </x:c>
      <x:c r="K929" t="str">
        <x:v>DEMO / SIMULATED</x:v>
      </x:c>
    </x:row>
    <x:row r="930">
      <x:c r="A930" t="str">
        <x:v>JFD-20240303-0534</x:v>
      </x:c>
      <x:c r="B930" s="11" t="n">
        <x:v>45354.606944444444</x:v>
      </x:c>
      <x:c r="C930" s="13" t="n">
        <x:v>0.6069444444444444</x:v>
      </x:c>
      <x:c r="D930" t="str">
        <x:v>Birtamode</x:v>
      </x:c>
      <x:c r="E930" t="str">
        <x:v>Pizza Ghar</x:v>
      </x:c>
      <x:c r="F930" t="str">
        <x:v>Veg Fried Rice</x:v>
      </x:c>
      <x:c r="G930" t="str">
        <x:v>Food</x:v>
      </x:c>
      <x:c r="H930" t="n">
        <x:v>4</x:v>
      </x:c>
      <x:c r="I930" s="14" t="n">
        <x:v>195</x:v>
      </x:c>
      <x:c r="J930" s="14" t="n">
        <x:v>780</x:v>
      </x:c>
      <x:c r="K930" t="str">
        <x:v>DEMO / SIMULATED</x:v>
      </x:c>
    </x:row>
    <x:row r="931">
      <x:c r="A931" t="str">
        <x:v>JFD-20251001-0535</x:v>
      </x:c>
      <x:c r="B931" s="11" t="n">
        <x:v>45931.81875</x:v>
      </x:c>
      <x:c r="C931" s="13" t="n">
        <x:v>0.81875</x:v>
      </x:c>
      <x:c r="D931" t="str">
        <x:v>Birtamode</x:v>
      </x:c>
      <x:c r="E931" t="str">
        <x:v>Pizza Ghar</x:v>
      </x:c>
      <x:c r="F931" t="str">
        <x:v>Bottled Water 1L</x:v>
      </x:c>
      <x:c r="G931" t="str">
        <x:v>Drink</x:v>
      </x:c>
      <x:c r="H931" t="n">
        <x:v>1</x:v>
      </x:c>
      <x:c r="I931" s="14" t="n">
        <x:v>40</x:v>
      </x:c>
      <x:c r="J931" s="14" t="n">
        <x:v>40</x:v>
      </x:c>
      <x:c r="K931" t="str">
        <x:v>DEMO / SIMULATED</x:v>
      </x:c>
    </x:row>
    <x:row r="932">
      <x:c r="A932" t="str">
        <x:v>JFD-20251001-0535</x:v>
      </x:c>
      <x:c r="B932" s="11" t="n">
        <x:v>45931.686111111114</x:v>
      </x:c>
      <x:c r="C932" s="13" t="n">
        <x:v>0.6861111111111111</x:v>
      </x:c>
      <x:c r="D932" t="str">
        <x:v>Birtamode</x:v>
      </x:c>
      <x:c r="E932" t="str">
        <x:v>Pizza Ghar</x:v>
      </x:c>
      <x:c r="F932" t="str">
        <x:v>Egg Fried Rice</x:v>
      </x:c>
      <x:c r="G932" t="str">
        <x:v>Food</x:v>
      </x:c>
      <x:c r="H932" t="n">
        <x:v>4</x:v>
      </x:c>
      <x:c r="I932" s="14" t="n">
        <x:v>255</x:v>
      </x:c>
      <x:c r="J932" s="14" t="n">
        <x:v>1020</x:v>
      </x:c>
      <x:c r="K932" t="str">
        <x:v>DEMO / SIMULATED</x:v>
      </x:c>
    </x:row>
    <x:row r="933">
      <x:c r="A933" t="str">
        <x:v>JFD-20230113-0536</x:v>
      </x:c>
      <x:c r="B933" s="11" t="n">
        <x:v>44939.84930555556</x:v>
      </x:c>
      <x:c r="C933" s="13" t="n">
        <x:v>0.8493055555555555</x:v>
      </x:c>
      <x:c r="D933" t="str">
        <x:v>Birtamode</x:v>
      </x:c>
      <x:c r="E933" t="str">
        <x:v>Pizza Ghar</x:v>
      </x:c>
      <x:c r="F933" t="str">
        <x:v>Chicken Fried Rice</x:v>
      </x:c>
      <x:c r="G933" t="str">
        <x:v>Food</x:v>
      </x:c>
      <x:c r="H933" t="n">
        <x:v>1</x:v>
      </x:c>
      <x:c r="I933" s="14" t="n">
        <x:v>245</x:v>
      </x:c>
      <x:c r="J933" s="14" t="n">
        <x:v>245</x:v>
      </x:c>
      <x:c r="K933" t="str">
        <x:v>DEMO / SIMULATED</x:v>
      </x:c>
    </x:row>
    <x:row r="934">
      <x:c r="A934" t="str">
        <x:v>JFD-20230113-0536</x:v>
      </x:c>
      <x:c r="B934" s="11" t="n">
        <x:v>44939.64375</x:v>
      </x:c>
      <x:c r="C934" s="13" t="n">
        <x:v>0.64375</x:v>
      </x:c>
      <x:c r="D934" t="str">
        <x:v>Birtamode</x:v>
      </x:c>
      <x:c r="E934" t="str">
        <x:v>Pizza Ghar</x:v>
      </x:c>
      <x:c r="F934" t="str">
        <x:v>Egg Fried Rice</x:v>
      </x:c>
      <x:c r="G934" t="str">
        <x:v>Food</x:v>
      </x:c>
      <x:c r="H934" t="n">
        <x:v>3</x:v>
      </x:c>
      <x:c r="I934" s="14" t="n">
        <x:v>220</x:v>
      </x:c>
      <x:c r="J934" s="14" t="n">
        <x:v>660</x:v>
      </x:c>
      <x:c r="K934" t="str">
        <x:v>DEMO / SIMULATED</x:v>
      </x:c>
    </x:row>
    <x:row r="935">
      <x:c r="A935" t="str">
        <x:v>JFD-20230113-0536</x:v>
      </x:c>
      <x:c r="B935" s="11" t="n">
        <x:v>44939.7</x:v>
      </x:c>
      <x:c r="C935" s="13" t="n">
        <x:v>0.7</x:v>
      </x:c>
      <x:c r="D935" t="str">
        <x:v>Birtamode</x:v>
      </x:c>
      <x:c r="E935" t="str">
        <x:v>Pizza Ghar</x:v>
      </x:c>
      <x:c r="F935" t="str">
        <x:v>Veg Fried Rice</x:v>
      </x:c>
      <x:c r="G935" t="str">
        <x:v>Food</x:v>
      </x:c>
      <x:c r="H935" t="n">
        <x:v>1</x:v>
      </x:c>
      <x:c r="I935" s="14" t="n">
        <x:v>180</x:v>
      </x:c>
      <x:c r="J935" s="14" t="n">
        <x:v>180</x:v>
      </x:c>
      <x:c r="K935" t="str">
        <x:v>DEMO / SIMULATED</x:v>
      </x:c>
    </x:row>
    <x:row r="936">
      <x:c r="A936" t="str">
        <x:v>JFD-20241202-0537</x:v>
      </x:c>
      <x:c r="B936" s="11" t="n">
        <x:v>45628.61736111111</x:v>
      </x:c>
      <x:c r="C936" s="13" t="n">
        <x:v>0.6173611111111111</x:v>
      </x:c>
      <x:c r="D936" t="str">
        <x:v>Birtamode</x:v>
      </x:c>
      <x:c r="E936" t="str">
        <x:v>The Underground Cafe &amp; Restaurant</x:v>
      </x:c>
      <x:c r="F936" t="str">
        <x:v>Aalu Jeera</x:v>
      </x:c>
      <x:c r="G936" t="str">
        <x:v>Food</x:v>
      </x:c>
      <x:c r="H936" t="n">
        <x:v>2</x:v>
      </x:c>
      <x:c r="I936" s="14" t="n">
        <x:v>135</x:v>
      </x:c>
      <x:c r="J936" s="14" t="n">
        <x:v>270</x:v>
      </x:c>
      <x:c r="K936" t="str">
        <x:v>DEMO / SIMULATED</x:v>
      </x:c>
    </x:row>
    <x:row r="937">
      <x:c r="A937" t="str">
        <x:v>JFD-20241202-0537</x:v>
      </x:c>
      <x:c r="B937" s="11" t="n">
        <x:v>45628.43819444445</x:v>
      </x:c>
      <x:c r="C937" s="13" t="n">
        <x:v>0.43819444444444444</x:v>
      </x:c>
      <x:c r="D937" t="str">
        <x:v>Birtamode</x:v>
      </x:c>
      <x:c r="E937" t="str">
        <x:v>The Underground Cafe &amp; Restaurant</x:v>
      </x:c>
      <x:c r="F937" t="str">
        <x:v>Coca-Cola 500ml</x:v>
      </x:c>
      <x:c r="G937" t="str">
        <x:v>Drink</x:v>
      </x:c>
      <x:c r="H937" t="n">
        <x:v>2</x:v>
      </x:c>
      <x:c r="I937" s="14" t="n">
        <x:v>90</x:v>
      </x:c>
      <x:c r="J937" s="14" t="n">
        <x:v>180</x:v>
      </x:c>
      <x:c r="K937" t="str">
        <x:v>DEMO / SIMULATED</x:v>
      </x:c>
    </x:row>
    <x:row r="938">
      <x:c r="A938" t="str">
        <x:v>JFD-20241202-0537</x:v>
      </x:c>
      <x:c r="B938" s="11" t="n">
        <x:v>45628.54791666667</x:v>
      </x:c>
      <x:c r="C938" s="13" t="n">
        <x:v>0.5479166666666667</x:v>
      </x:c>
      <x:c r="D938" t="str">
        <x:v>Birtamode</x:v>
      </x:c>
      <x:c r="E938" t="str">
        <x:v>The Underground Cafe &amp; Restaurant</x:v>
      </x:c>
      <x:c r="F938" t="str">
        <x:v>Paneer Pakauda</x:v>
      </x:c>
      <x:c r="G938" t="str">
        <x:v>Food</x:v>
      </x:c>
      <x:c r="H938" t="n">
        <x:v>4</x:v>
      </x:c>
      <x:c r="I938" s="14" t="n">
        <x:v>200</x:v>
      </x:c>
      <x:c r="J938" s="14" t="n">
        <x:v>800</x:v>
      </x:c>
      <x:c r="K938" t="str">
        <x:v>DEMO / SIMULATED</x:v>
      </x:c>
    </x:row>
    <x:row r="939">
      <x:c r="A939" t="str">
        <x:v>JFD-20230715-0538</x:v>
      </x:c>
      <x:c r="B939" s="11" t="n">
        <x:v>45122.60486111111</x:v>
      </x:c>
      <x:c r="C939" s="13" t="n">
        <x:v>0.6048611111111111</x:v>
      </x:c>
      <x:c r="D939" t="str">
        <x:v>Damak</x:v>
      </x:c>
      <x:c r="E939" t="str">
        <x:v>Milan’s Bakery</x:v>
      </x:c>
      <x:c r="F939" t="str">
        <x:v>Coca-Cola 500ml</x:v>
      </x:c>
      <x:c r="G939" t="str">
        <x:v>Drink</x:v>
      </x:c>
      <x:c r="H939" t="n">
        <x:v>2</x:v>
      </x:c>
      <x:c r="I939" s="14" t="n">
        <x:v>80</x:v>
      </x:c>
      <x:c r="J939" s="14" t="n">
        <x:v>160</x:v>
      </x:c>
      <x:c r="K939" t="str">
        <x:v>DEMO / SIMULATED</x:v>
      </x:c>
    </x:row>
    <x:row r="940">
      <x:c r="A940" t="str">
        <x:v>JFD-20230715-0538</x:v>
      </x:c>
      <x:c r="B940" s="11" t="n">
        <x:v>45122.666666666664</x:v>
      </x:c>
      <x:c r="C940" s="13" t="n">
        <x:v>0.6666666666666666</x:v>
      </x:c>
      <x:c r="D940" t="str">
        <x:v>Damak</x:v>
      </x:c>
      <x:c r="E940" t="str">
        <x:v>Milan’s Bakery</x:v>
      </x:c>
      <x:c r="F940" t="str">
        <x:v>Vanilla Cake</x:v>
      </x:c>
      <x:c r="G940" t="str">
        <x:v>Food</x:v>
      </x:c>
      <x:c r="H940" t="n">
        <x:v>2</x:v>
      </x:c>
      <x:c r="I940" s="14" t="n">
        <x:v>245</x:v>
      </x:c>
      <x:c r="J940" s="14" t="n">
        <x:v>490</x:v>
      </x:c>
      <x:c r="K940" t="str">
        <x:v>DEMO / SIMULATED</x:v>
      </x:c>
    </x:row>
    <x:row r="941">
      <x:c r="A941" t="str">
        <x:v>JFD-20230715-0538</x:v>
      </x:c>
      <x:c r="B941" s="11" t="n">
        <x:v>45122.58819444444</x:v>
      </x:c>
      <x:c r="C941" s="13" t="n">
        <x:v>0.5881944444444445</x:v>
      </x:c>
      <x:c r="D941" t="str">
        <x:v>Damak</x:v>
      </x:c>
      <x:c r="E941" t="str">
        <x:v>Milan’s Bakery</x:v>
      </x:c>
      <x:c r="F941" t="str">
        <x:v>Black Forest Cake</x:v>
      </x:c>
      <x:c r="G941" t="str">
        <x:v>Food</x:v>
      </x:c>
      <x:c r="H941" t="n">
        <x:v>1</x:v>
      </x:c>
      <x:c r="I941" s="14" t="n">
        <x:v>245</x:v>
      </x:c>
      <x:c r="J941" s="14" t="n">
        <x:v>245</x:v>
      </x:c>
      <x:c r="K941" t="str">
        <x:v>DEMO / SIMULATED</x:v>
      </x:c>
    </x:row>
    <x:row r="942">
      <x:c r="A942" t="str">
        <x:v>JFD-20260607-0539</x:v>
      </x:c>
      <x:c r="B942" s="11" t="n">
        <x:v>46180.52638888889</x:v>
      </x:c>
      <x:c r="C942" s="13" t="n">
        <x:v>0.5263888888888889</x:v>
      </x:c>
      <x:c r="D942" t="str">
        <x:v>Birtamode</x:v>
      </x:c>
      <x:c r="E942" t="str">
        <x:v>The Underground Cafe &amp; Restaurant</x:v>
      </x:c>
      <x:c r="F942" t="str">
        <x:v>Veg Pakauda</x:v>
      </x:c>
      <x:c r="G942" t="str">
        <x:v>Food</x:v>
      </x:c>
      <x:c r="H942" t="n">
        <x:v>1</x:v>
      </x:c>
      <x:c r="I942" s="14" t="n">
        <x:v>175</x:v>
      </x:c>
      <x:c r="J942" s="14" t="n">
        <x:v>175</x:v>
      </x:c>
      <x:c r="K942" t="str">
        <x:v>DEMO / SIMULATED</x:v>
      </x:c>
    </x:row>
    <x:row r="943">
      <x:c r="A943" t="str">
        <x:v>JFD-20260607-0539</x:v>
      </x:c>
      <x:c r="B943" s="11" t="n">
        <x:v>46180.71527777778</x:v>
      </x:c>
      <x:c r="C943" s="13" t="n">
        <x:v>0.7152777777777778</x:v>
      </x:c>
      <x:c r="D943" t="str">
        <x:v>Birtamode</x:v>
      </x:c>
      <x:c r="E943" t="str">
        <x:v>The Underground Cafe &amp; Restaurant</x:v>
      </x:c>
      <x:c r="F943" t="str">
        <x:v>Aalu Jeera</x:v>
      </x:c>
      <x:c r="G943" t="str">
        <x:v>Food</x:v>
      </x:c>
      <x:c r="H943" t="n">
        <x:v>3</x:v>
      </x:c>
      <x:c r="I943" s="14" t="n">
        <x:v>155</x:v>
      </x:c>
      <x:c r="J943" s="14" t="n">
        <x:v>465</x:v>
      </x:c>
      <x:c r="K943" t="str">
        <x:v>DEMO / SIMULATED</x:v>
      </x:c>
    </x:row>
    <x:row r="944">
      <x:c r="A944" t="str">
        <x:v>JFD-20251215-0540</x:v>
      </x:c>
      <x:c r="B944" s="11" t="n">
        <x:v>46006.88125</x:v>
      </x:c>
      <x:c r="C944" s="13" t="n">
        <x:v>0.88125</x:v>
      </x:c>
      <x:c r="D944" t="str">
        <x:v>Birtamode</x:v>
      </x:c>
      <x:c r="E944" t="str">
        <x:v>The Underground Cafe &amp; Restaurant</x:v>
      </x:c>
      <x:c r="F944" t="str">
        <x:v>Paneer Pakauda</x:v>
      </x:c>
      <x:c r="G944" t="str">
        <x:v>Food</x:v>
      </x:c>
      <x:c r="H944" t="n">
        <x:v>3</x:v>
      </x:c>
      <x:c r="I944" s="14" t="n">
        <x:v>210</x:v>
      </x:c>
      <x:c r="J944" s="14" t="n">
        <x:v>630</x:v>
      </x:c>
      <x:c r="K944" t="str">
        <x:v>DEMO / SIMULATED</x:v>
      </x:c>
    </x:row>
    <x:row r="945">
      <x:c r="A945" t="str">
        <x:v>JFD-20250503-0541</x:v>
      </x:c>
      <x:c r="B945" s="11" t="n">
        <x:v>45780.60277777778</x:v>
      </x:c>
      <x:c r="C945" s="13" t="n">
        <x:v>0.6027777777777777</x:v>
      </x:c>
      <x:c r="D945" t="str">
        <x:v>Birtamode</x:v>
      </x:c>
      <x:c r="E945" t="str">
        <x:v>Pizza Ghar</x:v>
      </x:c>
      <x:c r="F945" t="str">
        <x:v>Chicken BBQ Feast Pizza</x:v>
      </x:c>
      <x:c r="G945" t="str">
        <x:v>Food</x:v>
      </x:c>
      <x:c r="H945" t="n">
        <x:v>3</x:v>
      </x:c>
      <x:c r="I945" s="14" t="n">
        <x:v>545</x:v>
      </x:c>
      <x:c r="J945" s="14" t="n">
        <x:v>1635</x:v>
      </x:c>
      <x:c r="K945" t="str">
        <x:v>DEMO / SIMULATED</x:v>
      </x:c>
    </x:row>
    <x:row r="946">
      <x:c r="A946" t="str">
        <x:v>JFD-20250503-0541</x:v>
      </x:c>
      <x:c r="B946" s="11" t="n">
        <x:v>45780.84583333333</x:v>
      </x:c>
      <x:c r="C946" s="13" t="n">
        <x:v>0.8458333333333333</x:v>
      </x:c>
      <x:c r="D946" t="str">
        <x:v>Birtamode</x:v>
      </x:c>
      <x:c r="E946" t="str">
        <x:v>Pizza Ghar</x:v>
      </x:c>
      <x:c r="F946" t="str">
        <x:v>Coca-Cola 500ml</x:v>
      </x:c>
      <x:c r="G946" t="str">
        <x:v>Drink</x:v>
      </x:c>
      <x:c r="H946" t="n">
        <x:v>4</x:v>
      </x:c>
      <x:c r="I946" s="14" t="n">
        <x:v>95</x:v>
      </x:c>
      <x:c r="J946" s="14" t="n">
        <x:v>380</x:v>
      </x:c>
      <x:c r="K946" t="str">
        <x:v>DEMO / SIMULATED</x:v>
      </x:c>
    </x:row>
    <x:row r="947">
      <x:c r="A947" t="str">
        <x:v>JFD-20250503-0541</x:v>
      </x:c>
      <x:c r="B947" s="11" t="n">
        <x:v>45780.69097222222</x:v>
      </x:c>
      <x:c r="C947" s="13" t="n">
        <x:v>0.6909722222222222</x:v>
      </x:c>
      <x:c r="D947" t="str">
        <x:v>Birtamode</x:v>
      </x:c>
      <x:c r="E947" t="str">
        <x:v>Pizza Ghar</x:v>
      </x:c>
      <x:c r="F947" t="str">
        <x:v>Veg Fried Rice</x:v>
      </x:c>
      <x:c r="G947" t="str">
        <x:v>Food</x:v>
      </x:c>
      <x:c r="H947" t="n">
        <x:v>2</x:v>
      </x:c>
      <x:c r="I947" s="14" t="n">
        <x:v>205</x:v>
      </x:c>
      <x:c r="J947" s="14" t="n">
        <x:v>410</x:v>
      </x:c>
      <x:c r="K947" t="str">
        <x:v>DEMO / SIMULATED</x:v>
      </x:c>
    </x:row>
    <x:row r="948">
      <x:c r="A948" t="str">
        <x:v>JFD-20230326-0542</x:v>
      </x:c>
      <x:c r="B948" s="11" t="n">
        <x:v>45011.77222222222</x:v>
      </x:c>
      <x:c r="C948" s="13" t="n">
        <x:v>0.7722222222222223</x:v>
      </x:c>
      <x:c r="D948" t="str">
        <x:v>Birtamode</x:v>
      </x:c>
      <x:c r="E948" t="str">
        <x:v>Pizza Ghar</x:v>
      </x:c>
      <x:c r="F948" t="str">
        <x:v>Veg Fried Rice</x:v>
      </x:c>
      <x:c r="G948" t="str">
        <x:v>Food</x:v>
      </x:c>
      <x:c r="H948" t="n">
        <x:v>2</x:v>
      </x:c>
      <x:c r="I948" s="14" t="n">
        <x:v>180</x:v>
      </x:c>
      <x:c r="J948" s="14" t="n">
        <x:v>360</x:v>
      </x:c>
      <x:c r="K948" t="str">
        <x:v>DEMO / SIMULATED</x:v>
      </x:c>
    </x:row>
    <x:row r="949">
      <x:c r="A949" t="str">
        <x:v>JFD-20230326-0542</x:v>
      </x:c>
      <x:c r="B949" s="11" t="n">
        <x:v>45011.78680555556</x:v>
      </x:c>
      <x:c r="C949" s="13" t="n">
        <x:v>0.7868055555555555</x:v>
      </x:c>
      <x:c r="D949" t="str">
        <x:v>Birtamode</x:v>
      </x:c>
      <x:c r="E949" t="str">
        <x:v>Pizza Ghar</x:v>
      </x:c>
      <x:c r="F949" t="str">
        <x:v>Bottled Water 1L</x:v>
      </x:c>
      <x:c r="G949" t="str">
        <x:v>Drink</x:v>
      </x:c>
      <x:c r="H949" t="n">
        <x:v>3</x:v>
      </x:c>
      <x:c r="I949" s="14" t="n">
        <x:v>35</x:v>
      </x:c>
      <x:c r="J949" s="14" t="n">
        <x:v>105</x:v>
      </x:c>
      <x:c r="K949" t="str">
        <x:v>DEMO / SIMULATED</x:v>
      </x:c>
    </x:row>
    <x:row r="950">
      <x:c r="A950" t="str">
        <x:v>JFD-20230326-0542</x:v>
      </x:c>
      <x:c r="B950" s="11" t="n">
        <x:v>45011.799305555556</x:v>
      </x:c>
      <x:c r="C950" s="13" t="n">
        <x:v>0.7993055555555556</x:v>
      </x:c>
      <x:c r="D950" t="str">
        <x:v>Birtamode</x:v>
      </x:c>
      <x:c r="E950" t="str">
        <x:v>Pizza Ghar</x:v>
      </x:c>
      <x:c r="F950" t="str">
        <x:v>Chicken BBQ Feast Pizza</x:v>
      </x:c>
      <x:c r="G950" t="str">
        <x:v>Food</x:v>
      </x:c>
      <x:c r="H950" t="n">
        <x:v>1</x:v>
      </x:c>
      <x:c r="I950" s="14" t="n">
        <x:v>475</x:v>
      </x:c>
      <x:c r="J950" s="14" t="n">
        <x:v>475</x:v>
      </x:c>
      <x:c r="K950" t="str">
        <x:v>DEMO / SIMULATED</x:v>
      </x:c>
    </x:row>
    <x:row r="951">
      <x:c r="A951" t="str">
        <x:v>JFD-20231211-0543</x:v>
      </x:c>
      <x:c r="B951" s="11" t="n">
        <x:v>45271.54791666667</x:v>
      </x:c>
      <x:c r="C951" s="13" t="n">
        <x:v>0.5479166666666667</x:v>
      </x:c>
      <x:c r="D951" t="str">
        <x:v>Birtamode</x:v>
      </x:c>
      <x:c r="E951" t="str">
        <x:v>The Underground Cafe &amp; Restaurant</x:v>
      </x:c>
      <x:c r="F951" t="str">
        <x:v>Coca-Cola 500ml</x:v>
      </x:c>
      <x:c r="G951" t="str">
        <x:v>Drink</x:v>
      </x:c>
      <x:c r="H951" t="n">
        <x:v>1</x:v>
      </x:c>
      <x:c r="I951" s="14" t="n">
        <x:v>80</x:v>
      </x:c>
      <x:c r="J951" s="14" t="n">
        <x:v>80</x:v>
      </x:c>
      <x:c r="K951" t="str">
        <x:v>DEMO / SIMULATED</x:v>
      </x:c>
    </x:row>
    <x:row r="952">
      <x:c r="A952" t="str">
        <x:v>JFD-20230911-0544</x:v>
      </x:c>
      <x:c r="B952" s="11" t="n">
        <x:v>45180.700694444444</x:v>
      </x:c>
      <x:c r="C952" s="13" t="n">
        <x:v>0.7006944444444444</x:v>
      </x:c>
      <x:c r="D952" t="str">
        <x:v>Damak</x:v>
      </x:c>
      <x:c r="E952" t="str">
        <x:v>Milan’s Bakery</x:v>
      </x:c>
      <x:c r="F952" t="str">
        <x:v>Black Forest Cake</x:v>
      </x:c>
      <x:c r="G952" t="str">
        <x:v>Food</x:v>
      </x:c>
      <x:c r="H952" t="n">
        <x:v>2</x:v>
      </x:c>
      <x:c r="I952" s="14" t="n">
        <x:v>245</x:v>
      </x:c>
      <x:c r="J952" s="14" t="n">
        <x:v>490</x:v>
      </x:c>
      <x:c r="K952" t="str">
        <x:v>DEMO / SIMULATED</x:v>
      </x:c>
    </x:row>
    <x:row r="953">
      <x:c r="A953" t="str">
        <x:v>JFD-20240621-0545</x:v>
      </x:c>
      <x:c r="B953" s="11" t="n">
        <x:v>45464.470138888886</x:v>
      </x:c>
      <x:c r="C953" s="13" t="n">
        <x:v>0.4701388888888889</x:v>
      </x:c>
      <x:c r="D953" t="str">
        <x:v>Birtamode</x:v>
      </x:c>
      <x:c r="E953" t="str">
        <x:v>Pizza Ghar</x:v>
      </x:c>
      <x:c r="F953" t="str">
        <x:v>Chicken Fried Rice</x:v>
      </x:c>
      <x:c r="G953" t="str">
        <x:v>Food</x:v>
      </x:c>
      <x:c r="H953" t="n">
        <x:v>1</x:v>
      </x:c>
      <x:c r="I953" s="14" t="n">
        <x:v>265</x:v>
      </x:c>
      <x:c r="J953" s="14" t="n">
        <x:v>265</x:v>
      </x:c>
      <x:c r="K953" t="str">
        <x:v>DEMO / SIMULATED</x:v>
      </x:c>
    </x:row>
    <x:row r="954">
      <x:c r="A954" t="str">
        <x:v>JFD-20240621-0545</x:v>
      </x:c>
      <x:c r="B954" s="11" t="n">
        <x:v>45464.654861111114</x:v>
      </x:c>
      <x:c r="C954" s="13" t="n">
        <x:v>0.6548611111111111</x:v>
      </x:c>
      <x:c r="D954" t="str">
        <x:v>Birtamode</x:v>
      </x:c>
      <x:c r="E954" t="str">
        <x:v>Pizza Ghar</x:v>
      </x:c>
      <x:c r="F954" t="str">
        <x:v>Veg Fried Rice</x:v>
      </x:c>
      <x:c r="G954" t="str">
        <x:v>Food</x:v>
      </x:c>
      <x:c r="H954" t="n">
        <x:v>3</x:v>
      </x:c>
      <x:c r="I954" s="14" t="n">
        <x:v>195</x:v>
      </x:c>
      <x:c r="J954" s="14" t="n">
        <x:v>585</x:v>
      </x:c>
      <x:c r="K954" t="str">
        <x:v>DEMO / SIMULATED</x:v>
      </x:c>
    </x:row>
    <x:row r="955">
      <x:c r="A955" t="str">
        <x:v>JFD-20251030-0546</x:v>
      </x:c>
      <x:c r="B955" s="11" t="n">
        <x:v>45960.72222222222</x:v>
      </x:c>
      <x:c r="C955" s="13" t="n">
        <x:v>0.7222222222222222</x:v>
      </x:c>
      <x:c r="D955" t="str">
        <x:v>Birtamode</x:v>
      </x:c>
      <x:c r="E955" t="str">
        <x:v>The Underground Cafe &amp; Restaurant</x:v>
      </x:c>
      <x:c r="F955" t="str">
        <x:v>Paneer Pakauda</x:v>
      </x:c>
      <x:c r="G955" t="str">
        <x:v>Food</x:v>
      </x:c>
      <x:c r="H955" t="n">
        <x:v>3</x:v>
      </x:c>
      <x:c r="I955" s="14" t="n">
        <x:v>210</x:v>
      </x:c>
      <x:c r="J955" s="14" t="n">
        <x:v>630</x:v>
      </x:c>
      <x:c r="K955" t="str">
        <x:v>DEMO / SIMULATED</x:v>
      </x:c>
    </x:row>
    <x:row r="956">
      <x:c r="A956" t="str">
        <x:v>JFD-20251030-0546</x:v>
      </x:c>
      <x:c r="B956" s="11" t="n">
        <x:v>45960.876388888886</x:v>
      </x:c>
      <x:c r="C956" s="13" t="n">
        <x:v>0.8763888888888889</x:v>
      </x:c>
      <x:c r="D956" t="str">
        <x:v>Birtamode</x:v>
      </x:c>
      <x:c r="E956" t="str">
        <x:v>The Underground Cafe &amp; Restaurant</x:v>
      </x:c>
      <x:c r="F956" t="str">
        <x:v>Veg Pakauda</x:v>
      </x:c>
      <x:c r="G956" t="str">
        <x:v>Food</x:v>
      </x:c>
      <x:c r="H956" t="n">
        <x:v>1</x:v>
      </x:c>
      <x:c r="I956" s="14" t="n">
        <x:v>165</x:v>
      </x:c>
      <x:c r="J956" s="14" t="n">
        <x:v>165</x:v>
      </x:c>
      <x:c r="K956" t="str">
        <x:v>DEMO / SIMULATED</x:v>
      </x:c>
    </x:row>
    <x:row r="957">
      <x:c r="A957" t="str">
        <x:v>JFD-20240410-0547</x:v>
      </x:c>
      <x:c r="B957" s="11" t="n">
        <x:v>45392.55347222222</x:v>
      </x:c>
      <x:c r="C957" s="13" t="n">
        <x:v>0.5534722222222223</x:v>
      </x:c>
      <x:c r="D957" t="str">
        <x:v>Birtamode</x:v>
      </x:c>
      <x:c r="E957" t="str">
        <x:v>Pizza Ghar</x:v>
      </x:c>
      <x:c r="F957" t="str">
        <x:v>Veg Fried Rice</x:v>
      </x:c>
      <x:c r="G957" t="str">
        <x:v>Food</x:v>
      </x:c>
      <x:c r="H957" t="n">
        <x:v>1</x:v>
      </x:c>
      <x:c r="I957" s="14" t="n">
        <x:v>195</x:v>
      </x:c>
      <x:c r="J957" s="14" t="n">
        <x:v>195</x:v>
      </x:c>
      <x:c r="K957" t="str">
        <x:v>DEMO / SIMULATED</x:v>
      </x:c>
    </x:row>
    <x:row r="958">
      <x:c r="A958" t="str">
        <x:v>JFD-20240410-0547</x:v>
      </x:c>
      <x:c r="B958" s="11" t="n">
        <x:v>45392.64444444444</x:v>
      </x:c>
      <x:c r="C958" s="13" t="n">
        <x:v>0.6444444444444445</x:v>
      </x:c>
      <x:c r="D958" t="str">
        <x:v>Birtamode</x:v>
      </x:c>
      <x:c r="E958" t="str">
        <x:v>Pizza Ghar</x:v>
      </x:c>
      <x:c r="F958" t="str">
        <x:v>Bottled Water 1L</x:v>
      </x:c>
      <x:c r="G958" t="str">
        <x:v>Drink</x:v>
      </x:c>
      <x:c r="H958" t="n">
        <x:v>2</x:v>
      </x:c>
      <x:c r="I958" s="14" t="n">
        <x:v>35</x:v>
      </x:c>
      <x:c r="J958" s="14" t="n">
        <x:v>70</x:v>
      </x:c>
      <x:c r="K958" t="str">
        <x:v>DEMO / SIMULATED</x:v>
      </x:c>
    </x:row>
    <x:row r="959">
      <x:c r="A959" t="str">
        <x:v>JFD-20240410-0547</x:v>
      </x:c>
      <x:c r="B959" s="11" t="n">
        <x:v>45392.86944444444</x:v>
      </x:c>
      <x:c r="C959" s="13" t="n">
        <x:v>0.8694444444444445</x:v>
      </x:c>
      <x:c r="D959" t="str">
        <x:v>Birtamode</x:v>
      </x:c>
      <x:c r="E959" t="str">
        <x:v>Pizza Ghar</x:v>
      </x:c>
      <x:c r="F959" t="str">
        <x:v>Chicken Fried Rice</x:v>
      </x:c>
      <x:c r="G959" t="str">
        <x:v>Food</x:v>
      </x:c>
      <x:c r="H959" t="n">
        <x:v>1</x:v>
      </x:c>
      <x:c r="I959" s="14" t="n">
        <x:v>265</x:v>
      </x:c>
      <x:c r="J959" s="14" t="n">
        <x:v>265</x:v>
      </x:c>
      <x:c r="K959" t="str">
        <x:v>DEMO / SIMULATED</x:v>
      </x:c>
    </x:row>
    <x:row r="960">
      <x:c r="A960" t="str">
        <x:v>JFD-20260602-0548</x:v>
      </x:c>
      <x:c r="B960" s="11" t="n">
        <x:v>46175.686111111114</x:v>
      </x:c>
      <x:c r="C960" s="13" t="n">
        <x:v>0.6861111111111111</x:v>
      </x:c>
      <x:c r="D960" t="str">
        <x:v>Birtamode</x:v>
      </x:c>
      <x:c r="E960" t="str">
        <x:v>The Underground Cafe &amp; Restaurant</x:v>
      </x:c>
      <x:c r="F960" t="str">
        <x:v>Veg Pakauda</x:v>
      </x:c>
      <x:c r="G960" t="str">
        <x:v>Food</x:v>
      </x:c>
      <x:c r="H960" t="n">
        <x:v>3</x:v>
      </x:c>
      <x:c r="I960" s="14" t="n">
        <x:v>175</x:v>
      </x:c>
      <x:c r="J960" s="14" t="n">
        <x:v>525</x:v>
      </x:c>
      <x:c r="K960" t="str">
        <x:v>DEMO / SIMULATED</x:v>
      </x:c>
    </x:row>
    <x:row r="961">
      <x:c r="A961" t="str">
        <x:v>JFD-20260602-0548</x:v>
      </x:c>
      <x:c r="B961" s="11" t="n">
        <x:v>46175.510416666664</x:v>
      </x:c>
      <x:c r="C961" s="13" t="n">
        <x:v>0.5104166666666666</x:v>
      </x:c>
      <x:c r="D961" t="str">
        <x:v>Birtamode</x:v>
      </x:c>
      <x:c r="E961" t="str">
        <x:v>The Underground Cafe &amp; Restaurant</x:v>
      </x:c>
      <x:c r="F961" t="str">
        <x:v>Paneer Pakauda</x:v>
      </x:c>
      <x:c r="G961" t="str">
        <x:v>Food</x:v>
      </x:c>
      <x:c r="H961" t="n">
        <x:v>2</x:v>
      </x:c>
      <x:c r="I961" s="14" t="n">
        <x:v>225</x:v>
      </x:c>
      <x:c r="J961" s="14" t="n">
        <x:v>450</x:v>
      </x:c>
      <x:c r="K961" t="str">
        <x:v>DEMO / SIMULATED</x:v>
      </x:c>
    </x:row>
    <x:row r="962">
      <x:c r="A962" t="str">
        <x:v>JFD-20240520-0549</x:v>
      </x:c>
      <x:c r="B962" s="11" t="n">
        <x:v>45432.72361111111</x:v>
      </x:c>
      <x:c r="C962" s="13" t="n">
        <x:v>0.7236111111111111</x:v>
      </x:c>
      <x:c r="D962" t="str">
        <x:v>Damak</x:v>
      </x:c>
      <x:c r="E962" t="str">
        <x:v>Late Night Cravings</x:v>
      </x:c>
      <x:c r="F962" t="str">
        <x:v>Bottled Water 1L</x:v>
      </x:c>
      <x:c r="G962" t="str">
        <x:v>Drink</x:v>
      </x:c>
      <x:c r="H962" t="n">
        <x:v>4</x:v>
      </x:c>
      <x:c r="I962" s="14" t="n">
        <x:v>35</x:v>
      </x:c>
      <x:c r="J962" s="14" t="n">
        <x:v>140</x:v>
      </x:c>
      <x:c r="K962" t="str">
        <x:v>DEMO / SIMULATED</x:v>
      </x:c>
    </x:row>
    <x:row r="963">
      <x:c r="A963" t="str">
        <x:v>JFD-20240520-0549</x:v>
      </x:c>
      <x:c r="B963" s="11" t="n">
        <x:v>45432.836805555555</x:v>
      </x:c>
      <x:c r="C963" s="13" t="n">
        <x:v>0.8368055555555556</x:v>
      </x:c>
      <x:c r="D963" t="str">
        <x:v>Damak</x:v>
      </x:c>
      <x:c r="E963" t="str">
        <x:v>Late Night Cravings</x:v>
      </x:c>
      <x:c r="F963" t="str">
        <x:v>Veg Fry Rice</x:v>
      </x:c>
      <x:c r="G963" t="str">
        <x:v>Food</x:v>
      </x:c>
      <x:c r="H963" t="n">
        <x:v>1</x:v>
      </x:c>
      <x:c r="I963" s="14" t="n">
        <x:v>140</x:v>
      </x:c>
      <x:c r="J963" s="14" t="n">
        <x:v>140</x:v>
      </x:c>
      <x:c r="K963" t="str">
        <x:v>DEMO / SIMULATED</x:v>
      </x:c>
    </x:row>
    <x:row r="964">
      <x:c r="A964" t="str">
        <x:v>JFD-20240520-0549</x:v>
      </x:c>
      <x:c r="B964" s="11" t="n">
        <x:v>45432.83888888889</x:v>
      </x:c>
      <x:c r="C964" s="13" t="n">
        <x:v>0.8388888888888889</x:v>
      </x:c>
      <x:c r="D964" t="str">
        <x:v>Damak</x:v>
      </x:c>
      <x:c r="E964" t="str">
        <x:v>Late Night Cravings</x:v>
      </x:c>
      <x:c r="F964" t="str">
        <x:v>Egg Fry Rice</x:v>
      </x:c>
      <x:c r="G964" t="str">
        <x:v>Food</x:v>
      </x:c>
      <x:c r="H964" t="n">
        <x:v>1</x:v>
      </x:c>
      <x:c r="I964" s="14" t="n">
        <x:v>175</x:v>
      </x:c>
      <x:c r="J964" s="14" t="n">
        <x:v>175</x:v>
      </x:c>
      <x:c r="K964" t="str">
        <x:v>DEMO / SIMULATED</x:v>
      </x:c>
    </x:row>
    <x:row r="965">
      <x:c r="A965" t="str">
        <x:v>JFD-20230325-0550</x:v>
      </x:c>
      <x:c r="B965" s="11" t="n">
        <x:v>45010.63263888889</x:v>
      </x:c>
      <x:c r="C965" s="13" t="n">
        <x:v>0.6326388888888889</x:v>
      </x:c>
      <x:c r="D965" t="str">
        <x:v>Birtamode</x:v>
      </x:c>
      <x:c r="E965" t="str">
        <x:v>The Underground Cafe &amp; Restaurant</x:v>
      </x:c>
      <x:c r="F965" t="str">
        <x:v>Paneer Pakauda</x:v>
      </x:c>
      <x:c r="G965" t="str">
        <x:v>Food</x:v>
      </x:c>
      <x:c r="H965" t="n">
        <x:v>3</x:v>
      </x:c>
      <x:c r="I965" s="14" t="n">
        <x:v>185</x:v>
      </x:c>
      <x:c r="J965" s="14" t="n">
        <x:v>555</x:v>
      </x:c>
      <x:c r="K965" t="str">
        <x:v>DEMO / SIMULATED</x:v>
      </x:c>
    </x:row>
    <x:row r="966">
      <x:c r="A966" t="str">
        <x:v>JFD-20230325-0550</x:v>
      </x:c>
      <x:c r="B966" s="11" t="n">
        <x:v>45010.811111111114</x:v>
      </x:c>
      <x:c r="C966" s="13" t="n">
        <x:v>0.8111111111111111</x:v>
      </x:c>
      <x:c r="D966" t="str">
        <x:v>Birtamode</x:v>
      </x:c>
      <x:c r="E966" t="str">
        <x:v>The Underground Cafe &amp; Restaurant</x:v>
      </x:c>
      <x:c r="F966" t="str">
        <x:v>Coca-Cola 500ml</x:v>
      </x:c>
      <x:c r="G966" t="str">
        <x:v>Drink</x:v>
      </x:c>
      <x:c r="H966" t="n">
        <x:v>1</x:v>
      </x:c>
      <x:c r="I966" s="14" t="n">
        <x:v>80</x:v>
      </x:c>
      <x:c r="J966" s="14" t="n">
        <x:v>80</x:v>
      </x:c>
      <x:c r="K966" t="str">
        <x:v>DEMO / SIMULATED</x:v>
      </x:c>
    </x:row>
    <x:row r="967">
      <x:c r="A967" t="str">
        <x:v>JFD-20230325-0550</x:v>
      </x:c>
      <x:c r="B967" s="11" t="n">
        <x:v>45010.489583333336</x:v>
      </x:c>
      <x:c r="C967" s="13" t="n">
        <x:v>0.4895833333333333</x:v>
      </x:c>
      <x:c r="D967" t="str">
        <x:v>Birtamode</x:v>
      </x:c>
      <x:c r="E967" t="str">
        <x:v>The Underground Cafe &amp; Restaurant</x:v>
      </x:c>
      <x:c r="F967" t="str">
        <x:v>Aalu Jeera</x:v>
      </x:c>
      <x:c r="G967" t="str">
        <x:v>Food</x:v>
      </x:c>
      <x:c r="H967" t="n">
        <x:v>4</x:v>
      </x:c>
      <x:c r="I967" s="14" t="n">
        <x:v>125</x:v>
      </x:c>
      <x:c r="J967" s="14" t="n">
        <x:v>500</x:v>
      </x:c>
      <x:c r="K967" t="str">
        <x:v>DEMO / SIMULATED</x:v>
      </x:c>
    </x:row>
    <x:row r="968">
      <x:c r="A968" t="str">
        <x:v>JFD-20260101-0551</x:v>
      </x:c>
      <x:c r="B968" s="11" t="n">
        <x:v>46023.57083333333</x:v>
      </x:c>
      <x:c r="C968" s="13" t="n">
        <x:v>0.5708333333333333</x:v>
      </x:c>
      <x:c r="D968" t="str">
        <x:v>Birtamode</x:v>
      </x:c>
      <x:c r="E968" t="str">
        <x:v>Pizza Ghar</x:v>
      </x:c>
      <x:c r="F968" t="str">
        <x:v>Bottled Water 1L</x:v>
      </x:c>
      <x:c r="G968" t="str">
        <x:v>Drink</x:v>
      </x:c>
      <x:c r="H968" t="n">
        <x:v>4</x:v>
      </x:c>
      <x:c r="I968" s="14" t="n">
        <x:v>40</x:v>
      </x:c>
      <x:c r="J968" s="14" t="n">
        <x:v>160</x:v>
      </x:c>
      <x:c r="K968" t="str">
        <x:v>DEMO / SIMULATED</x:v>
      </x:c>
    </x:row>
    <x:row r="969">
      <x:c r="A969" t="str">
        <x:v>JFD-20260821-0552</x:v>
      </x:c>
      <x:c r="B969" s="11" t="n">
        <x:v>46255.82083333333</x:v>
      </x:c>
      <x:c r="C969" s="13" t="n">
        <x:v>0.8208333333333333</x:v>
      </x:c>
      <x:c r="D969" t="str">
        <x:v>Damak</x:v>
      </x:c>
      <x:c r="E969" t="str">
        <x:v>Late Night Cravings</x:v>
      </x:c>
      <x:c r="F969" t="str">
        <x:v>Coca-Cola 500ml</x:v>
      </x:c>
      <x:c r="G969" t="str">
        <x:v>Drink</x:v>
      </x:c>
      <x:c r="H969" t="n">
        <x:v>1</x:v>
      </x:c>
      <x:c r="I969" s="14" t="n">
        <x:v>100</x:v>
      </x:c>
      <x:c r="J969" s="14" t="n">
        <x:v>100</x:v>
      </x:c>
      <x:c r="K969" t="str">
        <x:v>DEMO / SIMULATED</x:v>
      </x:c>
    </x:row>
    <x:row r="970">
      <x:c r="A970" t="str">
        <x:v>JFD-20241027-0553</x:v>
      </x:c>
      <x:c r="B970" s="11" t="n">
        <x:v>45592.54722222222</x:v>
      </x:c>
      <x:c r="C970" s="13" t="n">
        <x:v>0.5472222222222223</x:v>
      </x:c>
      <x:c r="D970" t="str">
        <x:v>Birtamode</x:v>
      </x:c>
      <x:c r="E970" t="str">
        <x:v>The Underground Cafe &amp; Restaurant</x:v>
      </x:c>
      <x:c r="F970" t="str">
        <x:v>Veg Pakauda</x:v>
      </x:c>
      <x:c r="G970" t="str">
        <x:v>Food</x:v>
      </x:c>
      <x:c r="H970" t="n">
        <x:v>1</x:v>
      </x:c>
      <x:c r="I970" s="14" t="n">
        <x:v>155</x:v>
      </x:c>
      <x:c r="J970" s="14" t="n">
        <x:v>155</x:v>
      </x:c>
      <x:c r="K970" t="str">
        <x:v>DEMO / SIMULATED</x:v>
      </x:c>
    </x:row>
    <x:row r="971">
      <x:c r="A971" t="str">
        <x:v>JFD-20241027-0553</x:v>
      </x:c>
      <x:c r="B971" s="11" t="n">
        <x:v>45592.69652777778</x:v>
      </x:c>
      <x:c r="C971" s="13" t="n">
        <x:v>0.6965277777777777</x:v>
      </x:c>
      <x:c r="D971" t="str">
        <x:v>Birtamode</x:v>
      </x:c>
      <x:c r="E971" t="str">
        <x:v>The Underground Cafe &amp; Restaurant</x:v>
      </x:c>
      <x:c r="F971" t="str">
        <x:v>Paneer Pakauda</x:v>
      </x:c>
      <x:c r="G971" t="str">
        <x:v>Food</x:v>
      </x:c>
      <x:c r="H971" t="n">
        <x:v>4</x:v>
      </x:c>
      <x:c r="I971" s="14" t="n">
        <x:v>200</x:v>
      </x:c>
      <x:c r="J971" s="14" t="n">
        <x:v>800</x:v>
      </x:c>
      <x:c r="K971" t="str">
        <x:v>DEMO / SIMULATED</x:v>
      </x:c>
    </x:row>
    <x:row r="972">
      <x:c r="A972" t="str">
        <x:v>JFD-20230208-0554</x:v>
      </x:c>
      <x:c r="B972" s="11" t="n">
        <x:v>44965.47430555556</x:v>
      </x:c>
      <x:c r="C972" s="13" t="n">
        <x:v>0.47430555555555554</x:v>
      </x:c>
      <x:c r="D972" t="str">
        <x:v>Damak</x:v>
      </x:c>
      <x:c r="E972" t="str">
        <x:v>Late Night Cravings</x:v>
      </x:c>
      <x:c r="F972" t="str">
        <x:v>Veg Fry Rice</x:v>
      </x:c>
      <x:c r="G972" t="str">
        <x:v>Food</x:v>
      </x:c>
      <x:c r="H972" t="n">
        <x:v>4</x:v>
      </x:c>
      <x:c r="I972" s="14" t="n">
        <x:v>130</x:v>
      </x:c>
      <x:c r="J972" s="14" t="n">
        <x:v>520</x:v>
      </x:c>
      <x:c r="K972" t="str">
        <x:v>DEMO / SIMULATED</x:v>
      </x:c>
    </x:row>
    <x:row r="973">
      <x:c r="A973" t="str">
        <x:v>JFD-20250809-0555</x:v>
      </x:c>
      <x:c r="B973" s="11" t="n">
        <x:v>45878.493055555555</x:v>
      </x:c>
      <x:c r="C973" s="13" t="n">
        <x:v>0.4930555555555556</x:v>
      </x:c>
      <x:c r="D973" t="str">
        <x:v>Birtamode</x:v>
      </x:c>
      <x:c r="E973" t="str">
        <x:v>The Underground Cafe &amp; Restaurant</x:v>
      </x:c>
      <x:c r="F973" t="str">
        <x:v>Bottled Water 1L</x:v>
      </x:c>
      <x:c r="G973" t="str">
        <x:v>Drink</x:v>
      </x:c>
      <x:c r="H973" t="n">
        <x:v>4</x:v>
      </x:c>
      <x:c r="I973" s="14" t="n">
        <x:v>40</x:v>
      </x:c>
      <x:c r="J973" s="14" t="n">
        <x:v>160</x:v>
      </x:c>
      <x:c r="K973" t="str">
        <x:v>DEMO / SIMULATED</x:v>
      </x:c>
    </x:row>
    <x:row r="974">
      <x:c r="A974" t="str">
        <x:v>JFD-20241022-0556</x:v>
      </x:c>
      <x:c r="B974" s="11" t="n">
        <x:v>45587.57986111111</x:v>
      </x:c>
      <x:c r="C974" s="13" t="n">
        <x:v>0.5798611111111112</x:v>
      </x:c>
      <x:c r="D974" t="str">
        <x:v>Damak</x:v>
      </x:c>
      <x:c r="E974" t="str">
        <x:v>Milan’s Bakery</x:v>
      </x:c>
      <x:c r="F974" t="str">
        <x:v>Bottled Water 1L</x:v>
      </x:c>
      <x:c r="G974" t="str">
        <x:v>Drink</x:v>
      </x:c>
      <x:c r="H974" t="n">
        <x:v>1</x:v>
      </x:c>
      <x:c r="I974" s="14" t="n">
        <x:v>35</x:v>
      </x:c>
      <x:c r="J974" s="14" t="n">
        <x:v>35</x:v>
      </x:c>
      <x:c r="K974" t="str">
        <x:v>DEMO / SIMULATED</x:v>
      </x:c>
    </x:row>
    <x:row r="975">
      <x:c r="A975" t="str">
        <x:v>JFD-20241022-0556</x:v>
      </x:c>
      <x:c r="B975" s="11" t="n">
        <x:v>45587.60486111111</x:v>
      </x:c>
      <x:c r="C975" s="13" t="n">
        <x:v>0.6048611111111111</x:v>
      </x:c>
      <x:c r="D975" t="str">
        <x:v>Damak</x:v>
      </x:c>
      <x:c r="E975" t="str">
        <x:v>Milan’s Bakery</x:v>
      </x:c>
      <x:c r="F975" t="str">
        <x:v>Chocolate Cake</x:v>
      </x:c>
      <x:c r="G975" t="str">
        <x:v>Food</x:v>
      </x:c>
      <x:c r="H975" t="n">
        <x:v>4</x:v>
      </x:c>
      <x:c r="I975" s="14" t="n">
        <x:v>310</x:v>
      </x:c>
      <x:c r="J975" s="14" t="n">
        <x:v>1240</x:v>
      </x:c>
      <x:c r="K975" t="str">
        <x:v>DEMO / SIMULATED</x:v>
      </x:c>
    </x:row>
    <x:row r="976">
      <x:c r="A976" t="str">
        <x:v>JFD-20260814-0557</x:v>
      </x:c>
      <x:c r="B976" s="11" t="n">
        <x:v>46248.56597222222</x:v>
      </x:c>
      <x:c r="C976" s="13" t="n">
        <x:v>0.5659722222222222</x:v>
      </x:c>
      <x:c r="D976" t="str">
        <x:v>Damak</x:v>
      </x:c>
      <x:c r="E976" t="str">
        <x:v>Milan’s Bakery</x:v>
      </x:c>
      <x:c r="F976" t="str">
        <x:v>Black Forest Cake</x:v>
      </x:c>
      <x:c r="G976" t="str">
        <x:v>Food</x:v>
      </x:c>
      <x:c r="H976" t="n">
        <x:v>1</x:v>
      </x:c>
      <x:c r="I976" s="14" t="n">
        <x:v>300</x:v>
      </x:c>
      <x:c r="J976" s="14" t="n">
        <x:v>300</x:v>
      </x:c>
      <x:c r="K976" t="str">
        <x:v>DEMO / SIMULATED</x:v>
      </x:c>
    </x:row>
    <x:row r="977">
      <x:c r="A977" t="str">
        <x:v>JFD-20260814-0557</x:v>
      </x:c>
      <x:c r="B977" s="11" t="n">
        <x:v>46248.42847222222</x:v>
      </x:c>
      <x:c r="C977" s="13" t="n">
        <x:v>0.4284722222222222</x:v>
      </x:c>
      <x:c r="D977" t="str">
        <x:v>Damak</x:v>
      </x:c>
      <x:c r="E977" t="str">
        <x:v>Milan’s Bakery</x:v>
      </x:c>
      <x:c r="F977" t="str">
        <x:v>Vanilla Cake</x:v>
      </x:c>
      <x:c r="G977" t="str">
        <x:v>Food</x:v>
      </x:c>
      <x:c r="H977" t="n">
        <x:v>3</x:v>
      </x:c>
      <x:c r="I977" s="14" t="n">
        <x:v>300</x:v>
      </x:c>
      <x:c r="J977" s="14" t="n">
        <x:v>900</x:v>
      </x:c>
      <x:c r="K977" t="str">
        <x:v>DEMO / SIMULATED</x:v>
      </x:c>
    </x:row>
    <x:row r="978">
      <x:c r="A978" t="str">
        <x:v>JFD-20260814-0557</x:v>
      </x:c>
      <x:c r="B978" s="11" t="n">
        <x:v>46248.59305555555</x:v>
      </x:c>
      <x:c r="C978" s="13" t="n">
        <x:v>0.5930555555555556</x:v>
      </x:c>
      <x:c r="D978" t="str">
        <x:v>Damak</x:v>
      </x:c>
      <x:c r="E978" t="str">
        <x:v>Milan’s Bakery</x:v>
      </x:c>
      <x:c r="F978" t="str">
        <x:v>Coca-Cola 500ml</x:v>
      </x:c>
      <x:c r="G978" t="str">
        <x:v>Drink</x:v>
      </x:c>
      <x:c r="H978" t="n">
        <x:v>1</x:v>
      </x:c>
      <x:c r="I978" s="14" t="n">
        <x:v>100</x:v>
      </x:c>
      <x:c r="J978" s="14" t="n">
        <x:v>100</x:v>
      </x:c>
      <x:c r="K978" t="str">
        <x:v>DEMO / SIMULATED</x:v>
      </x:c>
    </x:row>
    <x:row r="979">
      <x:c r="A979" t="str">
        <x:v>JFD-20240331-0558</x:v>
      </x:c>
      <x:c r="B979" s="11" t="n">
        <x:v>45382.51736111111</x:v>
      </x:c>
      <x:c r="C979" s="13" t="n">
        <x:v>0.5173611111111112</x:v>
      </x:c>
      <x:c r="D979" t="str">
        <x:v>Damak</x:v>
      </x:c>
      <x:c r="E979" t="str">
        <x:v>Milan’s Bakery</x:v>
      </x:c>
      <x:c r="F979" t="str">
        <x:v>Red Velvet Cake</x:v>
      </x:c>
      <x:c r="G979" t="str">
        <x:v>Food</x:v>
      </x:c>
      <x:c r="H979" t="n">
        <x:v>4</x:v>
      </x:c>
      <x:c r="I979" s="14" t="n">
        <x:v>790</x:v>
      </x:c>
      <x:c r="J979" s="14" t="n">
        <x:v>3160</x:v>
      </x:c>
      <x:c r="K979" t="str">
        <x:v>DEMO / SIMULATED</x:v>
      </x:c>
    </x:row>
    <x:row r="980">
      <x:c r="A980" t="str">
        <x:v>JFD-20240331-0558</x:v>
      </x:c>
      <x:c r="B980" s="11" t="n">
        <x:v>45382.84305555555</x:v>
      </x:c>
      <x:c r="C980" s="13" t="n">
        <x:v>0.8430555555555556</x:v>
      </x:c>
      <x:c r="D980" t="str">
        <x:v>Damak</x:v>
      </x:c>
      <x:c r="E980" t="str">
        <x:v>Milan’s Bakery</x:v>
      </x:c>
      <x:c r="F980" t="str">
        <x:v>Vanilla Cake</x:v>
      </x:c>
      <x:c r="G980" t="str">
        <x:v>Food</x:v>
      </x:c>
      <x:c r="H980" t="n">
        <x:v>2</x:v>
      </x:c>
      <x:c r="I980" s="14" t="n">
        <x:v>265</x:v>
      </x:c>
      <x:c r="J980" s="14" t="n">
        <x:v>530</x:v>
      </x:c>
      <x:c r="K980" t="str">
        <x:v>DEMO / SIMULATED</x:v>
      </x:c>
    </x:row>
    <x:row r="981">
      <x:c r="A981" t="str">
        <x:v>JFD-20230626-0559</x:v>
      </x:c>
      <x:c r="B981" s="11" t="n">
        <x:v>45103.711805555555</x:v>
      </x:c>
      <x:c r="C981" s="13" t="n">
        <x:v>0.7118055555555556</x:v>
      </x:c>
      <x:c r="D981" t="str">
        <x:v>Damak</x:v>
      </x:c>
      <x:c r="E981" t="str">
        <x:v>Milan’s Bakery</x:v>
      </x:c>
      <x:c r="F981" t="str">
        <x:v>Black Forest Cake</x:v>
      </x:c>
      <x:c r="G981" t="str">
        <x:v>Food</x:v>
      </x:c>
      <x:c r="H981" t="n">
        <x:v>3</x:v>
      </x:c>
      <x:c r="I981" s="14" t="n">
        <x:v>245</x:v>
      </x:c>
      <x:c r="J981" s="14" t="n">
        <x:v>735</x:v>
      </x:c>
      <x:c r="K981" t="str">
        <x:v>DEMO / SIMULATED</x:v>
      </x:c>
    </x:row>
    <x:row r="982">
      <x:c r="A982" t="str">
        <x:v>JFD-20251222-0560</x:v>
      </x:c>
      <x:c r="B982" s="11" t="n">
        <x:v>46013.525</x:v>
      </x:c>
      <x:c r="C982" s="13" t="n">
        <x:v>0.525</x:v>
      </x:c>
      <x:c r="D982" t="str">
        <x:v>Birtamode</x:v>
      </x:c>
      <x:c r="E982" t="str">
        <x:v>Pizza Ghar</x:v>
      </x:c>
      <x:c r="F982" t="str">
        <x:v>Coca-Cola 500ml</x:v>
      </x:c>
      <x:c r="G982" t="str">
        <x:v>Drink</x:v>
      </x:c>
      <x:c r="H982" t="n">
        <x:v>2</x:v>
      </x:c>
      <x:c r="I982" s="14" t="n">
        <x:v>95</x:v>
      </x:c>
      <x:c r="J982" s="14" t="n">
        <x:v>190</x:v>
      </x:c>
      <x:c r="K982" t="str">
        <x:v>DEMO / SIMULATED</x:v>
      </x:c>
    </x:row>
    <x:row r="983">
      <x:c r="A983" t="str">
        <x:v>JFD-20251222-0560</x:v>
      </x:c>
      <x:c r="B983" s="11" t="n">
        <x:v>46013.81180555555</x:v>
      </x:c>
      <x:c r="C983" s="13" t="n">
        <x:v>0.8118055555555556</x:v>
      </x:c>
      <x:c r="D983" t="str">
        <x:v>Birtamode</x:v>
      </x:c>
      <x:c r="E983" t="str">
        <x:v>Pizza Ghar</x:v>
      </x:c>
      <x:c r="F983" t="str">
        <x:v>Chicken Fried Rice</x:v>
      </x:c>
      <x:c r="G983" t="str">
        <x:v>Food</x:v>
      </x:c>
      <x:c r="H983" t="n">
        <x:v>2</x:v>
      </x:c>
      <x:c r="I983" s="14" t="n">
        <x:v>280</x:v>
      </x:c>
      <x:c r="J983" s="14" t="n">
        <x:v>560</x:v>
      </x:c>
      <x:c r="K983" t="str">
        <x:v>DEMO / SIMULATED</x:v>
      </x:c>
    </x:row>
    <x:row r="984">
      <x:c r="A984" t="str">
        <x:v>JFD-20251222-0560</x:v>
      </x:c>
      <x:c r="B984" s="11" t="n">
        <x:v>46013.913194444445</x:v>
      </x:c>
      <x:c r="C984" s="13" t="n">
        <x:v>0.9131944444444444</x:v>
      </x:c>
      <x:c r="D984" t="str">
        <x:v>Birtamode</x:v>
      </x:c>
      <x:c r="E984" t="str">
        <x:v>Pizza Ghar</x:v>
      </x:c>
      <x:c r="F984" t="str">
        <x:v>Chicken BBQ Feast Pizza</x:v>
      </x:c>
      <x:c r="G984" t="str">
        <x:v>Food</x:v>
      </x:c>
      <x:c r="H984" t="n">
        <x:v>2</x:v>
      </x:c>
      <x:c r="I984" s="14" t="n">
        <x:v>545</x:v>
      </x:c>
      <x:c r="J984" s="14" t="n">
        <x:v>1090</x:v>
      </x:c>
      <x:c r="K984" t="str">
        <x:v>DEMO / SIMULATED</x:v>
      </x:c>
    </x:row>
    <x:row r="985">
      <x:c r="A985" t="str">
        <x:v>JFD-20250618-0561</x:v>
      </x:c>
      <x:c r="B985" s="11" t="n">
        <x:v>45826.52291666667</x:v>
      </x:c>
      <x:c r="C985" s="13" t="n">
        <x:v>0.5229166666666667</x:v>
      </x:c>
      <x:c r="D985" t="str">
        <x:v>Birtamode</x:v>
      </x:c>
      <x:c r="E985" t="str">
        <x:v>Pizza Ghar</x:v>
      </x:c>
      <x:c r="F985" t="str">
        <x:v>Egg Fried Rice</x:v>
      </x:c>
      <x:c r="G985" t="str">
        <x:v>Food</x:v>
      </x:c>
      <x:c r="H985" t="n">
        <x:v>1</x:v>
      </x:c>
      <x:c r="I985" s="14" t="n">
        <x:v>255</x:v>
      </x:c>
      <x:c r="J985" s="14" t="n">
        <x:v>255</x:v>
      </x:c>
      <x:c r="K985" t="str">
        <x:v>DEMO / SIMULATED</x:v>
      </x:c>
    </x:row>
    <x:row r="986">
      <x:c r="A986" t="str">
        <x:v>JFD-20251016-0562</x:v>
      </x:c>
      <x:c r="B986" s="11" t="n">
        <x:v>45946.53680555556</x:v>
      </x:c>
      <x:c r="C986" s="13" t="n">
        <x:v>0.5368055555555555</x:v>
      </x:c>
      <x:c r="D986" t="str">
        <x:v>Damak</x:v>
      </x:c>
      <x:c r="E986" t="str">
        <x:v>Late Night Cravings</x:v>
      </x:c>
      <x:c r="F986" t="str">
        <x:v>Mix Fry Rice</x:v>
      </x:c>
      <x:c r="G986" t="str">
        <x:v>Food</x:v>
      </x:c>
      <x:c r="H986" t="n">
        <x:v>4</x:v>
      </x:c>
      <x:c r="I986" s="14" t="n">
        <x:v>265</x:v>
      </x:c>
      <x:c r="J986" s="14" t="n">
        <x:v>1060</x:v>
      </x:c>
      <x:c r="K986" t="str">
        <x:v>DEMO / SIMULATED</x:v>
      </x:c>
    </x:row>
    <x:row r="987">
      <x:c r="A987" t="str">
        <x:v>JFD-20251016-0562</x:v>
      </x:c>
      <x:c r="B987" s="11" t="n">
        <x:v>45946.79236111111</x:v>
      </x:c>
      <x:c r="C987" s="13" t="n">
        <x:v>0.7923611111111111</x:v>
      </x:c>
      <x:c r="D987" t="str">
        <x:v>Damak</x:v>
      </x:c>
      <x:c r="E987" t="str">
        <x:v>Late Night Cravings</x:v>
      </x:c>
      <x:c r="F987" t="str">
        <x:v>Bottled Water 1L</x:v>
      </x:c>
      <x:c r="G987" t="str">
        <x:v>Drink</x:v>
      </x:c>
      <x:c r="H987" t="n">
        <x:v>3</x:v>
      </x:c>
      <x:c r="I987" s="14" t="n">
        <x:v>40</x:v>
      </x:c>
      <x:c r="J987" s="14" t="n">
        <x:v>120</x:v>
      </x:c>
      <x:c r="K987" t="str">
        <x:v>DEMO / SIMULATED</x:v>
      </x:c>
    </x:row>
    <x:row r="988">
      <x:c r="A988" t="str">
        <x:v>JFD-20251016-0562</x:v>
      </x:c>
      <x:c r="B988" s="11" t="n">
        <x:v>45946.53611111111</x:v>
      </x:c>
      <x:c r="C988" s="13" t="n">
        <x:v>0.5361111111111111</x:v>
      </x:c>
      <x:c r="D988" t="str">
        <x:v>Damak</x:v>
      </x:c>
      <x:c r="E988" t="str">
        <x:v>Late Night Cravings</x:v>
      </x:c>
      <x:c r="F988" t="str">
        <x:v>Coca-Cola 500ml</x:v>
      </x:c>
      <x:c r="G988" t="str">
        <x:v>Drink</x:v>
      </x:c>
      <x:c r="H988" t="n">
        <x:v>1</x:v>
      </x:c>
      <x:c r="I988" s="14" t="n">
        <x:v>95</x:v>
      </x:c>
      <x:c r="J988" s="14" t="n">
        <x:v>95</x:v>
      </x:c>
      <x:c r="K988" t="str">
        <x:v>DEMO / SIMULATED</x:v>
      </x:c>
    </x:row>
    <x:row r="989">
      <x:c r="A989" t="str">
        <x:v>JFD-20240404-0563</x:v>
      </x:c>
      <x:c r="B989" s="11" t="n">
        <x:v>45386.61319444444</x:v>
      </x:c>
      <x:c r="C989" s="13" t="n">
        <x:v>0.6131944444444445</x:v>
      </x:c>
      <x:c r="D989" t="str">
        <x:v>Damak</x:v>
      </x:c>
      <x:c r="E989" t="str">
        <x:v>Late Night Cravings</x:v>
      </x:c>
      <x:c r="F989" t="str">
        <x:v>Mix Fry Rice</x:v>
      </x:c>
      <x:c r="G989" t="str">
        <x:v>Food</x:v>
      </x:c>
      <x:c r="H989" t="n">
        <x:v>2</x:v>
      </x:c>
      <x:c r="I989" s="14" t="n">
        <x:v>245</x:v>
      </x:c>
      <x:c r="J989" s="14" t="n">
        <x:v>490</x:v>
      </x:c>
      <x:c r="K989" t="str">
        <x:v>DEMO / SIMULATED</x:v>
      </x:c>
    </x:row>
    <x:row r="990">
      <x:c r="A990" t="str">
        <x:v>JFD-20240404-0563</x:v>
      </x:c>
      <x:c r="B990" s="11" t="n">
        <x:v>45386.532638888886</x:v>
      </x:c>
      <x:c r="C990" s="13" t="n">
        <x:v>0.5326388888888889</x:v>
      </x:c>
      <x:c r="D990" t="str">
        <x:v>Damak</x:v>
      </x:c>
      <x:c r="E990" t="str">
        <x:v>Late Night Cravings</x:v>
      </x:c>
      <x:c r="F990" t="str">
        <x:v>Bottled Water 1L</x:v>
      </x:c>
      <x:c r="G990" t="str">
        <x:v>Drink</x:v>
      </x:c>
      <x:c r="H990" t="n">
        <x:v>2</x:v>
      </x:c>
      <x:c r="I990" s="14" t="n">
        <x:v>35</x:v>
      </x:c>
      <x:c r="J990" s="14" t="n">
        <x:v>70</x:v>
      </x:c>
      <x:c r="K990" t="str">
        <x:v>DEMO / SIMULATED</x:v>
      </x:c>
    </x:row>
    <x:row r="991">
      <x:c r="A991" t="str">
        <x:v>JFD-20240122-0564</x:v>
      </x:c>
      <x:c r="B991" s="11" t="n">
        <x:v>45313.67916666667</x:v>
      </x:c>
      <x:c r="C991" s="13" t="n">
        <x:v>0.6791666666666667</x:v>
      </x:c>
      <x:c r="D991" t="str">
        <x:v>Damak</x:v>
      </x:c>
      <x:c r="E991" t="str">
        <x:v>Late Night Cravings</x:v>
      </x:c>
      <x:c r="F991" t="str">
        <x:v>Chicken Fry Rice</x:v>
      </x:c>
      <x:c r="G991" t="str">
        <x:v>Food</x:v>
      </x:c>
      <x:c r="H991" t="n">
        <x:v>4</x:v>
      </x:c>
      <x:c r="I991" s="14" t="n">
        <x:v>195</x:v>
      </x:c>
      <x:c r="J991" s="14" t="n">
        <x:v>780</x:v>
      </x:c>
      <x:c r="K991" t="str">
        <x:v>DEMO / SIMULATED</x:v>
      </x:c>
    </x:row>
    <x:row r="992">
      <x:c r="A992" t="str">
        <x:v>JFD-20240122-0564</x:v>
      </x:c>
      <x:c r="B992" s="11" t="n">
        <x:v>45313.75347222222</x:v>
      </x:c>
      <x:c r="C992" s="13" t="n">
        <x:v>0.7534722222222222</x:v>
      </x:c>
      <x:c r="D992" t="str">
        <x:v>Damak</x:v>
      </x:c>
      <x:c r="E992" t="str">
        <x:v>Late Night Cravings</x:v>
      </x:c>
      <x:c r="F992" t="str">
        <x:v>Egg Fry Rice</x:v>
      </x:c>
      <x:c r="G992" t="str">
        <x:v>Food</x:v>
      </x:c>
      <x:c r="H992" t="n">
        <x:v>3</x:v>
      </x:c>
      <x:c r="I992" s="14" t="n">
        <x:v>175</x:v>
      </x:c>
      <x:c r="J992" s="14" t="n">
        <x:v>525</x:v>
      </x:c>
      <x:c r="K992" t="str">
        <x:v>DEMO / SIMULATED</x:v>
      </x:c>
    </x:row>
    <x:row r="993">
      <x:c r="A993" t="str">
        <x:v>JFD-20260727-0565</x:v>
      </x:c>
      <x:c r="B993" s="11" t="n">
        <x:v>46230.91527777778</x:v>
      </x:c>
      <x:c r="C993" s="13" t="n">
        <x:v>0.9152777777777777</x:v>
      </x:c>
      <x:c r="D993" t="str">
        <x:v>Damak</x:v>
      </x:c>
      <x:c r="E993" t="str">
        <x:v>Late Night Cravings</x:v>
      </x:c>
      <x:c r="F993" t="str">
        <x:v>Coca-Cola 500ml</x:v>
      </x:c>
      <x:c r="G993" t="str">
        <x:v>Drink</x:v>
      </x:c>
      <x:c r="H993" t="n">
        <x:v>4</x:v>
      </x:c>
      <x:c r="I993" s="14" t="n">
        <x:v>100</x:v>
      </x:c>
      <x:c r="J993" s="14" t="n">
        <x:v>400</x:v>
      </x:c>
      <x:c r="K993" t="str">
        <x:v>DEMO / SIMULATED</x:v>
      </x:c>
    </x:row>
    <x:row r="994">
      <x:c r="A994" t="str">
        <x:v>JFD-20230329-0566</x:v>
      </x:c>
      <x:c r="B994" s="11" t="n">
        <x:v>45014.79722222222</x:v>
      </x:c>
      <x:c r="C994" s="13" t="n">
        <x:v>0.7972222222222223</x:v>
      </x:c>
      <x:c r="D994" t="str">
        <x:v>Damak</x:v>
      </x:c>
      <x:c r="E994" t="str">
        <x:v>Late Night Cravings</x:v>
      </x:c>
      <x:c r="F994" t="str">
        <x:v>Egg Fry Rice</x:v>
      </x:c>
      <x:c r="G994" t="str">
        <x:v>Food</x:v>
      </x:c>
      <x:c r="H994" t="n">
        <x:v>4</x:v>
      </x:c>
      <x:c r="I994" s="14" t="n">
        <x:v>165</x:v>
      </x:c>
      <x:c r="J994" s="14" t="n">
        <x:v>660</x:v>
      </x:c>
      <x:c r="K994" t="str">
        <x:v>DEMO / SIMULATED</x:v>
      </x:c>
    </x:row>
    <x:row r="995">
      <x:c r="A995" t="str">
        <x:v>JFD-20250227-0567</x:v>
      </x:c>
      <x:c r="B995" s="11" t="n">
        <x:v>45715.447916666664</x:v>
      </x:c>
      <x:c r="C995" s="13" t="n">
        <x:v>0.4479166666666667</x:v>
      </x:c>
      <x:c r="D995" t="str">
        <x:v>Damak</x:v>
      </x:c>
      <x:c r="E995" t="str">
        <x:v>Milan’s Bakery</x:v>
      </x:c>
      <x:c r="F995" t="str">
        <x:v>Black Forest Cake</x:v>
      </x:c>
      <x:c r="G995" t="str">
        <x:v>Food</x:v>
      </x:c>
      <x:c r="H995" t="n">
        <x:v>3</x:v>
      </x:c>
      <x:c r="I995" s="14" t="n">
        <x:v>280</x:v>
      </x:c>
      <x:c r="J995" s="14" t="n">
        <x:v>840</x:v>
      </x:c>
      <x:c r="K995" t="str">
        <x:v>DEMO / SIMULATED</x:v>
      </x:c>
    </x:row>
    <x:row r="996">
      <x:c r="A996" t="str">
        <x:v>JFD-20240405-0568</x:v>
      </x:c>
      <x:c r="B996" s="11" t="n">
        <x:v>45387.54513888889</x:v>
      </x:c>
      <x:c r="C996" s="13" t="n">
        <x:v>0.5451388888888888</x:v>
      </x:c>
      <x:c r="D996" t="str">
        <x:v>Birtamode</x:v>
      </x:c>
      <x:c r="E996" t="str">
        <x:v>Pizza Ghar</x:v>
      </x:c>
      <x:c r="F996" t="str">
        <x:v>Coca-Cola 500ml</x:v>
      </x:c>
      <x:c r="G996" t="str">
        <x:v>Drink</x:v>
      </x:c>
      <x:c r="H996" t="n">
        <x:v>4</x:v>
      </x:c>
      <x:c r="I996" s="14" t="n">
        <x:v>90</x:v>
      </x:c>
      <x:c r="J996" s="14" t="n">
        <x:v>360</x:v>
      </x:c>
      <x:c r="K996" t="str">
        <x:v>DEMO / SIMULATED</x:v>
      </x:c>
    </x:row>
    <x:row r="997">
      <x:c r="A997" t="str">
        <x:v>JFD-20230905-0569</x:v>
      </x:c>
      <x:c r="B997" s="11" t="n">
        <x:v>45174.84722222222</x:v>
      </x:c>
      <x:c r="C997" s="13" t="n">
        <x:v>0.8472222222222222</x:v>
      </x:c>
      <x:c r="D997" t="str">
        <x:v>Damak</x:v>
      </x:c>
      <x:c r="E997" t="str">
        <x:v>Late Night Cravings</x:v>
      </x:c>
      <x:c r="F997" t="str">
        <x:v>Mix Fry Rice</x:v>
      </x:c>
      <x:c r="G997" t="str">
        <x:v>Food</x:v>
      </x:c>
      <x:c r="H997" t="n">
        <x:v>4</x:v>
      </x:c>
      <x:c r="I997" s="14" t="n">
        <x:v>230</x:v>
      </x:c>
      <x:c r="J997" s="14" t="n">
        <x:v>920</x:v>
      </x:c>
      <x:c r="K997" t="str">
        <x:v>DEMO / SIMULATED</x:v>
      </x:c>
    </x:row>
    <x:row r="998">
      <x:c r="A998" t="str">
        <x:v>JFD-20230905-0569</x:v>
      </x:c>
      <x:c r="B998" s="11" t="n">
        <x:v>45174.788194444445</x:v>
      </x:c>
      <x:c r="C998" s="13" t="n">
        <x:v>0.7881944444444444</x:v>
      </x:c>
      <x:c r="D998" t="str">
        <x:v>Damak</x:v>
      </x:c>
      <x:c r="E998" t="str">
        <x:v>Late Night Cravings</x:v>
      </x:c>
      <x:c r="F998" t="str">
        <x:v>Egg Fry Rice</x:v>
      </x:c>
      <x:c r="G998" t="str">
        <x:v>Food</x:v>
      </x:c>
      <x:c r="H998" t="n">
        <x:v>2</x:v>
      </x:c>
      <x:c r="I998" s="14" t="n">
        <x:v>165</x:v>
      </x:c>
      <x:c r="J998" s="14" t="n">
        <x:v>330</x:v>
      </x:c>
      <x:c r="K998" t="str">
        <x:v>DEMO / SIMULATED</x:v>
      </x:c>
    </x:row>
    <x:row r="999">
      <x:c r="A999" t="str">
        <x:v>JFD-20230905-0569</x:v>
      </x:c>
      <x:c r="B999" s="11" t="n">
        <x:v>45174.71111111111</x:v>
      </x:c>
      <x:c r="C999" s="13" t="n">
        <x:v>0.7111111111111111</x:v>
      </x:c>
      <x:c r="D999" t="str">
        <x:v>Damak</x:v>
      </x:c>
      <x:c r="E999" t="str">
        <x:v>Late Night Cravings</x:v>
      </x:c>
      <x:c r="F999" t="str">
        <x:v>Bottled Water 1L</x:v>
      </x:c>
      <x:c r="G999" t="str">
        <x:v>Drink</x:v>
      </x:c>
      <x:c r="H999" t="n">
        <x:v>2</x:v>
      </x:c>
      <x:c r="I999" s="14" t="n">
        <x:v>35</x:v>
      </x:c>
      <x:c r="J999" s="14" t="n">
        <x:v>70</x:v>
      </x:c>
      <x:c r="K999" t="str">
        <x:v>DEMO / SIMULATED</x:v>
      </x:c>
    </x:row>
    <x:row r="1000">
      <x:c r="A1000" t="str">
        <x:v>JFD-20241113-0570</x:v>
      </x:c>
      <x:c r="B1000" s="11" t="n">
        <x:v>45609.46527777778</x:v>
      </x:c>
      <x:c r="C1000" s="13" t="n">
        <x:v>0.4652777777777778</x:v>
      </x:c>
      <x:c r="D1000" t="str">
        <x:v>Birtamode</x:v>
      </x:c>
      <x:c r="E1000" t="str">
        <x:v>Pizza Ghar</x:v>
      </x:c>
      <x:c r="F1000" t="str">
        <x:v>Chicken BBQ Feast Pizza</x:v>
      </x:c>
      <x:c r="G1000" t="str">
        <x:v>Food</x:v>
      </x:c>
      <x:c r="H1000" t="n">
        <x:v>1</x:v>
      </x:c>
      <x:c r="I1000" s="14" t="n">
        <x:v>510</x:v>
      </x:c>
      <x:c r="J1000" s="14" t="n">
        <x:v>510</x:v>
      </x:c>
      <x:c r="K1000" t="str">
        <x:v>DEMO / SIMULATED</x:v>
      </x:c>
    </x:row>
    <x:row r="1001">
      <x:c r="A1001" t="str">
        <x:v>JFD-20241113-0570</x:v>
      </x:c>
      <x:c r="B1001" s="11" t="n">
        <x:v>45609.54513888889</x:v>
      </x:c>
      <x:c r="C1001" s="13" t="n">
        <x:v>0.5451388888888888</x:v>
      </x:c>
      <x:c r="D1001" t="str">
        <x:v>Birtamode</x:v>
      </x:c>
      <x:c r="E1001" t="str">
        <x:v>Pizza Ghar</x:v>
      </x:c>
      <x:c r="F1001" t="str">
        <x:v>Chicken Fried Rice</x:v>
      </x:c>
      <x:c r="G1001" t="str">
        <x:v>Food</x:v>
      </x:c>
      <x:c r="H1001" t="n">
        <x:v>3</x:v>
      </x:c>
      <x:c r="I1001" s="14" t="n">
        <x:v>265</x:v>
      </x:c>
      <x:c r="J1001" s="14" t="n">
        <x:v>795</x:v>
      </x:c>
      <x:c r="K1001" t="str">
        <x:v>DEMO / SIMULATED</x:v>
      </x:c>
    </x:row>
    <x:row r="1002">
      <x:c r="A1002" t="str">
        <x:v>JFD-20241113-0570</x:v>
      </x:c>
      <x:c r="B1002" s="11" t="n">
        <x:v>45609.597916666666</x:v>
      </x:c>
      <x:c r="C1002" s="13" t="n">
        <x:v>0.5979166666666667</x:v>
      </x:c>
      <x:c r="D1002" t="str">
        <x:v>Birtamode</x:v>
      </x:c>
      <x:c r="E1002" t="str">
        <x:v>Pizza Ghar</x:v>
      </x:c>
      <x:c r="F1002" t="str">
        <x:v>Veg Fried Rice</x:v>
      </x:c>
      <x:c r="G1002" t="str">
        <x:v>Food</x:v>
      </x:c>
      <x:c r="H1002" t="n">
        <x:v>4</x:v>
      </x:c>
      <x:c r="I1002" s="14" t="n">
        <x:v>195</x:v>
      </x:c>
      <x:c r="J1002" s="14" t="n">
        <x:v>780</x:v>
      </x:c>
      <x:c r="K1002" t="str">
        <x:v>DEMO / SIMULATED</x:v>
      </x:c>
    </x:row>
    <x:row r="1003">
      <x:c r="A1003" t="str">
        <x:v>JFD-20250208-0571</x:v>
      </x:c>
      <x:c r="B1003" s="11" t="n">
        <x:v>45696.50555555556</x:v>
      </x:c>
      <x:c r="C1003" s="13" t="n">
        <x:v>0.5055555555555555</x:v>
      </x:c>
      <x:c r="D1003" t="str">
        <x:v>Damak</x:v>
      </x:c>
      <x:c r="E1003" t="str">
        <x:v>Late Night Cravings</x:v>
      </x:c>
      <x:c r="F1003" t="str">
        <x:v>Egg Fry Rice</x:v>
      </x:c>
      <x:c r="G1003" t="str">
        <x:v>Food</x:v>
      </x:c>
      <x:c r="H1003" t="n">
        <x:v>1</x:v>
      </x:c>
      <x:c r="I1003" s="14" t="n">
        <x:v>190</x:v>
      </x:c>
      <x:c r="J1003" s="14" t="n">
        <x:v>190</x:v>
      </x:c>
      <x:c r="K1003" t="str">
        <x:v>DEMO / SIMULATED</x:v>
      </x:c>
    </x:row>
    <x:row r="1004">
      <x:c r="A1004" t="str">
        <x:v>JFD-20250208-0571</x:v>
      </x:c>
      <x:c r="B1004" s="11" t="n">
        <x:v>45696.80972222222</x:v>
      </x:c>
      <x:c r="C1004" s="13" t="n">
        <x:v>0.8097222222222222</x:v>
      </x:c>
      <x:c r="D1004" t="str">
        <x:v>Damak</x:v>
      </x:c>
      <x:c r="E1004" t="str">
        <x:v>Late Night Cravings</x:v>
      </x:c>
      <x:c r="F1004" t="str">
        <x:v>Veg Fry Rice</x:v>
      </x:c>
      <x:c r="G1004" t="str">
        <x:v>Food</x:v>
      </x:c>
      <x:c r="H1004" t="n">
        <x:v>1</x:v>
      </x:c>
      <x:c r="I1004" s="14" t="n">
        <x:v>150</x:v>
      </x:c>
      <x:c r="J1004" s="14" t="n">
        <x:v>150</x:v>
      </x:c>
      <x:c r="K1004" t="str">
        <x:v>DEMO / SIMULATED</x:v>
      </x:c>
    </x:row>
    <x:row r="1005">
      <x:c r="A1005" t="str">
        <x:v>JFD-20260527-0572</x:v>
      </x:c>
      <x:c r="B1005" s="11" t="n">
        <x:v>46169.71041666667</x:v>
      </x:c>
      <x:c r="C1005" s="13" t="n">
        <x:v>0.7104166666666667</x:v>
      </x:c>
      <x:c r="D1005" t="str">
        <x:v>Damak</x:v>
      </x:c>
      <x:c r="E1005" t="str">
        <x:v>Late Night Cravings</x:v>
      </x:c>
      <x:c r="F1005" t="str">
        <x:v>Egg Fry Rice</x:v>
      </x:c>
      <x:c r="G1005" t="str">
        <x:v>Food</x:v>
      </x:c>
      <x:c r="H1005" t="n">
        <x:v>3</x:v>
      </x:c>
      <x:c r="I1005" s="14" t="n">
        <x:v>200</x:v>
      </x:c>
      <x:c r="J1005" s="14" t="n">
        <x:v>600</x:v>
      </x:c>
      <x:c r="K1005" t="str">
        <x:v>DEMO / SIMULATED</x:v>
      </x:c>
    </x:row>
    <x:row r="1006">
      <x:c r="A1006" t="str">
        <x:v>JFD-20260527-0572</x:v>
      </x:c>
      <x:c r="B1006" s="11" t="n">
        <x:v>46169.756944444445</x:v>
      </x:c>
      <x:c r="C1006" s="13" t="n">
        <x:v>0.7569444444444444</x:v>
      </x:c>
      <x:c r="D1006" t="str">
        <x:v>Damak</x:v>
      </x:c>
      <x:c r="E1006" t="str">
        <x:v>Late Night Cravings</x:v>
      </x:c>
      <x:c r="F1006" t="str">
        <x:v>Bottled Water 1L</x:v>
      </x:c>
      <x:c r="G1006" t="str">
        <x:v>Drink</x:v>
      </x:c>
      <x:c r="H1006" t="n">
        <x:v>3</x:v>
      </x:c>
      <x:c r="I1006" s="14" t="n">
        <x:v>40</x:v>
      </x:c>
      <x:c r="J1006" s="14" t="n">
        <x:v>120</x:v>
      </x:c>
      <x:c r="K1006" t="str">
        <x:v>DEMO / SIMULATED</x:v>
      </x:c>
    </x:row>
    <x:row r="1007">
      <x:c r="A1007" t="str">
        <x:v>JFD-20260527-0572</x:v>
      </x:c>
      <x:c r="B1007" s="11" t="n">
        <x:v>46169.7875</x:v>
      </x:c>
      <x:c r="C1007" s="13" t="n">
        <x:v>0.7875</x:v>
      </x:c>
      <x:c r="D1007" t="str">
        <x:v>Damak</x:v>
      </x:c>
      <x:c r="E1007" t="str">
        <x:v>Late Night Cravings</x:v>
      </x:c>
      <x:c r="F1007" t="str">
        <x:v>Chicken Fry Rice</x:v>
      </x:c>
      <x:c r="G1007" t="str">
        <x:v>Food</x:v>
      </x:c>
      <x:c r="H1007" t="n">
        <x:v>1</x:v>
      </x:c>
      <x:c r="I1007" s="14" t="n">
        <x:v>220</x:v>
      </x:c>
      <x:c r="J1007" s="14" t="n">
        <x:v>220</x:v>
      </x:c>
      <x:c r="K1007" t="str">
        <x:v>DEMO / SIMULATED</x:v>
      </x:c>
    </x:row>
    <x:row r="1008">
      <x:c r="A1008" t="str">
        <x:v>JFD-20260216-0573</x:v>
      </x:c>
      <x:c r="B1008" s="11" t="n">
        <x:v>46069.47777777778</x:v>
      </x:c>
      <x:c r="C1008" s="13" t="n">
        <x:v>0.4777777777777778</x:v>
      </x:c>
      <x:c r="D1008" t="str">
        <x:v>Birtamode</x:v>
      </x:c>
      <x:c r="E1008" t="str">
        <x:v>Pizza Ghar</x:v>
      </x:c>
      <x:c r="F1008" t="str">
        <x:v>Chicken Fried Rice</x:v>
      </x:c>
      <x:c r="G1008" t="str">
        <x:v>Food</x:v>
      </x:c>
      <x:c r="H1008" t="n">
        <x:v>3</x:v>
      </x:c>
      <x:c r="I1008" s="14" t="n">
        <x:v>300</x:v>
      </x:c>
      <x:c r="J1008" s="14" t="n">
        <x:v>900</x:v>
      </x:c>
      <x:c r="K1008" t="str">
        <x:v>DEMO / SIMULATED</x:v>
      </x:c>
    </x:row>
    <x:row r="1009">
      <x:c r="A1009" t="str">
        <x:v>JFD-20230526-0574</x:v>
      </x:c>
      <x:c r="B1009" s="11" t="n">
        <x:v>45072.72986111111</x:v>
      </x:c>
      <x:c r="C1009" s="13" t="n">
        <x:v>0.7298611111111111</x:v>
      </x:c>
      <x:c r="D1009" t="str">
        <x:v>Birtamode</x:v>
      </x:c>
      <x:c r="E1009" t="str">
        <x:v>The Underground Cafe &amp; Restaurant</x:v>
      </x:c>
      <x:c r="F1009" t="str">
        <x:v>Coca-Cola 500ml</x:v>
      </x:c>
      <x:c r="G1009" t="str">
        <x:v>Drink</x:v>
      </x:c>
      <x:c r="H1009" t="n">
        <x:v>2</x:v>
      </x:c>
      <x:c r="I1009" s="14" t="n">
        <x:v>80</x:v>
      </x:c>
      <x:c r="J1009" s="14" t="n">
        <x:v>160</x:v>
      </x:c>
      <x:c r="K1009" t="str">
        <x:v>DEMO / SIMULATED</x:v>
      </x:c>
    </x:row>
    <x:row r="1010">
      <x:c r="A1010" t="str">
        <x:v>JFD-20230526-0574</x:v>
      </x:c>
      <x:c r="B1010" s="11" t="n">
        <x:v>45072.74652777778</x:v>
      </x:c>
      <x:c r="C1010" s="13" t="n">
        <x:v>0.7465277777777778</x:v>
      </x:c>
      <x:c r="D1010" t="str">
        <x:v>Birtamode</x:v>
      </x:c>
      <x:c r="E1010" t="str">
        <x:v>The Underground Cafe &amp; Restaurant</x:v>
      </x:c>
      <x:c r="F1010" t="str">
        <x:v>Paneer Pakauda</x:v>
      </x:c>
      <x:c r="G1010" t="str">
        <x:v>Food</x:v>
      </x:c>
      <x:c r="H1010" t="n">
        <x:v>2</x:v>
      </x:c>
      <x:c r="I1010" s="14" t="n">
        <x:v>185</x:v>
      </x:c>
      <x:c r="J1010" s="14" t="n">
        <x:v>370</x:v>
      </x:c>
      <x:c r="K1010" t="str">
        <x:v>DEMO / SIMULATED</x:v>
      </x:c>
    </x:row>
    <x:row r="1011">
      <x:c r="A1011" t="str">
        <x:v>JFD-20241217-0575</x:v>
      </x:c>
      <x:c r="B1011" s="11" t="n">
        <x:v>45643.89375</x:v>
      </x:c>
      <x:c r="C1011" s="13" t="n">
        <x:v>0.89375</x:v>
      </x:c>
      <x:c r="D1011" t="str">
        <x:v>Birtamode</x:v>
      </x:c>
      <x:c r="E1011" t="str">
        <x:v>The Underground Cafe &amp; Restaurant</x:v>
      </x:c>
      <x:c r="F1011" t="str">
        <x:v>Aalu Jeera</x:v>
      </x:c>
      <x:c r="G1011" t="str">
        <x:v>Food</x:v>
      </x:c>
      <x:c r="H1011" t="n">
        <x:v>3</x:v>
      </x:c>
      <x:c r="I1011" s="14" t="n">
        <x:v>135</x:v>
      </x:c>
      <x:c r="J1011" s="14" t="n">
        <x:v>405</x:v>
      </x:c>
      <x:c r="K1011" t="str">
        <x:v>DEMO / SIMULATED</x:v>
      </x:c>
    </x:row>
    <x:row r="1012">
      <x:c r="A1012" t="str">
        <x:v>JFD-20241217-0575</x:v>
      </x:c>
      <x:c r="B1012" s="11" t="n">
        <x:v>45643.72986111111</x:v>
      </x:c>
      <x:c r="C1012" s="13" t="n">
        <x:v>0.7298611111111111</x:v>
      </x:c>
      <x:c r="D1012" t="str">
        <x:v>Birtamode</x:v>
      </x:c>
      <x:c r="E1012" t="str">
        <x:v>The Underground Cafe &amp; Restaurant</x:v>
      </x:c>
      <x:c r="F1012" t="str">
        <x:v>Coca-Cola 500ml</x:v>
      </x:c>
      <x:c r="G1012" t="str">
        <x:v>Drink</x:v>
      </x:c>
      <x:c r="H1012" t="n">
        <x:v>4</x:v>
      </x:c>
      <x:c r="I1012" s="14" t="n">
        <x:v>90</x:v>
      </x:c>
      <x:c r="J1012" s="14" t="n">
        <x:v>360</x:v>
      </x:c>
      <x:c r="K1012" t="str">
        <x:v>DEMO / SIMULATED</x:v>
      </x:c>
    </x:row>
    <x:row r="1013">
      <x:c r="A1013" t="str">
        <x:v>JFD-20241217-0575</x:v>
      </x:c>
      <x:c r="B1013" s="11" t="n">
        <x:v>45643.42986111111</x:v>
      </x:c>
      <x:c r="C1013" s="13" t="n">
        <x:v>0.42986111111111114</x:v>
      </x:c>
      <x:c r="D1013" t="str">
        <x:v>Birtamode</x:v>
      </x:c>
      <x:c r="E1013" t="str">
        <x:v>The Underground Cafe &amp; Restaurant</x:v>
      </x:c>
      <x:c r="F1013" t="str">
        <x:v>Paneer Pakauda</x:v>
      </x:c>
      <x:c r="G1013" t="str">
        <x:v>Food</x:v>
      </x:c>
      <x:c r="H1013" t="n">
        <x:v>3</x:v>
      </x:c>
      <x:c r="I1013" s="14" t="n">
        <x:v>200</x:v>
      </x:c>
      <x:c r="J1013" s="14" t="n">
        <x:v>600</x:v>
      </x:c>
      <x:c r="K1013" t="str">
        <x:v>DEMO / SIMULATED</x:v>
      </x:c>
    </x:row>
    <x:row r="1014">
      <x:c r="A1014" t="str">
        <x:v>JFD-20260326-0576</x:v>
      </x:c>
      <x:c r="B1014" s="11" t="n">
        <x:v>46107.447916666664</x:v>
      </x:c>
      <x:c r="C1014" s="13" t="n">
        <x:v>0.4479166666666667</x:v>
      </x:c>
      <x:c r="D1014" t="str">
        <x:v>Birtamode</x:v>
      </x:c>
      <x:c r="E1014" t="str">
        <x:v>Pizza Ghar</x:v>
      </x:c>
      <x:c r="F1014" t="str">
        <x:v>Chicken Fried Rice</x:v>
      </x:c>
      <x:c r="G1014" t="str">
        <x:v>Food</x:v>
      </x:c>
      <x:c r="H1014" t="n">
        <x:v>4</x:v>
      </x:c>
      <x:c r="I1014" s="14" t="n">
        <x:v>300</x:v>
      </x:c>
      <x:c r="J1014" s="14" t="n">
        <x:v>1200</x:v>
      </x:c>
      <x:c r="K1014" t="str">
        <x:v>DEMO / SIMULATED</x:v>
      </x:c>
    </x:row>
    <x:row r="1015">
      <x:c r="A1015" t="str">
        <x:v>JFD-20260322-0577</x:v>
      </x:c>
      <x:c r="B1015" s="11" t="n">
        <x:v>46103.75277777778</x:v>
      </x:c>
      <x:c r="C1015" s="13" t="n">
        <x:v>0.7527777777777778</x:v>
      </x:c>
      <x:c r="D1015" t="str">
        <x:v>Birtamode</x:v>
      </x:c>
      <x:c r="E1015" t="str">
        <x:v>Pizza Ghar</x:v>
      </x:c>
      <x:c r="F1015" t="str">
        <x:v>Bottled Water 1L</x:v>
      </x:c>
      <x:c r="G1015" t="str">
        <x:v>Drink</x:v>
      </x:c>
      <x:c r="H1015" t="n">
        <x:v>4</x:v>
      </x:c>
      <x:c r="I1015" s="14" t="n">
        <x:v>40</x:v>
      </x:c>
      <x:c r="J1015" s="14" t="n">
        <x:v>160</x:v>
      </x:c>
      <x:c r="K1015" t="str">
        <x:v>DEMO / SIMULATED</x:v>
      </x:c>
    </x:row>
    <x:row r="1016">
      <x:c r="A1016" t="str">
        <x:v>JFD-20260322-0577</x:v>
      </x:c>
      <x:c r="B1016" s="11" t="n">
        <x:v>46103.72222222222</x:v>
      </x:c>
      <x:c r="C1016" s="13" t="n">
        <x:v>0.7222222222222222</x:v>
      </x:c>
      <x:c r="D1016" t="str">
        <x:v>Birtamode</x:v>
      </x:c>
      <x:c r="E1016" t="str">
        <x:v>Pizza Ghar</x:v>
      </x:c>
      <x:c r="F1016" t="str">
        <x:v>Chicken BBQ Feast Pizza</x:v>
      </x:c>
      <x:c r="G1016" t="str">
        <x:v>Food</x:v>
      </x:c>
      <x:c r="H1016" t="n">
        <x:v>4</x:v>
      </x:c>
      <x:c r="I1016" s="14" t="n">
        <x:v>580</x:v>
      </x:c>
      <x:c r="J1016" s="14" t="n">
        <x:v>2320</x:v>
      </x:c>
      <x:c r="K1016" t="str">
        <x:v>DEMO / SIMULATED</x:v>
      </x:c>
    </x:row>
    <x:row r="1017">
      <x:c r="A1017" t="str">
        <x:v>JFD-20231103-0578</x:v>
      </x:c>
      <x:c r="B1017" s="11" t="n">
        <x:v>45233.69930555556</x:v>
      </x:c>
      <x:c r="C1017" s="13" t="n">
        <x:v>0.6993055555555555</x:v>
      </x:c>
      <x:c r="D1017" t="str">
        <x:v>Birtamode</x:v>
      </x:c>
      <x:c r="E1017" t="str">
        <x:v>The Underground Cafe &amp; Restaurant</x:v>
      </x:c>
      <x:c r="F1017" t="str">
        <x:v>Veg Pakauda</x:v>
      </x:c>
      <x:c r="G1017" t="str">
        <x:v>Food</x:v>
      </x:c>
      <x:c r="H1017" t="n">
        <x:v>2</x:v>
      </x:c>
      <x:c r="I1017" s="14" t="n">
        <x:v>145</x:v>
      </x:c>
      <x:c r="J1017" s="14" t="n">
        <x:v>290</x:v>
      </x:c>
      <x:c r="K1017" t="str">
        <x:v>DEMO / SIMULATED</x:v>
      </x:c>
    </x:row>
    <x:row r="1018">
      <x:c r="A1018" t="str">
        <x:v>JFD-20260405-0579</x:v>
      </x:c>
      <x:c r="B1018" s="11" t="n">
        <x:v>46117.555555555555</x:v>
      </x:c>
      <x:c r="C1018" s="13" t="n">
        <x:v>0.5555555555555556</x:v>
      </x:c>
      <x:c r="D1018" t="str">
        <x:v>Birtamode</x:v>
      </x:c>
      <x:c r="E1018" t="str">
        <x:v>The Underground Cafe &amp; Restaurant</x:v>
      </x:c>
      <x:c r="F1018" t="str">
        <x:v>Aalu Jeera</x:v>
      </x:c>
      <x:c r="G1018" t="str">
        <x:v>Food</x:v>
      </x:c>
      <x:c r="H1018" t="n">
        <x:v>1</x:v>
      </x:c>
      <x:c r="I1018" s="14" t="n">
        <x:v>155</x:v>
      </x:c>
      <x:c r="J1018" s="14" t="n">
        <x:v>155</x:v>
      </x:c>
      <x:c r="K1018" t="str">
        <x:v>DEMO / SIMULATED</x:v>
      </x:c>
    </x:row>
    <x:row r="1019">
      <x:c r="A1019" t="str">
        <x:v>JFD-20260812-0580</x:v>
      </x:c>
      <x:c r="B1019" s="11" t="n">
        <x:v>46246.77291666667</x:v>
      </x:c>
      <x:c r="C1019" s="13" t="n">
        <x:v>0.7729166666666667</x:v>
      </x:c>
      <x:c r="D1019" t="str">
        <x:v>Damak</x:v>
      </x:c>
      <x:c r="E1019" t="str">
        <x:v>Milan’s Bakery</x:v>
      </x:c>
      <x:c r="F1019" t="str">
        <x:v>Vanilla Cake</x:v>
      </x:c>
      <x:c r="G1019" t="str">
        <x:v>Food</x:v>
      </x:c>
      <x:c r="H1019" t="n">
        <x:v>2</x:v>
      </x:c>
      <x:c r="I1019" s="14" t="n">
        <x:v>300</x:v>
      </x:c>
      <x:c r="J1019" s="14" t="n">
        <x:v>600</x:v>
      </x:c>
      <x:c r="K1019" t="str">
        <x:v>DEMO / SIMULATED</x:v>
      </x:c>
    </x:row>
    <x:row r="1020">
      <x:c r="A1020" t="str">
        <x:v>JFD-20240617-0581</x:v>
      </x:c>
      <x:c r="B1020" s="11" t="n">
        <x:v>45460.57986111111</x:v>
      </x:c>
      <x:c r="C1020" s="13" t="n">
        <x:v>0.5798611111111112</x:v>
      </x:c>
      <x:c r="D1020" t="str">
        <x:v>Damak</x:v>
      </x:c>
      <x:c r="E1020" t="str">
        <x:v>Late Night Cravings</x:v>
      </x:c>
      <x:c r="F1020" t="str">
        <x:v>Coca-Cola 500ml</x:v>
      </x:c>
      <x:c r="G1020" t="str">
        <x:v>Drink</x:v>
      </x:c>
      <x:c r="H1020" t="n">
        <x:v>3</x:v>
      </x:c>
      <x:c r="I1020" s="14" t="n">
        <x:v>90</x:v>
      </x:c>
      <x:c r="J1020" s="14" t="n">
        <x:v>270</x:v>
      </x:c>
      <x:c r="K1020" t="str">
        <x:v>DEMO / SIMULATED</x:v>
      </x:c>
    </x:row>
    <x:row r="1021">
      <x:c r="A1021" t="str">
        <x:v>JFD-20241117-0582</x:v>
      </x:c>
      <x:c r="B1021" s="11" t="n">
        <x:v>45613.43541666667</x:v>
      </x:c>
      <x:c r="C1021" s="13" t="n">
        <x:v>0.4354166666666667</x:v>
      </x:c>
      <x:c r="D1021" t="str">
        <x:v>Damak</x:v>
      </x:c>
      <x:c r="E1021" t="str">
        <x:v>Late Night Cravings</x:v>
      </x:c>
      <x:c r="F1021" t="str">
        <x:v>Veg Fry Rice</x:v>
      </x:c>
      <x:c r="G1021" t="str">
        <x:v>Food</x:v>
      </x:c>
      <x:c r="H1021" t="n">
        <x:v>4</x:v>
      </x:c>
      <x:c r="I1021" s="14" t="n">
        <x:v>140</x:v>
      </x:c>
      <x:c r="J1021" s="14" t="n">
        <x:v>560</x:v>
      </x:c>
      <x:c r="K1021" t="str">
        <x:v>DEMO / SIMULATED</x:v>
      </x:c>
    </x:row>
    <x:row r="1022">
      <x:c r="A1022" t="str">
        <x:v>JFD-20241117-0582</x:v>
      </x:c>
      <x:c r="B1022" s="11" t="n">
        <x:v>45613.893055555556</x:v>
      </x:c>
      <x:c r="C1022" s="13" t="n">
        <x:v>0.8930555555555556</x:v>
      </x:c>
      <x:c r="D1022" t="str">
        <x:v>Damak</x:v>
      </x:c>
      <x:c r="E1022" t="str">
        <x:v>Late Night Cravings</x:v>
      </x:c>
      <x:c r="F1022" t="str">
        <x:v>Coca-Cola 500ml</x:v>
      </x:c>
      <x:c r="G1022" t="str">
        <x:v>Drink</x:v>
      </x:c>
      <x:c r="H1022" t="n">
        <x:v>1</x:v>
      </x:c>
      <x:c r="I1022" s="14" t="n">
        <x:v>90</x:v>
      </x:c>
      <x:c r="J1022" s="14" t="n">
        <x:v>90</x:v>
      </x:c>
      <x:c r="K1022" t="str">
        <x:v>DEMO / SIMULATED</x:v>
      </x:c>
    </x:row>
    <x:row r="1023">
      <x:c r="A1023" t="str">
        <x:v>JFD-20241117-0582</x:v>
      </x:c>
      <x:c r="B1023" s="11" t="n">
        <x:v>45613.82986111111</x:v>
      </x:c>
      <x:c r="C1023" s="13" t="n">
        <x:v>0.8298611111111112</x:v>
      </x:c>
      <x:c r="D1023" t="str">
        <x:v>Damak</x:v>
      </x:c>
      <x:c r="E1023" t="str">
        <x:v>Late Night Cravings</x:v>
      </x:c>
      <x:c r="F1023" t="str">
        <x:v>Egg Fry Rice</x:v>
      </x:c>
      <x:c r="G1023" t="str">
        <x:v>Food</x:v>
      </x:c>
      <x:c r="H1023" t="n">
        <x:v>4</x:v>
      </x:c>
      <x:c r="I1023" s="14" t="n">
        <x:v>175</x:v>
      </x:c>
      <x:c r="J1023" s="14" t="n">
        <x:v>700</x:v>
      </x:c>
      <x:c r="K1023" t="str">
        <x:v>DEMO / SIMULATED</x:v>
      </x:c>
    </x:row>
    <x:row r="1024">
      <x:c r="A1024" t="str">
        <x:v>JFD-20230821-0583</x:v>
      </x:c>
      <x:c r="B1024" s="11" t="n">
        <x:v>45159.48819444444</x:v>
      </x:c>
      <x:c r="C1024" s="13" t="n">
        <x:v>0.48819444444444443</x:v>
      </x:c>
      <x:c r="D1024" t="str">
        <x:v>Birtamode</x:v>
      </x:c>
      <x:c r="E1024" t="str">
        <x:v>The Underground Cafe &amp; Restaurant</x:v>
      </x:c>
      <x:c r="F1024" t="str">
        <x:v>Aalu Jeera</x:v>
      </x:c>
      <x:c r="G1024" t="str">
        <x:v>Food</x:v>
      </x:c>
      <x:c r="H1024" t="n">
        <x:v>4</x:v>
      </x:c>
      <x:c r="I1024" s="14" t="n">
        <x:v>125</x:v>
      </x:c>
      <x:c r="J1024" s="14" t="n">
        <x:v>500</x:v>
      </x:c>
      <x:c r="K1024" t="str">
        <x:v>DEMO / SIMULATED</x:v>
      </x:c>
    </x:row>
    <x:row r="1025">
      <x:c r="A1025" t="str">
        <x:v>JFD-20230821-0583</x:v>
      </x:c>
      <x:c r="B1025" s="11" t="n">
        <x:v>45159.62222222222</x:v>
      </x:c>
      <x:c r="C1025" s="13" t="n">
        <x:v>0.6222222222222222</x:v>
      </x:c>
      <x:c r="D1025" t="str">
        <x:v>Birtamode</x:v>
      </x:c>
      <x:c r="E1025" t="str">
        <x:v>The Underground Cafe &amp; Restaurant</x:v>
      </x:c>
      <x:c r="F1025" t="str">
        <x:v>Coca-Cola 500ml</x:v>
      </x:c>
      <x:c r="G1025" t="str">
        <x:v>Drink</x:v>
      </x:c>
      <x:c r="H1025" t="n">
        <x:v>4</x:v>
      </x:c>
      <x:c r="I1025" s="14" t="n">
        <x:v>80</x:v>
      </x:c>
      <x:c r="J1025" s="14" t="n">
        <x:v>320</x:v>
      </x:c>
      <x:c r="K1025" t="str">
        <x:v>DEMO / SIMULATED</x:v>
      </x:c>
    </x:row>
    <x:row r="1026">
      <x:c r="A1026" t="str">
        <x:v>JFD-20230821-0583</x:v>
      </x:c>
      <x:c r="B1026" s="11" t="n">
        <x:v>45159.799305555556</x:v>
      </x:c>
      <x:c r="C1026" s="13" t="n">
        <x:v>0.7993055555555556</x:v>
      </x:c>
      <x:c r="D1026" t="str">
        <x:v>Birtamode</x:v>
      </x:c>
      <x:c r="E1026" t="str">
        <x:v>The Underground Cafe &amp; Restaurant</x:v>
      </x:c>
      <x:c r="F1026" t="str">
        <x:v>Veg Pakauda</x:v>
      </x:c>
      <x:c r="G1026" t="str">
        <x:v>Food</x:v>
      </x:c>
      <x:c r="H1026" t="n">
        <x:v>1</x:v>
      </x:c>
      <x:c r="I1026" s="14" t="n">
        <x:v>145</x:v>
      </x:c>
      <x:c r="J1026" s="14" t="n">
        <x:v>145</x:v>
      </x:c>
      <x:c r="K1026" t="str">
        <x:v>DEMO / SIMULATED</x:v>
      </x:c>
    </x:row>
    <x:row r="1027">
      <x:c r="A1027" t="str">
        <x:v>JFD-20230713-0584</x:v>
      </x:c>
      <x:c r="B1027" s="11" t="n">
        <x:v>45120.71666666667</x:v>
      </x:c>
      <x:c r="C1027" s="13" t="n">
        <x:v>0.7166666666666667</x:v>
      </x:c>
      <x:c r="D1027" t="str">
        <x:v>Birtamode</x:v>
      </x:c>
      <x:c r="E1027" t="str">
        <x:v>Pizza Ghar</x:v>
      </x:c>
      <x:c r="F1027" t="str">
        <x:v>Chicken BBQ Feast Pizza</x:v>
      </x:c>
      <x:c r="G1027" t="str">
        <x:v>Food</x:v>
      </x:c>
      <x:c r="H1027" t="n">
        <x:v>2</x:v>
      </x:c>
      <x:c r="I1027" s="14" t="n">
        <x:v>475</x:v>
      </x:c>
      <x:c r="J1027" s="14" t="n">
        <x:v>950</x:v>
      </x:c>
      <x:c r="K1027" t="str">
        <x:v>DEMO / SIMULATED</x:v>
      </x:c>
    </x:row>
    <x:row r="1028">
      <x:c r="A1028" t="str">
        <x:v>JFD-20230604-0585</x:v>
      </x:c>
      <x:c r="B1028" s="11" t="n">
        <x:v>45081.55416666667</x:v>
      </x:c>
      <x:c r="C1028" s="13" t="n">
        <x:v>0.5541666666666667</x:v>
      </x:c>
      <x:c r="D1028" t="str">
        <x:v>Birtamode</x:v>
      </x:c>
      <x:c r="E1028" t="str">
        <x:v>The Underground Cafe &amp; Restaurant</x:v>
      </x:c>
      <x:c r="F1028" t="str">
        <x:v>Bottled Water 1L</x:v>
      </x:c>
      <x:c r="G1028" t="str">
        <x:v>Drink</x:v>
      </x:c>
      <x:c r="H1028" t="n">
        <x:v>2</x:v>
      </x:c>
      <x:c r="I1028" s="14" t="n">
        <x:v>35</x:v>
      </x:c>
      <x:c r="J1028" s="14" t="n">
        <x:v>70</x:v>
      </x:c>
      <x:c r="K1028" t="str">
        <x:v>DEMO / SIMULATED</x:v>
      </x:c>
    </x:row>
    <x:row r="1029">
      <x:c r="A1029" t="str">
        <x:v>JFD-20261005-0586</x:v>
      </x:c>
      <x:c r="B1029" s="11" t="n">
        <x:v>46300.54652777778</x:v>
      </x:c>
      <x:c r="C1029" s="13" t="n">
        <x:v>0.5465277777777777</x:v>
      </x:c>
      <x:c r="D1029" t="str">
        <x:v>Damak</x:v>
      </x:c>
      <x:c r="E1029" t="str">
        <x:v>Milan’s Bakery</x:v>
      </x:c>
      <x:c r="F1029" t="str">
        <x:v>Vanilla Cake</x:v>
      </x:c>
      <x:c r="G1029" t="str">
        <x:v>Food</x:v>
      </x:c>
      <x:c r="H1029" t="n">
        <x:v>1</x:v>
      </x:c>
      <x:c r="I1029" s="14" t="n">
        <x:v>300</x:v>
      </x:c>
      <x:c r="J1029" s="14" t="n">
        <x:v>300</x:v>
      </x:c>
      <x:c r="K1029" t="str">
        <x:v>DEMO / SIMULATED</x:v>
      </x:c>
    </x:row>
    <x:row r="1030">
      <x:c r="A1030" t="str">
        <x:v>JFD-20230116-0587</x:v>
      </x:c>
      <x:c r="B1030" s="11" t="n">
        <x:v>44942.861805555556</x:v>
      </x:c>
      <x:c r="C1030" s="13" t="n">
        <x:v>0.8618055555555556</x:v>
      </x:c>
      <x:c r="D1030" t="str">
        <x:v>Damak</x:v>
      </x:c>
      <x:c r="E1030" t="str">
        <x:v>Milan’s Bakery</x:v>
      </x:c>
      <x:c r="F1030" t="str">
        <x:v>Red Velvet Cake</x:v>
      </x:c>
      <x:c r="G1030" t="str">
        <x:v>Food</x:v>
      </x:c>
      <x:c r="H1030" t="n">
        <x:v>4</x:v>
      </x:c>
      <x:c r="I1030" s="14" t="n">
        <x:v>740</x:v>
      </x:c>
      <x:c r="J1030" s="14" t="n">
        <x:v>2960</x:v>
      </x:c>
      <x:c r="K1030" t="str">
        <x:v>DEMO / SIMULATED</x:v>
      </x:c>
    </x:row>
    <x:row r="1031">
      <x:c r="A1031" t="str">
        <x:v>JFD-20230116-0587</x:v>
      </x:c>
      <x:c r="B1031" s="11" t="n">
        <x:v>44942.694444444445</x:v>
      </x:c>
      <x:c r="C1031" s="13" t="n">
        <x:v>0.6944444444444444</x:v>
      </x:c>
      <x:c r="D1031" t="str">
        <x:v>Damak</x:v>
      </x:c>
      <x:c r="E1031" t="str">
        <x:v>Milan’s Bakery</x:v>
      </x:c>
      <x:c r="F1031" t="str">
        <x:v>Vanilla Cake</x:v>
      </x:c>
      <x:c r="G1031" t="str">
        <x:v>Food</x:v>
      </x:c>
      <x:c r="H1031" t="n">
        <x:v>1</x:v>
      </x:c>
      <x:c r="I1031" s="14" t="n">
        <x:v>245</x:v>
      </x:c>
      <x:c r="J1031" s="14" t="n">
        <x:v>245</x:v>
      </x:c>
      <x:c r="K1031" t="str">
        <x:v>DEMO / SIMULATED</x:v>
      </x:c>
    </x:row>
    <x:row r="1032">
      <x:c r="A1032" t="str">
        <x:v>JFD-20230116-0587</x:v>
      </x:c>
      <x:c r="B1032" s="11" t="n">
        <x:v>44942.80694444444</x:v>
      </x:c>
      <x:c r="C1032" s="13" t="n">
        <x:v>0.8069444444444445</x:v>
      </x:c>
      <x:c r="D1032" t="str">
        <x:v>Damak</x:v>
      </x:c>
      <x:c r="E1032" t="str">
        <x:v>Milan’s Bakery</x:v>
      </x:c>
      <x:c r="F1032" t="str">
        <x:v>Bottled Water 1L</x:v>
      </x:c>
      <x:c r="G1032" t="str">
        <x:v>Drink</x:v>
      </x:c>
      <x:c r="H1032" t="n">
        <x:v>3</x:v>
      </x:c>
      <x:c r="I1032" s="14" t="n">
        <x:v>35</x:v>
      </x:c>
      <x:c r="J1032" s="14" t="n">
        <x:v>105</x:v>
      </x:c>
      <x:c r="K1032" t="str">
        <x:v>DEMO / SIMULATED</x:v>
      </x:c>
    </x:row>
    <x:row r="1033">
      <x:c r="A1033" t="str">
        <x:v>JFD-20230720-0588</x:v>
      </x:c>
      <x:c r="B1033" s="11" t="n">
        <x:v>45127.58472222222</x:v>
      </x:c>
      <x:c r="C1033" s="13" t="n">
        <x:v>0.5847222222222223</x:v>
      </x:c>
      <x:c r="D1033" t="str">
        <x:v>Birtamode</x:v>
      </x:c>
      <x:c r="E1033" t="str">
        <x:v>The Underground Cafe &amp; Restaurant</x:v>
      </x:c>
      <x:c r="F1033" t="str">
        <x:v>Bottled Water 1L</x:v>
      </x:c>
      <x:c r="G1033" t="str">
        <x:v>Drink</x:v>
      </x:c>
      <x:c r="H1033" t="n">
        <x:v>4</x:v>
      </x:c>
      <x:c r="I1033" s="14" t="n">
        <x:v>35</x:v>
      </x:c>
      <x:c r="J1033" s="14" t="n">
        <x:v>140</x:v>
      </x:c>
      <x:c r="K1033" t="str">
        <x:v>DEMO / SIMULATED</x:v>
      </x:c>
    </x:row>
    <x:row r="1034">
      <x:c r="A1034" t="str">
        <x:v>JFD-20230720-0588</x:v>
      </x:c>
      <x:c r="B1034" s="11" t="n">
        <x:v>45127.85763888889</x:v>
      </x:c>
      <x:c r="C1034" s="13" t="n">
        <x:v>0.8576388888888888</x:v>
      </x:c>
      <x:c r="D1034" t="str">
        <x:v>Birtamode</x:v>
      </x:c>
      <x:c r="E1034" t="str">
        <x:v>The Underground Cafe &amp; Restaurant</x:v>
      </x:c>
      <x:c r="F1034" t="str">
        <x:v>Veg Pakauda</x:v>
      </x:c>
      <x:c r="G1034" t="str">
        <x:v>Food</x:v>
      </x:c>
      <x:c r="H1034" t="n">
        <x:v>3</x:v>
      </x:c>
      <x:c r="I1034" s="14" t="n">
        <x:v>145</x:v>
      </x:c>
      <x:c r="J1034" s="14" t="n">
        <x:v>435</x:v>
      </x:c>
      <x:c r="K1034" t="str">
        <x:v>DEMO / SIMULATED</x:v>
      </x:c>
    </x:row>
    <x:row r="1035">
      <x:c r="A1035" t="str">
        <x:v>JFD-20260210-0589</x:v>
      </x:c>
      <x:c r="B1035" s="11" t="n">
        <x:v>46063.91180555556</x:v>
      </x:c>
      <x:c r="C1035" s="13" t="n">
        <x:v>0.9118055555555555</x:v>
      </x:c>
      <x:c r="D1035" t="str">
        <x:v>Birtamode</x:v>
      </x:c>
      <x:c r="E1035" t="str">
        <x:v>Pizza Ghar</x:v>
      </x:c>
      <x:c r="F1035" t="str">
        <x:v>Veg Fried Rice</x:v>
      </x:c>
      <x:c r="G1035" t="str">
        <x:v>Food</x:v>
      </x:c>
      <x:c r="H1035" t="n">
        <x:v>4</x:v>
      </x:c>
      <x:c r="I1035" s="14" t="n">
        <x:v>220</x:v>
      </x:c>
      <x:c r="J1035" s="14" t="n">
        <x:v>880</x:v>
      </x:c>
      <x:c r="K1035" t="str">
        <x:v>DEMO / SIMULATED</x:v>
      </x:c>
    </x:row>
    <x:row r="1036">
      <x:c r="A1036" t="str">
        <x:v>JFD-20230921-0590</x:v>
      </x:c>
      <x:c r="B1036" s="11" t="n">
        <x:v>45190.59375</x:v>
      </x:c>
      <x:c r="C1036" s="13" t="n">
        <x:v>0.59375</x:v>
      </x:c>
      <x:c r="D1036" t="str">
        <x:v>Birtamode</x:v>
      </x:c>
      <x:c r="E1036" t="str">
        <x:v>The Underground Cafe &amp; Restaurant</x:v>
      </x:c>
      <x:c r="F1036" t="str">
        <x:v>Coca-Cola 500ml</x:v>
      </x:c>
      <x:c r="G1036" t="str">
        <x:v>Drink</x:v>
      </x:c>
      <x:c r="H1036" t="n">
        <x:v>3</x:v>
      </x:c>
      <x:c r="I1036" s="14" t="n">
        <x:v>80</x:v>
      </x:c>
      <x:c r="J1036" s="14" t="n">
        <x:v>240</x:v>
      </x:c>
      <x:c r="K1036" t="str">
        <x:v>DEMO / SIMULATED</x:v>
      </x:c>
    </x:row>
    <x:row r="1037">
      <x:c r="A1037" t="str">
        <x:v>JFD-20230921-0590</x:v>
      </x:c>
      <x:c r="B1037" s="11" t="n">
        <x:v>45190.74722222222</x:v>
      </x:c>
      <x:c r="C1037" s="13" t="n">
        <x:v>0.7472222222222222</x:v>
      </x:c>
      <x:c r="D1037" t="str">
        <x:v>Birtamode</x:v>
      </x:c>
      <x:c r="E1037" t="str">
        <x:v>The Underground Cafe &amp; Restaurant</x:v>
      </x:c>
      <x:c r="F1037" t="str">
        <x:v>Veg Pakauda</x:v>
      </x:c>
      <x:c r="G1037" t="str">
        <x:v>Food</x:v>
      </x:c>
      <x:c r="H1037" t="n">
        <x:v>4</x:v>
      </x:c>
      <x:c r="I1037" s="14" t="n">
        <x:v>145</x:v>
      </x:c>
      <x:c r="J1037" s="14" t="n">
        <x:v>580</x:v>
      </x:c>
      <x:c r="K1037" t="str">
        <x:v>DEMO / SIMULATED</x:v>
      </x:c>
    </x:row>
    <x:row r="1038">
      <x:c r="A1038" t="str">
        <x:v>JFD-20260818-0591</x:v>
      </x:c>
      <x:c r="B1038" s="11" t="n">
        <x:v>46252.745833333334</x:v>
      </x:c>
      <x:c r="C1038" s="13" t="n">
        <x:v>0.7458333333333333</x:v>
      </x:c>
      <x:c r="D1038" t="str">
        <x:v>Damak</x:v>
      </x:c>
      <x:c r="E1038" t="str">
        <x:v>Milan’s Bakery</x:v>
      </x:c>
      <x:c r="F1038" t="str">
        <x:v>Vanilla Cake</x:v>
      </x:c>
      <x:c r="G1038" t="str">
        <x:v>Food</x:v>
      </x:c>
      <x:c r="H1038" t="n">
        <x:v>1</x:v>
      </x:c>
      <x:c r="I1038" s="14" t="n">
        <x:v>300</x:v>
      </x:c>
      <x:c r="J1038" s="14" t="n">
        <x:v>300</x:v>
      </x:c>
      <x:c r="K1038" t="str">
        <x:v>DEMO / SIMULATED</x:v>
      </x:c>
    </x:row>
    <x:row r="1039">
      <x:c r="A1039" t="str">
        <x:v>JFD-20260818-0591</x:v>
      </x:c>
      <x:c r="B1039" s="11" t="n">
        <x:v>46252.822916666664</x:v>
      </x:c>
      <x:c r="C1039" s="13" t="n">
        <x:v>0.8229166666666666</x:v>
      </x:c>
      <x:c r="D1039" t="str">
        <x:v>Damak</x:v>
      </x:c>
      <x:c r="E1039" t="str">
        <x:v>Milan’s Bakery</x:v>
      </x:c>
      <x:c r="F1039" t="str">
        <x:v>Black Forest Cake</x:v>
      </x:c>
      <x:c r="G1039" t="str">
        <x:v>Food</x:v>
      </x:c>
      <x:c r="H1039" t="n">
        <x:v>3</x:v>
      </x:c>
      <x:c r="I1039" s="14" t="n">
        <x:v>300</x:v>
      </x:c>
      <x:c r="J1039" s="14" t="n">
        <x:v>900</x:v>
      </x:c>
      <x:c r="K1039" t="str">
        <x:v>DEMO / SIMULATED</x:v>
      </x:c>
    </x:row>
    <x:row r="1040">
      <x:c r="A1040" t="str">
        <x:v>JFD-20240915-0592</x:v>
      </x:c>
      <x:c r="B1040" s="11" t="n">
        <x:v>45550.81041666667</x:v>
      </x:c>
      <x:c r="C1040" s="13" t="n">
        <x:v>0.8104166666666667</x:v>
      </x:c>
      <x:c r="D1040" t="str">
        <x:v>Birtamode</x:v>
      </x:c>
      <x:c r="E1040" t="str">
        <x:v>Pizza Ghar</x:v>
      </x:c>
      <x:c r="F1040" t="str">
        <x:v>Egg Fried Rice</x:v>
      </x:c>
      <x:c r="G1040" t="str">
        <x:v>Food</x:v>
      </x:c>
      <x:c r="H1040" t="n">
        <x:v>1</x:v>
      </x:c>
      <x:c r="I1040" s="14" t="n">
        <x:v>240</x:v>
      </x:c>
      <x:c r="J1040" s="14" t="n">
        <x:v>240</x:v>
      </x:c>
      <x:c r="K1040" t="str">
        <x:v>DEMO / SIMULATED</x:v>
      </x:c>
    </x:row>
    <x:row r="1041">
      <x:c r="A1041" t="str">
        <x:v>JFD-20240915-0592</x:v>
      </x:c>
      <x:c r="B1041" s="11" t="n">
        <x:v>45550.86111111111</x:v>
      </x:c>
      <x:c r="C1041" s="13" t="n">
        <x:v>0.8611111111111112</x:v>
      </x:c>
      <x:c r="D1041" t="str">
        <x:v>Birtamode</x:v>
      </x:c>
      <x:c r="E1041" t="str">
        <x:v>Pizza Ghar</x:v>
      </x:c>
      <x:c r="F1041" t="str">
        <x:v>Bottled Water 1L</x:v>
      </x:c>
      <x:c r="G1041" t="str">
        <x:v>Drink</x:v>
      </x:c>
      <x:c r="H1041" t="n">
        <x:v>2</x:v>
      </x:c>
      <x:c r="I1041" s="14" t="n">
        <x:v>35</x:v>
      </x:c>
      <x:c r="J1041" s="14" t="n">
        <x:v>70</x:v>
      </x:c>
      <x:c r="K1041" t="str">
        <x:v>DEMO / SIMULATED</x:v>
      </x:c>
    </x:row>
    <x:row r="1042">
      <x:c r="A1042" t="str">
        <x:v>JFD-20240813-0593</x:v>
      </x:c>
      <x:c r="B1042" s="11" t="n">
        <x:v>45517.83819444444</x:v>
      </x:c>
      <x:c r="C1042" s="13" t="n">
        <x:v>0.8381944444444445</x:v>
      </x:c>
      <x:c r="D1042" t="str">
        <x:v>Birtamode</x:v>
      </x:c>
      <x:c r="E1042" t="str">
        <x:v>The Underground Cafe &amp; Restaurant</x:v>
      </x:c>
      <x:c r="F1042" t="str">
        <x:v>Aalu Jeera</x:v>
      </x:c>
      <x:c r="G1042" t="str">
        <x:v>Food</x:v>
      </x:c>
      <x:c r="H1042" t="n">
        <x:v>2</x:v>
      </x:c>
      <x:c r="I1042" s="14" t="n">
        <x:v>135</x:v>
      </x:c>
      <x:c r="J1042" s="14" t="n">
        <x:v>270</x:v>
      </x:c>
      <x:c r="K1042" t="str">
        <x:v>DEMO / SIMULATED</x:v>
      </x:c>
    </x:row>
    <x:row r="1043">
      <x:c r="A1043" t="str">
        <x:v>JFD-20230603-0594</x:v>
      </x:c>
      <x:c r="B1043" s="11" t="n">
        <x:v>45080.58611111111</x:v>
      </x:c>
      <x:c r="C1043" s="13" t="n">
        <x:v>0.5861111111111111</x:v>
      </x:c>
      <x:c r="D1043" t="str">
        <x:v>Birtamode</x:v>
      </x:c>
      <x:c r="E1043" t="str">
        <x:v>Pizza Ghar</x:v>
      </x:c>
      <x:c r="F1043" t="str">
        <x:v>Chicken BBQ Feast Pizza</x:v>
      </x:c>
      <x:c r="G1043" t="str">
        <x:v>Food</x:v>
      </x:c>
      <x:c r="H1043" t="n">
        <x:v>1</x:v>
      </x:c>
      <x:c r="I1043" s="14" t="n">
        <x:v>475</x:v>
      </x:c>
      <x:c r="J1043" s="14" t="n">
        <x:v>475</x:v>
      </x:c>
      <x:c r="K1043" t="str">
        <x:v>DEMO / SIMULATED</x:v>
      </x:c>
    </x:row>
    <x:row r="1044">
      <x:c r="A1044" t="str">
        <x:v>JFD-20230603-0594</x:v>
      </x:c>
      <x:c r="B1044" s="11" t="n">
        <x:v>45080.77638888889</x:v>
      </x:c>
      <x:c r="C1044" s="13" t="n">
        <x:v>0.7763888888888889</x:v>
      </x:c>
      <x:c r="D1044" t="str">
        <x:v>Birtamode</x:v>
      </x:c>
      <x:c r="E1044" t="str">
        <x:v>Pizza Ghar</x:v>
      </x:c>
      <x:c r="F1044" t="str">
        <x:v>Egg Fried Rice</x:v>
      </x:c>
      <x:c r="G1044" t="str">
        <x:v>Food</x:v>
      </x:c>
      <x:c r="H1044" t="n">
        <x:v>4</x:v>
      </x:c>
      <x:c r="I1044" s="14" t="n">
        <x:v>220</x:v>
      </x:c>
      <x:c r="J1044" s="14" t="n">
        <x:v>880</x:v>
      </x:c>
      <x:c r="K1044" t="str">
        <x:v>DEMO / SIMULATED</x:v>
      </x:c>
    </x:row>
    <x:row r="1045">
      <x:c r="A1045" t="str">
        <x:v>JFD-20230603-0594</x:v>
      </x:c>
      <x:c r="B1045" s="11" t="n">
        <x:v>45080.66875</x:v>
      </x:c>
      <x:c r="C1045" s="13" t="n">
        <x:v>0.66875</x:v>
      </x:c>
      <x:c r="D1045" t="str">
        <x:v>Birtamode</x:v>
      </x:c>
      <x:c r="E1045" t="str">
        <x:v>Pizza Ghar</x:v>
      </x:c>
      <x:c r="F1045" t="str">
        <x:v>Coca-Cola 500ml</x:v>
      </x:c>
      <x:c r="G1045" t="str">
        <x:v>Drink</x:v>
      </x:c>
      <x:c r="H1045" t="n">
        <x:v>3</x:v>
      </x:c>
      <x:c r="I1045" s="14" t="n">
        <x:v>80</x:v>
      </x:c>
      <x:c r="J1045" s="14" t="n">
        <x:v>240</x:v>
      </x:c>
      <x:c r="K1045" t="str">
        <x:v>DEMO / SIMULATED</x:v>
      </x:c>
    </x:row>
    <x:row r="1046">
      <x:c r="A1046" t="str">
        <x:v>JFD-20230318-0595</x:v>
      </x:c>
      <x:c r="B1046" s="11" t="n">
        <x:v>45003.79027777778</x:v>
      </x:c>
      <x:c r="C1046" s="13" t="n">
        <x:v>0.7902777777777777</x:v>
      </x:c>
      <x:c r="D1046" t="str">
        <x:v>Damak</x:v>
      </x:c>
      <x:c r="E1046" t="str">
        <x:v>Late Night Cravings</x:v>
      </x:c>
      <x:c r="F1046" t="str">
        <x:v>Chicken Fry Rice</x:v>
      </x:c>
      <x:c r="G1046" t="str">
        <x:v>Food</x:v>
      </x:c>
      <x:c r="H1046" t="n">
        <x:v>4</x:v>
      </x:c>
      <x:c r="I1046" s="14" t="n">
        <x:v>180</x:v>
      </x:c>
      <x:c r="J1046" s="14" t="n">
        <x:v>720</x:v>
      </x:c>
      <x:c r="K1046" t="str">
        <x:v>DEMO / SIMULATED</x:v>
      </x:c>
    </x:row>
    <x:row r="1047">
      <x:c r="A1047" t="str">
        <x:v>JFD-20250715-0596</x:v>
      </x:c>
      <x:c r="B1047" s="11" t="n">
        <x:v>45853.549305555556</x:v>
      </x:c>
      <x:c r="C1047" s="13" t="n">
        <x:v>0.5493055555555556</x:v>
      </x:c>
      <x:c r="D1047" t="str">
        <x:v>Damak</x:v>
      </x:c>
      <x:c r="E1047" t="str">
        <x:v>Milan’s Bakery</x:v>
      </x:c>
      <x:c r="F1047" t="str">
        <x:v>Bottled Water 1L</x:v>
      </x:c>
      <x:c r="G1047" t="str">
        <x:v>Drink</x:v>
      </x:c>
      <x:c r="H1047" t="n">
        <x:v>1</x:v>
      </x:c>
      <x:c r="I1047" s="14" t="n">
        <x:v>40</x:v>
      </x:c>
      <x:c r="J1047" s="14" t="n">
        <x:v>40</x:v>
      </x:c>
      <x:c r="K1047" t="str">
        <x:v>DEMO / SIMULATED</x:v>
      </x:c>
    </x:row>
    <x:row r="1048">
      <x:c r="A1048" t="str">
        <x:v>JFD-20250715-0596</x:v>
      </x:c>
      <x:c r="B1048" s="11" t="n">
        <x:v>45853.77638888889</x:v>
      </x:c>
      <x:c r="C1048" s="13" t="n">
        <x:v>0.7763888888888889</x:v>
      </x:c>
      <x:c r="D1048" t="str">
        <x:v>Damak</x:v>
      </x:c>
      <x:c r="E1048" t="str">
        <x:v>Milan’s Bakery</x:v>
      </x:c>
      <x:c r="F1048" t="str">
        <x:v>Red Velvet Cake</x:v>
      </x:c>
      <x:c r="G1048" t="str">
        <x:v>Food</x:v>
      </x:c>
      <x:c r="H1048" t="n">
        <x:v>4</x:v>
      </x:c>
      <x:c r="I1048" s="14" t="n">
        <x:v>845</x:v>
      </x:c>
      <x:c r="J1048" s="14" t="n">
        <x:v>3380</x:v>
      </x:c>
      <x:c r="K1048" t="str">
        <x:v>DEMO / SIMULATED</x:v>
      </x:c>
    </x:row>
    <x:row r="1049">
      <x:c r="A1049" t="str">
        <x:v>JFD-20230520-0597</x:v>
      </x:c>
      <x:c r="B1049" s="11" t="n">
        <x:v>45066.875</x:v>
      </x:c>
      <x:c r="C1049" s="13" t="n">
        <x:v>0.875</x:v>
      </x:c>
      <x:c r="D1049" t="str">
        <x:v>Damak</x:v>
      </x:c>
      <x:c r="E1049" t="str">
        <x:v>Late Night Cravings</x:v>
      </x:c>
      <x:c r="F1049" t="str">
        <x:v>Chicken Fry Rice</x:v>
      </x:c>
      <x:c r="G1049" t="str">
        <x:v>Food</x:v>
      </x:c>
      <x:c r="H1049" t="n">
        <x:v>2</x:v>
      </x:c>
      <x:c r="I1049" s="14" t="n">
        <x:v>180</x:v>
      </x:c>
      <x:c r="J1049" s="14" t="n">
        <x:v>360</x:v>
      </x:c>
      <x:c r="K1049" t="str">
        <x:v>DEMO / SIMULATED</x:v>
      </x:c>
    </x:row>
    <x:row r="1050">
      <x:c r="A1050" t="str">
        <x:v>JFD-20230520-0597</x:v>
      </x:c>
      <x:c r="B1050" s="11" t="n">
        <x:v>45066.82916666667</x:v>
      </x:c>
      <x:c r="C1050" s="13" t="n">
        <x:v>0.8291666666666667</x:v>
      </x:c>
      <x:c r="D1050" t="str">
        <x:v>Damak</x:v>
      </x:c>
      <x:c r="E1050" t="str">
        <x:v>Late Night Cravings</x:v>
      </x:c>
      <x:c r="F1050" t="str">
        <x:v>Mix Fry Rice</x:v>
      </x:c>
      <x:c r="G1050" t="str">
        <x:v>Food</x:v>
      </x:c>
      <x:c r="H1050" t="n">
        <x:v>4</x:v>
      </x:c>
      <x:c r="I1050" s="14" t="n">
        <x:v>230</x:v>
      </x:c>
      <x:c r="J1050" s="14" t="n">
        <x:v>920</x:v>
      </x:c>
      <x:c r="K1050" t="str">
        <x:v>DEMO / SIMULATED</x:v>
      </x:c>
    </x:row>
    <x:row r="1051">
      <x:c r="A1051" t="str">
        <x:v>JFD-20230520-0597</x:v>
      </x:c>
      <x:c r="B1051" s="11" t="n">
        <x:v>45066.50763888889</x:v>
      </x:c>
      <x:c r="C1051" s="13" t="n">
        <x:v>0.5076388888888889</x:v>
      </x:c>
      <x:c r="D1051" t="str">
        <x:v>Damak</x:v>
      </x:c>
      <x:c r="E1051" t="str">
        <x:v>Late Night Cravings</x:v>
      </x:c>
      <x:c r="F1051" t="str">
        <x:v>Egg Fry Rice</x:v>
      </x:c>
      <x:c r="G1051" t="str">
        <x:v>Food</x:v>
      </x:c>
      <x:c r="H1051" t="n">
        <x:v>2</x:v>
      </x:c>
      <x:c r="I1051" s="14" t="n">
        <x:v>165</x:v>
      </x:c>
      <x:c r="J1051" s="14" t="n">
        <x:v>330</x:v>
      </x:c>
      <x:c r="K1051" t="str">
        <x:v>DEMO / SIMULATED</x:v>
      </x:c>
    </x:row>
    <x:row r="1052">
      <x:c r="A1052" t="str">
        <x:v>JFD-20260611-0598</x:v>
      </x:c>
      <x:c r="B1052" s="11" t="n">
        <x:v>46184.5875</x:v>
      </x:c>
      <x:c r="C1052" s="13" t="n">
        <x:v>0.5875</x:v>
      </x:c>
      <x:c r="D1052" t="str">
        <x:v>Birtamode</x:v>
      </x:c>
      <x:c r="E1052" t="str">
        <x:v>Pizza Ghar</x:v>
      </x:c>
      <x:c r="F1052" t="str">
        <x:v>Chicken Fried Rice</x:v>
      </x:c>
      <x:c r="G1052" t="str">
        <x:v>Food</x:v>
      </x:c>
      <x:c r="H1052" t="n">
        <x:v>4</x:v>
      </x:c>
      <x:c r="I1052" s="14" t="n">
        <x:v>300</x:v>
      </x:c>
      <x:c r="J1052" s="14" t="n">
        <x:v>1200</x:v>
      </x:c>
      <x:c r="K1052" t="str">
        <x:v>DEMO / SIMULATED</x:v>
      </x:c>
    </x:row>
    <x:row r="1053">
      <x:c r="A1053" t="str">
        <x:v>JFD-20260103-0599</x:v>
      </x:c>
      <x:c r="B1053" s="11" t="n">
        <x:v>46025.46319444444</x:v>
      </x:c>
      <x:c r="C1053" s="13" t="n">
        <x:v>0.46319444444444446</x:v>
      </x:c>
      <x:c r="D1053" t="str">
        <x:v>Birtamode</x:v>
      </x:c>
      <x:c r="E1053" t="str">
        <x:v>Pizza Ghar</x:v>
      </x:c>
      <x:c r="F1053" t="str">
        <x:v>Chicken Fried Rice</x:v>
      </x:c>
      <x:c r="G1053" t="str">
        <x:v>Food</x:v>
      </x:c>
      <x:c r="H1053" t="n">
        <x:v>3</x:v>
      </x:c>
      <x:c r="I1053" s="14" t="n">
        <x:v>300</x:v>
      </x:c>
      <x:c r="J1053" s="14" t="n">
        <x:v>900</x:v>
      </x:c>
      <x:c r="K1053" t="str">
        <x:v>DEMO / SIMULATED</x:v>
      </x:c>
    </x:row>
    <x:row r="1054">
      <x:c r="A1054" t="str">
        <x:v>JFD-20260829-0600</x:v>
      </x:c>
      <x:c r="B1054" s="11" t="n">
        <x:v>46263.65277777778</x:v>
      </x:c>
      <x:c r="C1054" s="13" t="n">
        <x:v>0.6527777777777778</x:v>
      </x:c>
      <x:c r="D1054" t="str">
        <x:v>Damak</x:v>
      </x:c>
      <x:c r="E1054" t="str">
        <x:v>Milan’s Bakery</x:v>
      </x:c>
      <x:c r="F1054" t="str">
        <x:v>Chocolate Cake</x:v>
      </x:c>
      <x:c r="G1054" t="str">
        <x:v>Food</x:v>
      </x:c>
      <x:c r="H1054" t="n">
        <x:v>3</x:v>
      </x:c>
      <x:c r="I1054" s="14" t="n">
        <x:v>350</x:v>
      </x:c>
      <x:c r="J1054" s="14" t="n">
        <x:v>1050</x:v>
      </x:c>
      <x:c r="K1054" t="str">
        <x:v>DEMO / SIMULATED</x:v>
      </x:c>
    </x:row>
    <x:row r="1055">
      <x:c r="A1055" t="str">
        <x:v>JFD-20260829-0600</x:v>
      </x:c>
      <x:c r="B1055" s="11" t="n">
        <x:v>46263.73472222222</x:v>
      </x:c>
      <x:c r="C1055" s="13" t="n">
        <x:v>0.7347222222222223</x:v>
      </x:c>
      <x:c r="D1055" t="str">
        <x:v>Damak</x:v>
      </x:c>
      <x:c r="E1055" t="str">
        <x:v>Milan’s Bakery</x:v>
      </x:c>
      <x:c r="F1055" t="str">
        <x:v>Black Forest Cake</x:v>
      </x:c>
      <x:c r="G1055" t="str">
        <x:v>Food</x:v>
      </x:c>
      <x:c r="H1055" t="n">
        <x:v>2</x:v>
      </x:c>
      <x:c r="I1055" s="14" t="n">
        <x:v>300</x:v>
      </x:c>
      <x:c r="J1055" s="14" t="n">
        <x:v>600</x:v>
      </x:c>
      <x:c r="K1055" t="str">
        <x:v>DEMO / SIMULATED</x:v>
      </x:c>
    </x:row>
    <x:row r="1056">
      <x:c r="A1056" t="str">
        <x:v>JFD-20230724-0601</x:v>
      </x:c>
      <x:c r="B1056" s="11" t="n">
        <x:v>45131.558333333334</x:v>
      </x:c>
      <x:c r="C1056" s="13" t="n">
        <x:v>0.5583333333333333</x:v>
      </x:c>
      <x:c r="D1056" t="str">
        <x:v>Damak</x:v>
      </x:c>
      <x:c r="E1056" t="str">
        <x:v>Late Night Cravings</x:v>
      </x:c>
      <x:c r="F1056" t="str">
        <x:v>Mix Fry Rice</x:v>
      </x:c>
      <x:c r="G1056" t="str">
        <x:v>Food</x:v>
      </x:c>
      <x:c r="H1056" t="n">
        <x:v>2</x:v>
      </x:c>
      <x:c r="I1056" s="14" t="n">
        <x:v>230</x:v>
      </x:c>
      <x:c r="J1056" s="14" t="n">
        <x:v>460</x:v>
      </x:c>
      <x:c r="K1056" t="str">
        <x:v>DEMO / SIMULATED</x:v>
      </x:c>
    </x:row>
    <x:row r="1057">
      <x:c r="A1057" t="str">
        <x:v>JFD-20230819-0602</x:v>
      </x:c>
      <x:c r="B1057" s="11" t="n">
        <x:v>45157.56736111111</x:v>
      </x:c>
      <x:c r="C1057" s="13" t="n">
        <x:v>0.5673611111111111</x:v>
      </x:c>
      <x:c r="D1057" t="str">
        <x:v>Birtamode</x:v>
      </x:c>
      <x:c r="E1057" t="str">
        <x:v>Pizza Ghar</x:v>
      </x:c>
      <x:c r="F1057" t="str">
        <x:v>Coca-Cola 500ml</x:v>
      </x:c>
      <x:c r="G1057" t="str">
        <x:v>Drink</x:v>
      </x:c>
      <x:c r="H1057" t="n">
        <x:v>3</x:v>
      </x:c>
      <x:c r="I1057" s="14" t="n">
        <x:v>80</x:v>
      </x:c>
      <x:c r="J1057" s="14" t="n">
        <x:v>240</x:v>
      </x:c>
      <x:c r="K1057" t="str">
        <x:v>DEMO / SIMULATED</x:v>
      </x:c>
    </x:row>
    <x:row r="1058">
      <x:c r="A1058" t="str">
        <x:v>JFD-20230819-0602</x:v>
      </x:c>
      <x:c r="B1058" s="11" t="n">
        <x:v>45157.47638888889</x:v>
      </x:c>
      <x:c r="C1058" s="13" t="n">
        <x:v>0.47638888888888886</x:v>
      </x:c>
      <x:c r="D1058" t="str">
        <x:v>Birtamode</x:v>
      </x:c>
      <x:c r="E1058" t="str">
        <x:v>Pizza Ghar</x:v>
      </x:c>
      <x:c r="F1058" t="str">
        <x:v>Veg Fried Rice</x:v>
      </x:c>
      <x:c r="G1058" t="str">
        <x:v>Food</x:v>
      </x:c>
      <x:c r="H1058" t="n">
        <x:v>2</x:v>
      </x:c>
      <x:c r="I1058" s="14" t="n">
        <x:v>180</x:v>
      </x:c>
      <x:c r="J1058" s="14" t="n">
        <x:v>360</x:v>
      </x:c>
      <x:c r="K1058" t="str">
        <x:v>DEMO / SIMULATED</x:v>
      </x:c>
    </x:row>
    <x:row r="1059">
      <x:c r="A1059" t="str">
        <x:v>JFD-20230819-0602</x:v>
      </x:c>
      <x:c r="B1059" s="11" t="n">
        <x:v>45157.70138888889</x:v>
      </x:c>
      <x:c r="C1059" s="13" t="n">
        <x:v>0.7013888888888888</x:v>
      </x:c>
      <x:c r="D1059" t="str">
        <x:v>Birtamode</x:v>
      </x:c>
      <x:c r="E1059" t="str">
        <x:v>Pizza Ghar</x:v>
      </x:c>
      <x:c r="F1059" t="str">
        <x:v>Bottled Water 1L</x:v>
      </x:c>
      <x:c r="G1059" t="str">
        <x:v>Drink</x:v>
      </x:c>
      <x:c r="H1059" t="n">
        <x:v>2</x:v>
      </x:c>
      <x:c r="I1059" s="14" t="n">
        <x:v>35</x:v>
      </x:c>
      <x:c r="J1059" s="14" t="n">
        <x:v>70</x:v>
      </x:c>
      <x:c r="K1059" t="str">
        <x:v>DEMO / SIMULATED</x:v>
      </x:c>
    </x:row>
    <x:row r="1060">
      <x:c r="A1060" t="str">
        <x:v>JFD-20260126-0603</x:v>
      </x:c>
      <x:c r="B1060" s="11" t="n">
        <x:v>46048.59930555556</x:v>
      </x:c>
      <x:c r="C1060" s="13" t="n">
        <x:v>0.5993055555555555</x:v>
      </x:c>
      <x:c r="D1060" t="str">
        <x:v>Damak</x:v>
      </x:c>
      <x:c r="E1060" t="str">
        <x:v>Late Night Cravings</x:v>
      </x:c>
      <x:c r="F1060" t="str">
        <x:v>Egg Fry Rice</x:v>
      </x:c>
      <x:c r="G1060" t="str">
        <x:v>Food</x:v>
      </x:c>
      <x:c r="H1060" t="n">
        <x:v>3</x:v>
      </x:c>
      <x:c r="I1060" s="14" t="n">
        <x:v>200</x:v>
      </x:c>
      <x:c r="J1060" s="14" t="n">
        <x:v>600</x:v>
      </x:c>
      <x:c r="K1060" t="str">
        <x:v>DEMO / SIMULATED</x:v>
      </x:c>
    </x:row>
    <x:row r="1061">
      <x:c r="A1061" t="str">
        <x:v>JFD-20260126-0603</x:v>
      </x:c>
      <x:c r="B1061" s="11" t="n">
        <x:v>46048.87569444445</x:v>
      </x:c>
      <x:c r="C1061" s="13" t="n">
        <x:v>0.8756944444444444</x:v>
      </x:c>
      <x:c r="D1061" t="str">
        <x:v>Damak</x:v>
      </x:c>
      <x:c r="E1061" t="str">
        <x:v>Late Night Cravings</x:v>
      </x:c>
      <x:c r="F1061" t="str">
        <x:v>Coca-Cola 500ml</x:v>
      </x:c>
      <x:c r="G1061" t="str">
        <x:v>Drink</x:v>
      </x:c>
      <x:c r="H1061" t="n">
        <x:v>3</x:v>
      </x:c>
      <x:c r="I1061" s="14" t="n">
        <x:v>100</x:v>
      </x:c>
      <x:c r="J1061" s="14" t="n">
        <x:v>300</x:v>
      </x:c>
      <x:c r="K1061" t="str">
        <x:v>DEMO / SIMULATED</x:v>
      </x:c>
    </x:row>
    <x:row r="1062">
      <x:c r="A1062" t="str">
        <x:v>JFD-20240106-0604</x:v>
      </x:c>
      <x:c r="B1062" s="11" t="n">
        <x:v>45297.563888888886</x:v>
      </x:c>
      <x:c r="C1062" s="13" t="n">
        <x:v>0.5638888888888889</x:v>
      </x:c>
      <x:c r="D1062" t="str">
        <x:v>Damak</x:v>
      </x:c>
      <x:c r="E1062" t="str">
        <x:v>Late Night Cravings</x:v>
      </x:c>
      <x:c r="F1062" t="str">
        <x:v>Bottled Water 1L</x:v>
      </x:c>
      <x:c r="G1062" t="str">
        <x:v>Drink</x:v>
      </x:c>
      <x:c r="H1062" t="n">
        <x:v>3</x:v>
      </x:c>
      <x:c r="I1062" s="14" t="n">
        <x:v>35</x:v>
      </x:c>
      <x:c r="J1062" s="14" t="n">
        <x:v>105</x:v>
      </x:c>
      <x:c r="K1062" t="str">
        <x:v>DEMO / SIMULATED</x:v>
      </x:c>
    </x:row>
    <x:row r="1063">
      <x:c r="A1063" t="str">
        <x:v>JFD-20240106-0604</x:v>
      </x:c>
      <x:c r="B1063" s="11" t="n">
        <x:v>45297.856944444444</x:v>
      </x:c>
      <x:c r="C1063" s="13" t="n">
        <x:v>0.8569444444444444</x:v>
      </x:c>
      <x:c r="D1063" t="str">
        <x:v>Damak</x:v>
      </x:c>
      <x:c r="E1063" t="str">
        <x:v>Late Night Cravings</x:v>
      </x:c>
      <x:c r="F1063" t="str">
        <x:v>Mix Fry Rice</x:v>
      </x:c>
      <x:c r="G1063" t="str">
        <x:v>Food</x:v>
      </x:c>
      <x:c r="H1063" t="n">
        <x:v>1</x:v>
      </x:c>
      <x:c r="I1063" s="14" t="n">
        <x:v>245</x:v>
      </x:c>
      <x:c r="J1063" s="14" t="n">
        <x:v>245</x:v>
      </x:c>
      <x:c r="K1063" t="str">
        <x:v>DEMO / SIMULATED</x:v>
      </x:c>
    </x:row>
    <x:row r="1064">
      <x:c r="A1064" t="str">
        <x:v>JFD-20230527-0605</x:v>
      </x:c>
      <x:c r="B1064" s="11" t="n">
        <x:v>45073.81527777778</x:v>
      </x:c>
      <x:c r="C1064" s="13" t="n">
        <x:v>0.8152777777777778</x:v>
      </x:c>
      <x:c r="D1064" t="str">
        <x:v>Birtamode</x:v>
      </x:c>
      <x:c r="E1064" t="str">
        <x:v>Pizza Ghar</x:v>
      </x:c>
      <x:c r="F1064" t="str">
        <x:v>Chicken Fried Rice</x:v>
      </x:c>
      <x:c r="G1064" t="str">
        <x:v>Food</x:v>
      </x:c>
      <x:c r="H1064" t="n">
        <x:v>4</x:v>
      </x:c>
      <x:c r="I1064" s="14" t="n">
        <x:v>245</x:v>
      </x:c>
      <x:c r="J1064" s="14" t="n">
        <x:v>980</x:v>
      </x:c>
      <x:c r="K1064" t="str">
        <x:v>DEMO / SIMULATED</x:v>
      </x:c>
    </x:row>
    <x:row r="1065">
      <x:c r="A1065" t="str">
        <x:v>JFD-20241129-0606</x:v>
      </x:c>
      <x:c r="B1065" s="11" t="n">
        <x:v>45625.876388888886</x:v>
      </x:c>
      <x:c r="C1065" s="13" t="n">
        <x:v>0.8763888888888889</x:v>
      </x:c>
      <x:c r="D1065" t="str">
        <x:v>Damak</x:v>
      </x:c>
      <x:c r="E1065" t="str">
        <x:v>Late Night Cravings</x:v>
      </x:c>
      <x:c r="F1065" t="str">
        <x:v>Coca-Cola 500ml</x:v>
      </x:c>
      <x:c r="G1065" t="str">
        <x:v>Drink</x:v>
      </x:c>
      <x:c r="H1065" t="n">
        <x:v>3</x:v>
      </x:c>
      <x:c r="I1065" s="14" t="n">
        <x:v>90</x:v>
      </x:c>
      <x:c r="J1065" s="14" t="n">
        <x:v>270</x:v>
      </x:c>
      <x:c r="K1065" t="str">
        <x:v>DEMO / SIMULATED</x:v>
      </x:c>
    </x:row>
    <x:row r="1066">
      <x:c r="A1066" t="str">
        <x:v>JFD-20241129-0606</x:v>
      </x:c>
      <x:c r="B1066" s="11" t="n">
        <x:v>45625.89236111111</x:v>
      </x:c>
      <x:c r="C1066" s="13" t="n">
        <x:v>0.8923611111111112</x:v>
      </x:c>
      <x:c r="D1066" t="str">
        <x:v>Damak</x:v>
      </x:c>
      <x:c r="E1066" t="str">
        <x:v>Late Night Cravings</x:v>
      </x:c>
      <x:c r="F1066" t="str">
        <x:v>Veg Fry Rice</x:v>
      </x:c>
      <x:c r="G1066" t="str">
        <x:v>Food</x:v>
      </x:c>
      <x:c r="H1066" t="n">
        <x:v>1</x:v>
      </x:c>
      <x:c r="I1066" s="14" t="n">
        <x:v>140</x:v>
      </x:c>
      <x:c r="J1066" s="14" t="n">
        <x:v>140</x:v>
      </x:c>
      <x:c r="K1066" t="str">
        <x:v>DEMO / SIMULATED</x:v>
      </x:c>
    </x:row>
    <x:row r="1067">
      <x:c r="A1067" t="str">
        <x:v>JFD-20241129-0606</x:v>
      </x:c>
      <x:c r="B1067" s="11" t="n">
        <x:v>45625.791666666664</x:v>
      </x:c>
      <x:c r="C1067" s="13" t="n">
        <x:v>0.7916666666666666</x:v>
      </x:c>
      <x:c r="D1067" t="str">
        <x:v>Damak</x:v>
      </x:c>
      <x:c r="E1067" t="str">
        <x:v>Late Night Cravings</x:v>
      </x:c>
      <x:c r="F1067" t="str">
        <x:v>Bottled Water 1L</x:v>
      </x:c>
      <x:c r="G1067" t="str">
        <x:v>Drink</x:v>
      </x:c>
      <x:c r="H1067" t="n">
        <x:v>3</x:v>
      </x:c>
      <x:c r="I1067" s="14" t="n">
        <x:v>35</x:v>
      </x:c>
      <x:c r="J1067" s="14" t="n">
        <x:v>105</x:v>
      </x:c>
      <x:c r="K1067" t="str">
        <x:v>DEMO / SIMULATED</x:v>
      </x:c>
    </x:row>
    <x:row r="1068">
      <x:c r="A1068" t="str">
        <x:v>JFD-20231210-0607</x:v>
      </x:c>
      <x:c r="B1068" s="11" t="n">
        <x:v>45270.80138888889</x:v>
      </x:c>
      <x:c r="C1068" s="13" t="n">
        <x:v>0.8013888888888889</x:v>
      </x:c>
      <x:c r="D1068" t="str">
        <x:v>Birtamode</x:v>
      </x:c>
      <x:c r="E1068" t="str">
        <x:v>Pizza Ghar</x:v>
      </x:c>
      <x:c r="F1068" t="str">
        <x:v>Veg Fried Rice</x:v>
      </x:c>
      <x:c r="G1068" t="str">
        <x:v>Food</x:v>
      </x:c>
      <x:c r="H1068" t="n">
        <x:v>2</x:v>
      </x:c>
      <x:c r="I1068" s="14" t="n">
        <x:v>180</x:v>
      </x:c>
      <x:c r="J1068" s="14" t="n">
        <x:v>360</x:v>
      </x:c>
      <x:c r="K1068" t="str">
        <x:v>DEMO / SIMULATED</x:v>
      </x:c>
    </x:row>
    <x:row r="1069">
      <x:c r="A1069" t="str">
        <x:v>JFD-20231210-0607</x:v>
      </x:c>
      <x:c r="B1069" s="11" t="n">
        <x:v>45270.72708333333</x:v>
      </x:c>
      <x:c r="C1069" s="13" t="n">
        <x:v>0.7270833333333333</x:v>
      </x:c>
      <x:c r="D1069" t="str">
        <x:v>Birtamode</x:v>
      </x:c>
      <x:c r="E1069" t="str">
        <x:v>Pizza Ghar</x:v>
      </x:c>
      <x:c r="F1069" t="str">
        <x:v>Bottled Water 1L</x:v>
      </x:c>
      <x:c r="G1069" t="str">
        <x:v>Drink</x:v>
      </x:c>
      <x:c r="H1069" t="n">
        <x:v>4</x:v>
      </x:c>
      <x:c r="I1069" s="14" t="n">
        <x:v>35</x:v>
      </x:c>
      <x:c r="J1069" s="14" t="n">
        <x:v>140</x:v>
      </x:c>
      <x:c r="K1069" t="str">
        <x:v>DEMO / SIMULATED</x:v>
      </x:c>
    </x:row>
    <x:row r="1070">
      <x:c r="A1070" t="str">
        <x:v>JFD-20240512-0608</x:v>
      </x:c>
      <x:c r="B1070" s="11" t="n">
        <x:v>45424.69583333333</x:v>
      </x:c>
      <x:c r="C1070" s="13" t="n">
        <x:v>0.6958333333333333</x:v>
      </x:c>
      <x:c r="D1070" t="str">
        <x:v>Damak</x:v>
      </x:c>
      <x:c r="E1070" t="str">
        <x:v>Milan’s Bakery</x:v>
      </x:c>
      <x:c r="F1070" t="str">
        <x:v>Coca-Cola 500ml</x:v>
      </x:c>
      <x:c r="G1070" t="str">
        <x:v>Drink</x:v>
      </x:c>
      <x:c r="H1070" t="n">
        <x:v>1</x:v>
      </x:c>
      <x:c r="I1070" s="14" t="n">
        <x:v>90</x:v>
      </x:c>
      <x:c r="J1070" s="14" t="n">
        <x:v>90</x:v>
      </x:c>
      <x:c r="K1070" t="str">
        <x:v>DEMO / SIMULATED</x:v>
      </x:c>
    </x:row>
    <x:row r="1071">
      <x:c r="A1071" t="str">
        <x:v>JFD-20240512-0608</x:v>
      </x:c>
      <x:c r="B1071" s="11" t="n">
        <x:v>45424.675</x:v>
      </x:c>
      <x:c r="C1071" s="13" t="n">
        <x:v>0.675</x:v>
      </x:c>
      <x:c r="D1071" t="str">
        <x:v>Damak</x:v>
      </x:c>
      <x:c r="E1071" t="str">
        <x:v>Milan’s Bakery</x:v>
      </x:c>
      <x:c r="F1071" t="str">
        <x:v>Chocolate Cake</x:v>
      </x:c>
      <x:c r="G1071" t="str">
        <x:v>Food</x:v>
      </x:c>
      <x:c r="H1071" t="n">
        <x:v>3</x:v>
      </x:c>
      <x:c r="I1071" s="14" t="n">
        <x:v>310</x:v>
      </x:c>
      <x:c r="J1071" s="14" t="n">
        <x:v>930</x:v>
      </x:c>
      <x:c r="K1071" t="str">
        <x:v>DEMO / SIMULATED</x:v>
      </x:c>
    </x:row>
    <x:row r="1072">
      <x:c r="A1072" t="str">
        <x:v>JFD-20240512-0608</x:v>
      </x:c>
      <x:c r="B1072" s="11" t="n">
        <x:v>45424.81458333333</x:v>
      </x:c>
      <x:c r="C1072" s="13" t="n">
        <x:v>0.8145833333333333</x:v>
      </x:c>
      <x:c r="D1072" t="str">
        <x:v>Damak</x:v>
      </x:c>
      <x:c r="E1072" t="str">
        <x:v>Milan’s Bakery</x:v>
      </x:c>
      <x:c r="F1072" t="str">
        <x:v>Bottled Water 1L</x:v>
      </x:c>
      <x:c r="G1072" t="str">
        <x:v>Drink</x:v>
      </x:c>
      <x:c r="H1072" t="n">
        <x:v>2</x:v>
      </x:c>
      <x:c r="I1072" s="14" t="n">
        <x:v>35</x:v>
      </x:c>
      <x:c r="J1072" s="14" t="n">
        <x:v>70</x:v>
      </x:c>
      <x:c r="K1072" t="str">
        <x:v>DEMO / SIMULATED</x:v>
      </x:c>
    </x:row>
    <x:row r="1073">
      <x:c r="A1073" t="str">
        <x:v>JFD-20230714-0609</x:v>
      </x:c>
      <x:c r="B1073" s="11" t="n">
        <x:v>45121.654861111114</x:v>
      </x:c>
      <x:c r="C1073" s="13" t="n">
        <x:v>0.6548611111111111</x:v>
      </x:c>
      <x:c r="D1073" t="str">
        <x:v>Damak</x:v>
      </x:c>
      <x:c r="E1073" t="str">
        <x:v>Milan’s Bakery</x:v>
      </x:c>
      <x:c r="F1073" t="str">
        <x:v>Red Velvet Cake</x:v>
      </x:c>
      <x:c r="G1073" t="str">
        <x:v>Food</x:v>
      </x:c>
      <x:c r="H1073" t="n">
        <x:v>3</x:v>
      </x:c>
      <x:c r="I1073" s="14" t="n">
        <x:v>740</x:v>
      </x:c>
      <x:c r="J1073" s="14" t="n">
        <x:v>2220</x:v>
      </x:c>
      <x:c r="K1073" t="str">
        <x:v>DEMO / SIMULATED</x:v>
      </x:c>
    </x:row>
    <x:row r="1074">
      <x:c r="A1074" t="str">
        <x:v>JFD-20230602-0610</x:v>
      </x:c>
      <x:c r="B1074" s="11" t="n">
        <x:v>45079.77013888889</x:v>
      </x:c>
      <x:c r="C1074" s="13" t="n">
        <x:v>0.7701388888888889</x:v>
      </x:c>
      <x:c r="D1074" t="str">
        <x:v>Birtamode</x:v>
      </x:c>
      <x:c r="E1074" t="str">
        <x:v>The Underground Cafe &amp; Restaurant</x:v>
      </x:c>
      <x:c r="F1074" t="str">
        <x:v>Veg Pakauda</x:v>
      </x:c>
      <x:c r="G1074" t="str">
        <x:v>Food</x:v>
      </x:c>
      <x:c r="H1074" t="n">
        <x:v>4</x:v>
      </x:c>
      <x:c r="I1074" s="14" t="n">
        <x:v>145</x:v>
      </x:c>
      <x:c r="J1074" s="14" t="n">
        <x:v>580</x:v>
      </x:c>
      <x:c r="K1074" t="str">
        <x:v>DEMO / SIMULATED</x:v>
      </x:c>
    </x:row>
    <x:row r="1075">
      <x:c r="A1075" t="str">
        <x:v>JFD-20230602-0610</x:v>
      </x:c>
      <x:c r="B1075" s="11" t="n">
        <x:v>45079.43125</x:v>
      </x:c>
      <x:c r="C1075" s="13" t="n">
        <x:v>0.43125</x:v>
      </x:c>
      <x:c r="D1075" t="str">
        <x:v>Birtamode</x:v>
      </x:c>
      <x:c r="E1075" t="str">
        <x:v>The Underground Cafe &amp; Restaurant</x:v>
      </x:c>
      <x:c r="F1075" t="str">
        <x:v>Paneer Pakauda</x:v>
      </x:c>
      <x:c r="G1075" t="str">
        <x:v>Food</x:v>
      </x:c>
      <x:c r="H1075" t="n">
        <x:v>4</x:v>
      </x:c>
      <x:c r="I1075" s="14" t="n">
        <x:v>185</x:v>
      </x:c>
      <x:c r="J1075" s="14" t="n">
        <x:v>740</x:v>
      </x:c>
      <x:c r="K1075" t="str">
        <x:v>DEMO / SIMULATED</x:v>
      </x:c>
    </x:row>
    <x:row r="1076">
      <x:c r="A1076" t="str">
        <x:v>JFD-20240621-0611</x:v>
      </x:c>
      <x:c r="B1076" s="11" t="n">
        <x:v>45464.575694444444</x:v>
      </x:c>
      <x:c r="C1076" s="13" t="n">
        <x:v>0.5756944444444444</x:v>
      </x:c>
      <x:c r="D1076" t="str">
        <x:v>Damak</x:v>
      </x:c>
      <x:c r="E1076" t="str">
        <x:v>Milan’s Bakery</x:v>
      </x:c>
      <x:c r="F1076" t="str">
        <x:v>Black Forest Cake</x:v>
      </x:c>
      <x:c r="G1076" t="str">
        <x:v>Food</x:v>
      </x:c>
      <x:c r="H1076" t="n">
        <x:v>1</x:v>
      </x:c>
      <x:c r="I1076" s="14" t="n">
        <x:v>265</x:v>
      </x:c>
      <x:c r="J1076" s="14" t="n">
        <x:v>265</x:v>
      </x:c>
      <x:c r="K1076" t="str">
        <x:v>DEMO / SIMULATED</x:v>
      </x:c>
    </x:row>
    <x:row r="1077">
      <x:c r="A1077" t="str">
        <x:v>JFD-20240621-0611</x:v>
      </x:c>
      <x:c r="B1077" s="11" t="n">
        <x:v>45464.42361111111</x:v>
      </x:c>
      <x:c r="C1077" s="13" t="n">
        <x:v>0.4236111111111111</x:v>
      </x:c>
      <x:c r="D1077" t="str">
        <x:v>Damak</x:v>
      </x:c>
      <x:c r="E1077" t="str">
        <x:v>Milan’s Bakery</x:v>
      </x:c>
      <x:c r="F1077" t="str">
        <x:v>Coca-Cola 500ml</x:v>
      </x:c>
      <x:c r="G1077" t="str">
        <x:v>Drink</x:v>
      </x:c>
      <x:c r="H1077" t="n">
        <x:v>4</x:v>
      </x:c>
      <x:c r="I1077" s="14" t="n">
        <x:v>90</x:v>
      </x:c>
      <x:c r="J1077" s="14" t="n">
        <x:v>360</x:v>
      </x:c>
      <x:c r="K1077" t="str">
        <x:v>DEMO / SIMULATED</x:v>
      </x:c>
    </x:row>
    <x:row r="1078">
      <x:c r="A1078" t="str">
        <x:v>JFD-20231024-0612</x:v>
      </x:c>
      <x:c r="B1078" s="11" t="n">
        <x:v>45223.75208333333</x:v>
      </x:c>
      <x:c r="C1078" s="13" t="n">
        <x:v>0.7520833333333333</x:v>
      </x:c>
      <x:c r="D1078" t="str">
        <x:v>Damak</x:v>
      </x:c>
      <x:c r="E1078" t="str">
        <x:v>Milan’s Bakery</x:v>
      </x:c>
      <x:c r="F1078" t="str">
        <x:v>Red Velvet Cake</x:v>
      </x:c>
      <x:c r="G1078" t="str">
        <x:v>Food</x:v>
      </x:c>
      <x:c r="H1078" t="n">
        <x:v>3</x:v>
      </x:c>
      <x:c r="I1078" s="14" t="n">
        <x:v>740</x:v>
      </x:c>
      <x:c r="J1078" s="14" t="n">
        <x:v>2220</x:v>
      </x:c>
      <x:c r="K1078" t="str">
        <x:v>DEMO / SIMULATED</x:v>
      </x:c>
    </x:row>
    <x:row r="1079">
      <x:c r="A1079" t="str">
        <x:v>JFD-20231024-0612</x:v>
      </x:c>
      <x:c r="B1079" s="11" t="n">
        <x:v>45223.48263888889</x:v>
      </x:c>
      <x:c r="C1079" s="13" t="n">
        <x:v>0.4826388888888889</x:v>
      </x:c>
      <x:c r="D1079" t="str">
        <x:v>Damak</x:v>
      </x:c>
      <x:c r="E1079" t="str">
        <x:v>Milan’s Bakery</x:v>
      </x:c>
      <x:c r="F1079" t="str">
        <x:v>Chocolate Cake</x:v>
      </x:c>
      <x:c r="G1079" t="str">
        <x:v>Food</x:v>
      </x:c>
      <x:c r="H1079" t="n">
        <x:v>3</x:v>
      </x:c>
      <x:c r="I1079" s="14" t="n">
        <x:v>285</x:v>
      </x:c>
      <x:c r="J1079" s="14" t="n">
        <x:v>855</x:v>
      </x:c>
      <x:c r="K1079" t="str">
        <x:v>DEMO / SIMULATED</x:v>
      </x:c>
    </x:row>
    <x:row r="1080">
      <x:c r="A1080" t="str">
        <x:v>JFD-20230810-0613</x:v>
      </x:c>
      <x:c r="B1080" s="11" t="n">
        <x:v>45148.72708333333</x:v>
      </x:c>
      <x:c r="C1080" s="13" t="n">
        <x:v>0.7270833333333333</x:v>
      </x:c>
      <x:c r="D1080" t="str">
        <x:v>Damak</x:v>
      </x:c>
      <x:c r="E1080" t="str">
        <x:v>Milan’s Bakery</x:v>
      </x:c>
      <x:c r="F1080" t="str">
        <x:v>Black Forest Cake</x:v>
      </x:c>
      <x:c r="G1080" t="str">
        <x:v>Food</x:v>
      </x:c>
      <x:c r="H1080" t="n">
        <x:v>3</x:v>
      </x:c>
      <x:c r="I1080" s="14" t="n">
        <x:v>245</x:v>
      </x:c>
      <x:c r="J1080" s="14" t="n">
        <x:v>735</x:v>
      </x:c>
      <x:c r="K1080" t="str">
        <x:v>DEMO / SIMULATED</x:v>
      </x:c>
    </x:row>
    <x:row r="1081">
      <x:c r="A1081" t="str">
        <x:v>JFD-20240202-0614</x:v>
      </x:c>
      <x:c r="B1081" s="11" t="n">
        <x:v>45324.72638888889</x:v>
      </x:c>
      <x:c r="C1081" s="13" t="n">
        <x:v>0.7263888888888889</x:v>
      </x:c>
      <x:c r="D1081" t="str">
        <x:v>Birtamode</x:v>
      </x:c>
      <x:c r="E1081" t="str">
        <x:v>The Underground Cafe &amp; Restaurant</x:v>
      </x:c>
      <x:c r="F1081" t="str">
        <x:v>Bottled Water 1L</x:v>
      </x:c>
      <x:c r="G1081" t="str">
        <x:v>Drink</x:v>
      </x:c>
      <x:c r="H1081" t="n">
        <x:v>4</x:v>
      </x:c>
      <x:c r="I1081" s="14" t="n">
        <x:v>35</x:v>
      </x:c>
      <x:c r="J1081" s="14" t="n">
        <x:v>140</x:v>
      </x:c>
      <x:c r="K1081" t="str">
        <x:v>DEMO / SIMULATED</x:v>
      </x:c>
    </x:row>
    <x:row r="1082">
      <x:c r="A1082" t="str">
        <x:v>JFD-20250831-0615</x:v>
      </x:c>
      <x:c r="B1082" s="11" t="n">
        <x:v>45900.74652777778</x:v>
      </x:c>
      <x:c r="C1082" s="13" t="n">
        <x:v>0.7465277777777778</x:v>
      </x:c>
      <x:c r="D1082" t="str">
        <x:v>Damak</x:v>
      </x:c>
      <x:c r="E1082" t="str">
        <x:v>Milan’s Bakery</x:v>
      </x:c>
      <x:c r="F1082" t="str">
        <x:v>Coca-Cola 500ml</x:v>
      </x:c>
      <x:c r="G1082" t="str">
        <x:v>Drink</x:v>
      </x:c>
      <x:c r="H1082" t="n">
        <x:v>2</x:v>
      </x:c>
      <x:c r="I1082" s="14" t="n">
        <x:v>95</x:v>
      </x:c>
      <x:c r="J1082" s="14" t="n">
        <x:v>190</x:v>
      </x:c>
      <x:c r="K1082" t="str">
        <x:v>DEMO / SIMULATED</x:v>
      </x:c>
    </x:row>
    <x:row r="1083">
      <x:c r="A1083" t="str">
        <x:v>JFD-20250820-0616</x:v>
      </x:c>
      <x:c r="B1083" s="11" t="n">
        <x:v>45889.78958333333</x:v>
      </x:c>
      <x:c r="C1083" s="13" t="n">
        <x:v>0.7895833333333333</x:v>
      </x:c>
      <x:c r="D1083" t="str">
        <x:v>Damak</x:v>
      </x:c>
      <x:c r="E1083" t="str">
        <x:v>Milan’s Bakery</x:v>
      </x:c>
      <x:c r="F1083" t="str">
        <x:v>Black Forest Cake</x:v>
      </x:c>
      <x:c r="G1083" t="str">
        <x:v>Food</x:v>
      </x:c>
      <x:c r="H1083" t="n">
        <x:v>4</x:v>
      </x:c>
      <x:c r="I1083" s="14" t="n">
        <x:v>280</x:v>
      </x:c>
      <x:c r="J1083" s="14" t="n">
        <x:v>1120</x:v>
      </x:c>
      <x:c r="K1083" t="str">
        <x:v>DEMO / SIMULATED</x:v>
      </x:c>
    </x:row>
    <x:row r="1084">
      <x:c r="A1084" t="str">
        <x:v>JFD-20260724-0617</x:v>
      </x:c>
      <x:c r="B1084" s="11" t="n">
        <x:v>46227.46805555555</x:v>
      </x:c>
      <x:c r="C1084" s="13" t="n">
        <x:v>0.46805555555555556</x:v>
      </x:c>
      <x:c r="D1084" t="str">
        <x:v>Damak</x:v>
      </x:c>
      <x:c r="E1084" t="str">
        <x:v>Milan’s Bakery</x:v>
      </x:c>
      <x:c r="F1084" t="str">
        <x:v>Bottled Water 1L</x:v>
      </x:c>
      <x:c r="G1084" t="str">
        <x:v>Drink</x:v>
      </x:c>
      <x:c r="H1084" t="n">
        <x:v>2</x:v>
      </x:c>
      <x:c r="I1084" s="14" t="n">
        <x:v>40</x:v>
      </x:c>
      <x:c r="J1084" s="14" t="n">
        <x:v>80</x:v>
      </x:c>
      <x:c r="K1084" t="str">
        <x:v>DEMO / SIMULATED</x:v>
      </x:c>
    </x:row>
    <x:row r="1085">
      <x:c r="A1085" t="str">
        <x:v>JFD-20260724-0617</x:v>
      </x:c>
      <x:c r="B1085" s="11" t="n">
        <x:v>46227.510416666664</x:v>
      </x:c>
      <x:c r="C1085" s="13" t="n">
        <x:v>0.5104166666666666</x:v>
      </x:c>
      <x:c r="D1085" t="str">
        <x:v>Damak</x:v>
      </x:c>
      <x:c r="E1085" t="str">
        <x:v>Milan’s Bakery</x:v>
      </x:c>
      <x:c r="F1085" t="str">
        <x:v>Red Velvet Cake</x:v>
      </x:c>
      <x:c r="G1085" t="str">
        <x:v>Food</x:v>
      </x:c>
      <x:c r="H1085" t="n">
        <x:v>1</x:v>
      </x:c>
      <x:c r="I1085" s="14" t="n">
        <x:v>900</x:v>
      </x:c>
      <x:c r="J1085" s="14" t="n">
        <x:v>900</x:v>
      </x:c>
      <x:c r="K1085" t="str">
        <x:v>DEMO / SIMULATED</x:v>
      </x:c>
    </x:row>
    <x:row r="1086">
      <x:c r="A1086" t="str">
        <x:v>JFD-20230924-0618</x:v>
      </x:c>
      <x:c r="B1086" s="11" t="n">
        <x:v>45193.65555555555</x:v>
      </x:c>
      <x:c r="C1086" s="13" t="n">
        <x:v>0.6555555555555556</x:v>
      </x:c>
      <x:c r="D1086" t="str">
        <x:v>Damak</x:v>
      </x:c>
      <x:c r="E1086" t="str">
        <x:v>Late Night Cravings</x:v>
      </x:c>
      <x:c r="F1086" t="str">
        <x:v>Mix Fry Rice</x:v>
      </x:c>
      <x:c r="G1086" t="str">
        <x:v>Food</x:v>
      </x:c>
      <x:c r="H1086" t="n">
        <x:v>4</x:v>
      </x:c>
      <x:c r="I1086" s="14" t="n">
        <x:v>230</x:v>
      </x:c>
      <x:c r="J1086" s="14" t="n">
        <x:v>920</x:v>
      </x:c>
      <x:c r="K1086" t="str">
        <x:v>DEMO / SIMULATED</x:v>
      </x:c>
    </x:row>
    <x:row r="1087">
      <x:c r="A1087" t="str">
        <x:v>JFD-20230924-0618</x:v>
      </x:c>
      <x:c r="B1087" s="11" t="n">
        <x:v>45193.46041666667</x:v>
      </x:c>
      <x:c r="C1087" s="13" t="n">
        <x:v>0.46041666666666664</x:v>
      </x:c>
      <x:c r="D1087" t="str">
        <x:v>Damak</x:v>
      </x:c>
      <x:c r="E1087" t="str">
        <x:v>Late Night Cravings</x:v>
      </x:c>
      <x:c r="F1087" t="str">
        <x:v>Veg Fry Rice</x:v>
      </x:c>
      <x:c r="G1087" t="str">
        <x:v>Food</x:v>
      </x:c>
      <x:c r="H1087" t="n">
        <x:v>3</x:v>
      </x:c>
      <x:c r="I1087" s="14" t="n">
        <x:v>130</x:v>
      </x:c>
      <x:c r="J1087" s="14" t="n">
        <x:v>390</x:v>
      </x:c>
      <x:c r="K1087" t="str">
        <x:v>DEMO / SIMULATED</x:v>
      </x:c>
    </x:row>
    <x:row r="1088">
      <x:c r="A1088" t="str">
        <x:v>JFD-20240915-0619</x:v>
      </x:c>
      <x:c r="B1088" s="11" t="n">
        <x:v>45550.586805555555</x:v>
      </x:c>
      <x:c r="C1088" s="13" t="n">
        <x:v>0.5868055555555556</x:v>
      </x:c>
      <x:c r="D1088" t="str">
        <x:v>Damak</x:v>
      </x:c>
      <x:c r="E1088" t="str">
        <x:v>Milan’s Bakery</x:v>
      </x:c>
      <x:c r="F1088" t="str">
        <x:v>Red Velvet Cake</x:v>
      </x:c>
      <x:c r="G1088" t="str">
        <x:v>Food</x:v>
      </x:c>
      <x:c r="H1088" t="n">
        <x:v>4</x:v>
      </x:c>
      <x:c r="I1088" s="14" t="n">
        <x:v>790</x:v>
      </x:c>
      <x:c r="J1088" s="14" t="n">
        <x:v>3160</x:v>
      </x:c>
      <x:c r="K1088" t="str">
        <x:v>DEMO / SIMULATED</x:v>
      </x:c>
    </x:row>
    <x:row r="1089">
      <x:c r="A1089" t="str">
        <x:v>JFD-20230414-0620</x:v>
      </x:c>
      <x:c r="B1089" s="11" t="n">
        <x:v>45030.61388888889</x:v>
      </x:c>
      <x:c r="C1089" s="13" t="n">
        <x:v>0.6138888888888889</x:v>
      </x:c>
      <x:c r="D1089" t="str">
        <x:v>Birtamode</x:v>
      </x:c>
      <x:c r="E1089" t="str">
        <x:v>Pizza Ghar</x:v>
      </x:c>
      <x:c r="F1089" t="str">
        <x:v>Chicken BBQ Feast Pizza</x:v>
      </x:c>
      <x:c r="G1089" t="str">
        <x:v>Food</x:v>
      </x:c>
      <x:c r="H1089" t="n">
        <x:v>2</x:v>
      </x:c>
      <x:c r="I1089" s="14" t="n">
        <x:v>475</x:v>
      </x:c>
      <x:c r="J1089" s="14" t="n">
        <x:v>950</x:v>
      </x:c>
      <x:c r="K1089" t="str">
        <x:v>DEMO / SIMULATED</x:v>
      </x:c>
    </x:row>
    <x:row r="1090">
      <x:c r="A1090" t="str">
        <x:v>JFD-20230414-0620</x:v>
      </x:c>
      <x:c r="B1090" s="11" t="n">
        <x:v>45030.90416666667</x:v>
      </x:c>
      <x:c r="C1090" s="13" t="n">
        <x:v>0.9041666666666667</x:v>
      </x:c>
      <x:c r="D1090" t="str">
        <x:v>Birtamode</x:v>
      </x:c>
      <x:c r="E1090" t="str">
        <x:v>Pizza Ghar</x:v>
      </x:c>
      <x:c r="F1090" t="str">
        <x:v>Chicken Fried Rice</x:v>
      </x:c>
      <x:c r="G1090" t="str">
        <x:v>Food</x:v>
      </x:c>
      <x:c r="H1090" t="n">
        <x:v>3</x:v>
      </x:c>
      <x:c r="I1090" s="14" t="n">
        <x:v>245</x:v>
      </x:c>
      <x:c r="J1090" s="14" t="n">
        <x:v>735</x:v>
      </x:c>
      <x:c r="K1090" t="str">
        <x:v>DEMO / SIMULATED</x:v>
      </x:c>
    </x:row>
    <x:row r="1091">
      <x:c r="A1091" t="str">
        <x:v>JFD-20230414-0620</x:v>
      </x:c>
      <x:c r="B1091" s="11" t="n">
        <x:v>45030.73819444444</x:v>
      </x:c>
      <x:c r="C1091" s="13" t="n">
        <x:v>0.7381944444444445</x:v>
      </x:c>
      <x:c r="D1091" t="str">
        <x:v>Birtamode</x:v>
      </x:c>
      <x:c r="E1091" t="str">
        <x:v>Pizza Ghar</x:v>
      </x:c>
      <x:c r="F1091" t="str">
        <x:v>Veg Fried Rice</x:v>
      </x:c>
      <x:c r="G1091" t="str">
        <x:v>Food</x:v>
      </x:c>
      <x:c r="H1091" t="n">
        <x:v>2</x:v>
      </x:c>
      <x:c r="I1091" s="14" t="n">
        <x:v>180</x:v>
      </x:c>
      <x:c r="J1091" s="14" t="n">
        <x:v>360</x:v>
      </x:c>
      <x:c r="K1091" t="str">
        <x:v>DEMO / SIMULATED</x:v>
      </x:c>
    </x:row>
    <x:row r="1092">
      <x:c r="A1092" t="str">
        <x:v>JFD-20260705-0621</x:v>
      </x:c>
      <x:c r="B1092" s="11" t="n">
        <x:v>46208.49652777778</x:v>
      </x:c>
      <x:c r="C1092" s="13" t="n">
        <x:v>0.4965277777777778</x:v>
      </x:c>
      <x:c r="D1092" t="str">
        <x:v>Damak</x:v>
      </x:c>
      <x:c r="E1092" t="str">
        <x:v>Milan’s Bakery</x:v>
      </x:c>
      <x:c r="F1092" t="str">
        <x:v>Coca-Cola 500ml</x:v>
      </x:c>
      <x:c r="G1092" t="str">
        <x:v>Drink</x:v>
      </x:c>
      <x:c r="H1092" t="n">
        <x:v>3</x:v>
      </x:c>
      <x:c r="I1092" s="14" t="n">
        <x:v>100</x:v>
      </x:c>
      <x:c r="J1092" s="14" t="n">
        <x:v>300</x:v>
      </x:c>
      <x:c r="K1092" t="str">
        <x:v>DEMO / SIMULATED</x:v>
      </x:c>
    </x:row>
    <x:row r="1093">
      <x:c r="A1093" t="str">
        <x:v>JFD-20260705-0621</x:v>
      </x:c>
      <x:c r="B1093" s="11" t="n">
        <x:v>46208.603472222225</x:v>
      </x:c>
      <x:c r="C1093" s="13" t="n">
        <x:v>0.6034722222222222</x:v>
      </x:c>
      <x:c r="D1093" t="str">
        <x:v>Damak</x:v>
      </x:c>
      <x:c r="E1093" t="str">
        <x:v>Milan’s Bakery</x:v>
      </x:c>
      <x:c r="F1093" t="str">
        <x:v>Red Velvet Cake</x:v>
      </x:c>
      <x:c r="G1093" t="str">
        <x:v>Food</x:v>
      </x:c>
      <x:c r="H1093" t="n">
        <x:v>3</x:v>
      </x:c>
      <x:c r="I1093" s="14" t="n">
        <x:v>900</x:v>
      </x:c>
      <x:c r="J1093" s="14" t="n">
        <x:v>2700</x:v>
      </x:c>
      <x:c r="K1093" t="str">
        <x:v>DEMO / SIMULATED</x:v>
      </x:c>
    </x:row>
    <x:row r="1094">
      <x:c r="A1094" t="str">
        <x:v>JFD-20260705-0621</x:v>
      </x:c>
      <x:c r="B1094" s="11" t="n">
        <x:v>46208.54236111111</x:v>
      </x:c>
      <x:c r="C1094" s="13" t="n">
        <x:v>0.5423611111111111</x:v>
      </x:c>
      <x:c r="D1094" t="str">
        <x:v>Damak</x:v>
      </x:c>
      <x:c r="E1094" t="str">
        <x:v>Milan’s Bakery</x:v>
      </x:c>
      <x:c r="F1094" t="str">
        <x:v>Chocolate Cake</x:v>
      </x:c>
      <x:c r="G1094" t="str">
        <x:v>Food</x:v>
      </x:c>
      <x:c r="H1094" t="n">
        <x:v>3</x:v>
      </x:c>
      <x:c r="I1094" s="14" t="n">
        <x:v>350</x:v>
      </x:c>
      <x:c r="J1094" s="14" t="n">
        <x:v>1050</x:v>
      </x:c>
      <x:c r="K1094" t="str">
        <x:v>DEMO / SIMULATED</x:v>
      </x:c>
    </x:row>
    <x:row r="1095">
      <x:c r="A1095" t="str">
        <x:v>JFD-20240717-0622</x:v>
      </x:c>
      <x:c r="B1095" s="11" t="n">
        <x:v>45490.75625</x:v>
      </x:c>
      <x:c r="C1095" s="13" t="n">
        <x:v>0.75625</x:v>
      </x:c>
      <x:c r="D1095" t="str">
        <x:v>Birtamode</x:v>
      </x:c>
      <x:c r="E1095" t="str">
        <x:v>The Underground Cafe &amp; Restaurant</x:v>
      </x:c>
      <x:c r="F1095" t="str">
        <x:v>Coca-Cola 500ml</x:v>
      </x:c>
      <x:c r="G1095" t="str">
        <x:v>Drink</x:v>
      </x:c>
      <x:c r="H1095" t="n">
        <x:v>1</x:v>
      </x:c>
      <x:c r="I1095" s="14" t="n">
        <x:v>90</x:v>
      </x:c>
      <x:c r="J1095" s="14" t="n">
        <x:v>90</x:v>
      </x:c>
      <x:c r="K1095" t="str">
        <x:v>DEMO / SIMULATED</x:v>
      </x:c>
    </x:row>
    <x:row r="1096">
      <x:c r="A1096" t="str">
        <x:v>JFD-20240717-0622</x:v>
      </x:c>
      <x:c r="B1096" s="11" t="n">
        <x:v>45490.436111111114</x:v>
      </x:c>
      <x:c r="C1096" s="13" t="n">
        <x:v>0.4361111111111111</x:v>
      </x:c>
      <x:c r="D1096" t="str">
        <x:v>Birtamode</x:v>
      </x:c>
      <x:c r="E1096" t="str">
        <x:v>The Underground Cafe &amp; Restaurant</x:v>
      </x:c>
      <x:c r="F1096" t="str">
        <x:v>Aalu Jeera</x:v>
      </x:c>
      <x:c r="G1096" t="str">
        <x:v>Food</x:v>
      </x:c>
      <x:c r="H1096" t="n">
        <x:v>1</x:v>
      </x:c>
      <x:c r="I1096" s="14" t="n">
        <x:v>135</x:v>
      </x:c>
      <x:c r="J1096" s="14" t="n">
        <x:v>135</x:v>
      </x:c>
      <x:c r="K1096" t="str">
        <x:v>DEMO / SIMULATED</x:v>
      </x:c>
    </x:row>
    <x:row r="1097">
      <x:c r="A1097" t="str">
        <x:v>JFD-20230130-0623</x:v>
      </x:c>
      <x:c r="B1097" s="11" t="n">
        <x:v>44956.55902777778</x:v>
      </x:c>
      <x:c r="C1097" s="13" t="n">
        <x:v>0.5590277777777778</x:v>
      </x:c>
      <x:c r="D1097" t="str">
        <x:v>Damak</x:v>
      </x:c>
      <x:c r="E1097" t="str">
        <x:v>Late Night Cravings</x:v>
      </x:c>
      <x:c r="F1097" t="str">
        <x:v>Coca-Cola 500ml</x:v>
      </x:c>
      <x:c r="G1097" t="str">
        <x:v>Drink</x:v>
      </x:c>
      <x:c r="H1097" t="n">
        <x:v>2</x:v>
      </x:c>
      <x:c r="I1097" s="14" t="n">
        <x:v>80</x:v>
      </x:c>
      <x:c r="J1097" s="14" t="n">
        <x:v>160</x:v>
      </x:c>
      <x:c r="K1097" t="str">
        <x:v>DEMO / SIMULATED</x:v>
      </x:c>
    </x:row>
    <x:row r="1098">
      <x:c r="A1098" t="str">
        <x:v>JFD-20230130-0623</x:v>
      </x:c>
      <x:c r="B1098" s="11" t="n">
        <x:v>44956.72638888889</x:v>
      </x:c>
      <x:c r="C1098" s="13" t="n">
        <x:v>0.7263888888888889</x:v>
      </x:c>
      <x:c r="D1098" t="str">
        <x:v>Damak</x:v>
      </x:c>
      <x:c r="E1098" t="str">
        <x:v>Late Night Cravings</x:v>
      </x:c>
      <x:c r="F1098" t="str">
        <x:v>Mix Fry Rice</x:v>
      </x:c>
      <x:c r="G1098" t="str">
        <x:v>Food</x:v>
      </x:c>
      <x:c r="H1098" t="n">
        <x:v>3</x:v>
      </x:c>
      <x:c r="I1098" s="14" t="n">
        <x:v>230</x:v>
      </x:c>
      <x:c r="J1098" s="14" t="n">
        <x:v>690</x:v>
      </x:c>
      <x:c r="K1098" t="str">
        <x:v>DEMO / SIMULATED</x:v>
      </x:c>
    </x:row>
    <x:row r="1099">
      <x:c r="A1099" t="str">
        <x:v>JFD-20230130-0623</x:v>
      </x:c>
      <x:c r="B1099" s="11" t="n">
        <x:v>44956.67152777778</x:v>
      </x:c>
      <x:c r="C1099" s="13" t="n">
        <x:v>0.6715277777777777</x:v>
      </x:c>
      <x:c r="D1099" t="str">
        <x:v>Damak</x:v>
      </x:c>
      <x:c r="E1099" t="str">
        <x:v>Late Night Cravings</x:v>
      </x:c>
      <x:c r="F1099" t="str">
        <x:v>Chicken Fry Rice</x:v>
      </x:c>
      <x:c r="G1099" t="str">
        <x:v>Food</x:v>
      </x:c>
      <x:c r="H1099" t="n">
        <x:v>2</x:v>
      </x:c>
      <x:c r="I1099" s="14" t="n">
        <x:v>180</x:v>
      </x:c>
      <x:c r="J1099" s="14" t="n">
        <x:v>360</x:v>
      </x:c>
      <x:c r="K1099" t="str">
        <x:v>DEMO / SIMULATED</x:v>
      </x:c>
    </x:row>
    <x:row r="1100">
      <x:c r="A1100" t="str">
        <x:v>JFD-20240711-0624</x:v>
      </x:c>
      <x:c r="B1100" s="11" t="n">
        <x:v>45484.60625</x:v>
      </x:c>
      <x:c r="C1100" s="13" t="n">
        <x:v>0.60625</x:v>
      </x:c>
      <x:c r="D1100" t="str">
        <x:v>Damak</x:v>
      </x:c>
      <x:c r="E1100" t="str">
        <x:v>Milan’s Bakery</x:v>
      </x:c>
      <x:c r="F1100" t="str">
        <x:v>Black Forest Cake</x:v>
      </x:c>
      <x:c r="G1100" t="str">
        <x:v>Food</x:v>
      </x:c>
      <x:c r="H1100" t="n">
        <x:v>2</x:v>
      </x:c>
      <x:c r="I1100" s="14" t="n">
        <x:v>265</x:v>
      </x:c>
      <x:c r="J1100" s="14" t="n">
        <x:v>530</x:v>
      </x:c>
      <x:c r="K1100" t="str">
        <x:v>DEMO / SIMULATED</x:v>
      </x:c>
    </x:row>
    <x:row r="1101">
      <x:c r="A1101" t="str">
        <x:v>JFD-20240711-0624</x:v>
      </x:c>
      <x:c r="B1101" s="11" t="n">
        <x:v>45484.7875</x:v>
      </x:c>
      <x:c r="C1101" s="13" t="n">
        <x:v>0.7875</x:v>
      </x:c>
      <x:c r="D1101" t="str">
        <x:v>Damak</x:v>
      </x:c>
      <x:c r="E1101" t="str">
        <x:v>Milan’s Bakery</x:v>
      </x:c>
      <x:c r="F1101" t="str">
        <x:v>Bottled Water 1L</x:v>
      </x:c>
      <x:c r="G1101" t="str">
        <x:v>Drink</x:v>
      </x:c>
      <x:c r="H1101" t="n">
        <x:v>1</x:v>
      </x:c>
      <x:c r="I1101" s="14" t="n">
        <x:v>35</x:v>
      </x:c>
      <x:c r="J1101" s="14" t="n">
        <x:v>35</x:v>
      </x:c>
      <x:c r="K1101" t="str">
        <x:v>DEMO / SIMULATED</x:v>
      </x:c>
    </x:row>
    <x:row r="1102">
      <x:c r="A1102" t="str">
        <x:v>JFD-20240724-0625</x:v>
      </x:c>
      <x:c r="B1102" s="11" t="n">
        <x:v>45497.47708333333</x:v>
      </x:c>
      <x:c r="C1102" s="13" t="n">
        <x:v>0.47708333333333336</x:v>
      </x:c>
      <x:c r="D1102" t="str">
        <x:v>Damak</x:v>
      </x:c>
      <x:c r="E1102" t="str">
        <x:v>Milan’s Bakery</x:v>
      </x:c>
      <x:c r="F1102" t="str">
        <x:v>Red Velvet Cake</x:v>
      </x:c>
      <x:c r="G1102" t="str">
        <x:v>Food</x:v>
      </x:c>
      <x:c r="H1102" t="n">
        <x:v>2</x:v>
      </x:c>
      <x:c r="I1102" s="14" t="n">
        <x:v>790</x:v>
      </x:c>
      <x:c r="J1102" s="14" t="n">
        <x:v>1580</x:v>
      </x:c>
      <x:c r="K1102" t="str">
        <x:v>DEMO / SIMULATED</x:v>
      </x:c>
    </x:row>
    <x:row r="1103">
      <x:c r="A1103" t="str">
        <x:v>JFD-20240724-0625</x:v>
      </x:c>
      <x:c r="B1103" s="11" t="n">
        <x:v>45497.63958333333</x:v>
      </x:c>
      <x:c r="C1103" s="13" t="n">
        <x:v>0.6395833333333333</x:v>
      </x:c>
      <x:c r="D1103" t="str">
        <x:v>Damak</x:v>
      </x:c>
      <x:c r="E1103" t="str">
        <x:v>Milan’s Bakery</x:v>
      </x:c>
      <x:c r="F1103" t="str">
        <x:v>Coca-Cola 500ml</x:v>
      </x:c>
      <x:c r="G1103" t="str">
        <x:v>Drink</x:v>
      </x:c>
      <x:c r="H1103" t="n">
        <x:v>3</x:v>
      </x:c>
      <x:c r="I1103" s="14" t="n">
        <x:v>90</x:v>
      </x:c>
      <x:c r="J1103" s="14" t="n">
        <x:v>270</x:v>
      </x:c>
      <x:c r="K1103" t="str">
        <x:v>DEMO / SIMULATED</x:v>
      </x:c>
    </x:row>
    <x:row r="1104">
      <x:c r="A1104" t="str">
        <x:v>JFD-20240724-0625</x:v>
      </x:c>
      <x:c r="B1104" s="11" t="n">
        <x:v>45497.59722222222</x:v>
      </x:c>
      <x:c r="C1104" s="13" t="n">
        <x:v>0.5972222222222222</x:v>
      </x:c>
      <x:c r="D1104" t="str">
        <x:v>Damak</x:v>
      </x:c>
      <x:c r="E1104" t="str">
        <x:v>Milan’s Bakery</x:v>
      </x:c>
      <x:c r="F1104" t="str">
        <x:v>Vanilla Cake</x:v>
      </x:c>
      <x:c r="G1104" t="str">
        <x:v>Food</x:v>
      </x:c>
      <x:c r="H1104" t="n">
        <x:v>2</x:v>
      </x:c>
      <x:c r="I1104" s="14" t="n">
        <x:v>265</x:v>
      </x:c>
      <x:c r="J1104" s="14" t="n">
        <x:v>530</x:v>
      </x:c>
      <x:c r="K1104" t="str">
        <x:v>DEMO / SIMULATED</x:v>
      </x:c>
    </x:row>
    <x:row r="1105">
      <x:c r="A1105" t="str">
        <x:v>JFD-20230217-0626</x:v>
      </x:c>
      <x:c r="B1105" s="11" t="n">
        <x:v>44974.506944444445</x:v>
      </x:c>
      <x:c r="C1105" s="13" t="n">
        <x:v>0.5069444444444444</x:v>
      </x:c>
      <x:c r="D1105" t="str">
        <x:v>Damak</x:v>
      </x:c>
      <x:c r="E1105" t="str">
        <x:v>Milan’s Bakery</x:v>
      </x:c>
      <x:c r="F1105" t="str">
        <x:v>Chocolate Cake</x:v>
      </x:c>
      <x:c r="G1105" t="str">
        <x:v>Food</x:v>
      </x:c>
      <x:c r="H1105" t="n">
        <x:v>4</x:v>
      </x:c>
      <x:c r="I1105" s="14" t="n">
        <x:v>285</x:v>
      </x:c>
      <x:c r="J1105" s="14" t="n">
        <x:v>1140</x:v>
      </x:c>
      <x:c r="K1105" t="str">
        <x:v>DEMO / SIMULATED</x:v>
      </x:c>
    </x:row>
    <x:row r="1106">
      <x:c r="A1106" t="str">
        <x:v>JFD-20240603-0627</x:v>
      </x:c>
      <x:c r="B1106" s="11" t="n">
        <x:v>45446.790972222225</x:v>
      </x:c>
      <x:c r="C1106" s="13" t="n">
        <x:v>0.7909722222222222</x:v>
      </x:c>
      <x:c r="D1106" t="str">
        <x:v>Damak</x:v>
      </x:c>
      <x:c r="E1106" t="str">
        <x:v>Milan’s Bakery</x:v>
      </x:c>
      <x:c r="F1106" t="str">
        <x:v>Black Forest Cake</x:v>
      </x:c>
      <x:c r="G1106" t="str">
        <x:v>Food</x:v>
      </x:c>
      <x:c r="H1106" t="n">
        <x:v>4</x:v>
      </x:c>
      <x:c r="I1106" s="14" t="n">
        <x:v>265</x:v>
      </x:c>
      <x:c r="J1106" s="14" t="n">
        <x:v>1060</x:v>
      </x:c>
      <x:c r="K1106" t="str">
        <x:v>DEMO / SIMULATED</x:v>
      </x:c>
    </x:row>
    <x:row r="1107">
      <x:c r="A1107" t="str">
        <x:v>JFD-20240603-0627</x:v>
      </x:c>
      <x:c r="B1107" s="11" t="n">
        <x:v>45446.740277777775</x:v>
      </x:c>
      <x:c r="C1107" s="13" t="n">
        <x:v>0.7402777777777778</x:v>
      </x:c>
      <x:c r="D1107" t="str">
        <x:v>Damak</x:v>
      </x:c>
      <x:c r="E1107" t="str">
        <x:v>Milan’s Bakery</x:v>
      </x:c>
      <x:c r="F1107" t="str">
        <x:v>Bottled Water 1L</x:v>
      </x:c>
      <x:c r="G1107" t="str">
        <x:v>Drink</x:v>
      </x:c>
      <x:c r="H1107" t="n">
        <x:v>4</x:v>
      </x:c>
      <x:c r="I1107" s="14" t="n">
        <x:v>35</x:v>
      </x:c>
      <x:c r="J1107" s="14" t="n">
        <x:v>140</x:v>
      </x:c>
      <x:c r="K1107" t="str">
        <x:v>DEMO / SIMULATED</x:v>
      </x:c>
    </x:row>
    <x:row r="1108">
      <x:c r="A1108" t="str">
        <x:v>JFD-20240603-0627</x:v>
      </x:c>
      <x:c r="B1108" s="11" t="n">
        <x:v>45446.68680555555</x:v>
      </x:c>
      <x:c r="C1108" s="13" t="n">
        <x:v>0.6868055555555556</x:v>
      </x:c>
      <x:c r="D1108" t="str">
        <x:v>Damak</x:v>
      </x:c>
      <x:c r="E1108" t="str">
        <x:v>Milan’s Bakery</x:v>
      </x:c>
      <x:c r="F1108" t="str">
        <x:v>Chocolate Cake</x:v>
      </x:c>
      <x:c r="G1108" t="str">
        <x:v>Food</x:v>
      </x:c>
      <x:c r="H1108" t="n">
        <x:v>4</x:v>
      </x:c>
      <x:c r="I1108" s="14" t="n">
        <x:v>310</x:v>
      </x:c>
      <x:c r="J1108" s="14" t="n">
        <x:v>1240</x:v>
      </x:c>
      <x:c r="K1108" t="str">
        <x:v>DEMO / SIMULATED</x:v>
      </x:c>
    </x:row>
    <x:row r="1109">
      <x:c r="A1109" t="str">
        <x:v>JFD-20240621-0628</x:v>
      </x:c>
      <x:c r="B1109" s="11" t="n">
        <x:v>45464.89166666667</x:v>
      </x:c>
      <x:c r="C1109" s="13" t="n">
        <x:v>0.8916666666666667</x:v>
      </x:c>
      <x:c r="D1109" t="str">
        <x:v>Birtamode</x:v>
      </x:c>
      <x:c r="E1109" t="str">
        <x:v>The Underground Cafe &amp; Restaurant</x:v>
      </x:c>
      <x:c r="F1109" t="str">
        <x:v>Paneer Pakauda</x:v>
      </x:c>
      <x:c r="G1109" t="str">
        <x:v>Food</x:v>
      </x:c>
      <x:c r="H1109" t="n">
        <x:v>1</x:v>
      </x:c>
      <x:c r="I1109" s="14" t="n">
        <x:v>200</x:v>
      </x:c>
      <x:c r="J1109" s="14" t="n">
        <x:v>200</x:v>
      </x:c>
      <x:c r="K1109" t="str">
        <x:v>DEMO / SIMULATED</x:v>
      </x:c>
    </x:row>
    <x:row r="1110">
      <x:c r="A1110" t="str">
        <x:v>JFD-20240621-0628</x:v>
      </x:c>
      <x:c r="B1110" s="11" t="n">
        <x:v>45464.56527777778</x:v>
      </x:c>
      <x:c r="C1110" s="13" t="n">
        <x:v>0.5652777777777778</x:v>
      </x:c>
      <x:c r="D1110" t="str">
        <x:v>Birtamode</x:v>
      </x:c>
      <x:c r="E1110" t="str">
        <x:v>The Underground Cafe &amp; Restaurant</x:v>
      </x:c>
      <x:c r="F1110" t="str">
        <x:v>Coca-Cola 500ml</x:v>
      </x:c>
      <x:c r="G1110" t="str">
        <x:v>Drink</x:v>
      </x:c>
      <x:c r="H1110" t="n">
        <x:v>3</x:v>
      </x:c>
      <x:c r="I1110" s="14" t="n">
        <x:v>90</x:v>
      </x:c>
      <x:c r="J1110" s="14" t="n">
        <x:v>270</x:v>
      </x:c>
      <x:c r="K1110" t="str">
        <x:v>DEMO / SIMULATED</x:v>
      </x:c>
    </x:row>
    <x:row r="1111">
      <x:c r="A1111" t="str">
        <x:v>JFD-20240621-0628</x:v>
      </x:c>
      <x:c r="B1111" s="11" t="n">
        <x:v>45464.70277777778</x:v>
      </x:c>
      <x:c r="C1111" s="13" t="n">
        <x:v>0.7027777777777777</x:v>
      </x:c>
      <x:c r="D1111" t="str">
        <x:v>Birtamode</x:v>
      </x:c>
      <x:c r="E1111" t="str">
        <x:v>The Underground Cafe &amp; Restaurant</x:v>
      </x:c>
      <x:c r="F1111" t="str">
        <x:v>Veg Pakauda</x:v>
      </x:c>
      <x:c r="G1111" t="str">
        <x:v>Food</x:v>
      </x:c>
      <x:c r="H1111" t="n">
        <x:v>1</x:v>
      </x:c>
      <x:c r="I1111" s="14" t="n">
        <x:v>155</x:v>
      </x:c>
      <x:c r="J1111" s="14" t="n">
        <x:v>155</x:v>
      </x:c>
      <x:c r="K1111" t="str">
        <x:v>DEMO / SIMULATED</x:v>
      </x:c>
    </x:row>
    <x:row r="1112">
      <x:c r="A1112" t="str">
        <x:v>JFD-20260927-0629</x:v>
      </x:c>
      <x:c r="B1112" s="11" t="n">
        <x:v>46292.84375</x:v>
      </x:c>
      <x:c r="C1112" s="13" t="n">
        <x:v>0.84375</x:v>
      </x:c>
      <x:c r="D1112" t="str">
        <x:v>Damak</x:v>
      </x:c>
      <x:c r="E1112" t="str">
        <x:v>Milan’s Bakery</x:v>
      </x:c>
      <x:c r="F1112" t="str">
        <x:v>Coca-Cola 500ml</x:v>
      </x:c>
      <x:c r="G1112" t="str">
        <x:v>Drink</x:v>
      </x:c>
      <x:c r="H1112" t="n">
        <x:v>3</x:v>
      </x:c>
      <x:c r="I1112" s="14" t="n">
        <x:v>100</x:v>
      </x:c>
      <x:c r="J1112" s="14" t="n">
        <x:v>300</x:v>
      </x:c>
      <x:c r="K1112" t="str">
        <x:v>DEMO / SIMULATED</x:v>
      </x:c>
    </x:row>
    <x:row r="1113">
      <x:c r="A1113" t="str">
        <x:v>JFD-20231027-0630</x:v>
      </x:c>
      <x:c r="B1113" s="11" t="n">
        <x:v>45226.56319444445</x:v>
      </x:c>
      <x:c r="C1113" s="13" t="n">
        <x:v>0.5631944444444444</x:v>
      </x:c>
      <x:c r="D1113" t="str">
        <x:v>Birtamode</x:v>
      </x:c>
      <x:c r="E1113" t="str">
        <x:v>The Underground Cafe &amp; Restaurant</x:v>
      </x:c>
      <x:c r="F1113" t="str">
        <x:v>Aalu Jeera</x:v>
      </x:c>
      <x:c r="G1113" t="str">
        <x:v>Food</x:v>
      </x:c>
      <x:c r="H1113" t="n">
        <x:v>2</x:v>
      </x:c>
      <x:c r="I1113" s="14" t="n">
        <x:v>125</x:v>
      </x:c>
      <x:c r="J1113" s="14" t="n">
        <x:v>250</x:v>
      </x:c>
      <x:c r="K1113" t="str">
        <x:v>DEMO / SIMULATED</x:v>
      </x:c>
    </x:row>
    <x:row r="1114">
      <x:c r="A1114" t="str">
        <x:v>JFD-20231027-0630</x:v>
      </x:c>
      <x:c r="B1114" s="11" t="n">
        <x:v>45226.888194444444</x:v>
      </x:c>
      <x:c r="C1114" s="13" t="n">
        <x:v>0.8881944444444444</x:v>
      </x:c>
      <x:c r="D1114" t="str">
        <x:v>Birtamode</x:v>
      </x:c>
      <x:c r="E1114" t="str">
        <x:v>The Underground Cafe &amp; Restaurant</x:v>
      </x:c>
      <x:c r="F1114" t="str">
        <x:v>Veg Pakauda</x:v>
      </x:c>
      <x:c r="G1114" t="str">
        <x:v>Food</x:v>
      </x:c>
      <x:c r="H1114" t="n">
        <x:v>4</x:v>
      </x:c>
      <x:c r="I1114" s="14" t="n">
        <x:v>145</x:v>
      </x:c>
      <x:c r="J1114" s="14" t="n">
        <x:v>580</x:v>
      </x:c>
      <x:c r="K1114" t="str">
        <x:v>DEMO / SIMULATED</x:v>
      </x:c>
    </x:row>
    <x:row r="1115">
      <x:c r="A1115" t="str">
        <x:v>JFD-20260429-0631</x:v>
      </x:c>
      <x:c r="B1115" s="11" t="n">
        <x:v>46141.48402777778</x:v>
      </x:c>
      <x:c r="C1115" s="13" t="n">
        <x:v>0.4840277777777778</x:v>
      </x:c>
      <x:c r="D1115" t="str">
        <x:v>Birtamode</x:v>
      </x:c>
      <x:c r="E1115" t="str">
        <x:v>Pizza Ghar</x:v>
      </x:c>
      <x:c r="F1115" t="str">
        <x:v>Egg Fried Rice</x:v>
      </x:c>
      <x:c r="G1115" t="str">
        <x:v>Food</x:v>
      </x:c>
      <x:c r="H1115" t="n">
        <x:v>1</x:v>
      </x:c>
      <x:c r="I1115" s="14" t="n">
        <x:v>270</x:v>
      </x:c>
      <x:c r="J1115" s="14" t="n">
        <x:v>270</x:v>
      </x:c>
      <x:c r="K1115" t="str">
        <x:v>DEMO / SIMULATED</x:v>
      </x:c>
    </x:row>
    <x:row r="1116">
      <x:c r="A1116" t="str">
        <x:v>JFD-20260429-0631</x:v>
      </x:c>
      <x:c r="B1116" s="11" t="n">
        <x:v>46141.6</x:v>
      </x:c>
      <x:c r="C1116" s="13" t="n">
        <x:v>0.6</x:v>
      </x:c>
      <x:c r="D1116" t="str">
        <x:v>Birtamode</x:v>
      </x:c>
      <x:c r="E1116" t="str">
        <x:v>Pizza Ghar</x:v>
      </x:c>
      <x:c r="F1116" t="str">
        <x:v>Coca-Cola 500ml</x:v>
      </x:c>
      <x:c r="G1116" t="str">
        <x:v>Drink</x:v>
      </x:c>
      <x:c r="H1116" t="n">
        <x:v>2</x:v>
      </x:c>
      <x:c r="I1116" s="14" t="n">
        <x:v>100</x:v>
      </x:c>
      <x:c r="J1116" s="14" t="n">
        <x:v>200</x:v>
      </x:c>
      <x:c r="K1116" t="str">
        <x:v>DEMO / SIMULATED</x:v>
      </x:c>
    </x:row>
    <x:row r="1117">
      <x:c r="A1117" t="str">
        <x:v>JFD-20260429-0631</x:v>
      </x:c>
      <x:c r="B1117" s="11" t="n">
        <x:v>46141.55625</x:v>
      </x:c>
      <x:c r="C1117" s="13" t="n">
        <x:v>0.55625</x:v>
      </x:c>
      <x:c r="D1117" t="str">
        <x:v>Birtamode</x:v>
      </x:c>
      <x:c r="E1117" t="str">
        <x:v>Pizza Ghar</x:v>
      </x:c>
      <x:c r="F1117" t="str">
        <x:v>Chicken BBQ Feast Pizza</x:v>
      </x:c>
      <x:c r="G1117" t="str">
        <x:v>Food</x:v>
      </x:c>
      <x:c r="H1117" t="n">
        <x:v>4</x:v>
      </x:c>
      <x:c r="I1117" s="14" t="n">
        <x:v>580</x:v>
      </x:c>
      <x:c r="J1117" s="14" t="n">
        <x:v>2320</x:v>
      </x:c>
      <x:c r="K1117" t="str">
        <x:v>DEMO / SIMULATED</x:v>
      </x:c>
    </x:row>
    <x:row r="1118">
      <x:c r="A1118" t="str">
        <x:v>JFD-20230911-0632</x:v>
      </x:c>
      <x:c r="B1118" s="11" t="n">
        <x:v>45180.65694444445</x:v>
      </x:c>
      <x:c r="C1118" s="13" t="n">
        <x:v>0.6569444444444444</x:v>
      </x:c>
      <x:c r="D1118" t="str">
        <x:v>Damak</x:v>
      </x:c>
      <x:c r="E1118" t="str">
        <x:v>Late Night Cravings</x:v>
      </x:c>
      <x:c r="F1118" t="str">
        <x:v>Mix Fry Rice</x:v>
      </x:c>
      <x:c r="G1118" t="str">
        <x:v>Food</x:v>
      </x:c>
      <x:c r="H1118" t="n">
        <x:v>2</x:v>
      </x:c>
      <x:c r="I1118" s="14" t="n">
        <x:v>230</x:v>
      </x:c>
      <x:c r="J1118" s="14" t="n">
        <x:v>460</x:v>
      </x:c>
      <x:c r="K1118" t="str">
        <x:v>DEMO / SIMULATED</x:v>
      </x:c>
    </x:row>
    <x:row r="1119">
      <x:c r="A1119" t="str">
        <x:v>JFD-20230911-0632</x:v>
      </x:c>
      <x:c r="B1119" s="11" t="n">
        <x:v>45180.885416666664</x:v>
      </x:c>
      <x:c r="C1119" s="13" t="n">
        <x:v>0.8854166666666666</x:v>
      </x:c>
      <x:c r="D1119" t="str">
        <x:v>Damak</x:v>
      </x:c>
      <x:c r="E1119" t="str">
        <x:v>Late Night Cravings</x:v>
      </x:c>
      <x:c r="F1119" t="str">
        <x:v>Bottled Water 1L</x:v>
      </x:c>
      <x:c r="G1119" t="str">
        <x:v>Drink</x:v>
      </x:c>
      <x:c r="H1119" t="n">
        <x:v>4</x:v>
      </x:c>
      <x:c r="I1119" s="14" t="n">
        <x:v>35</x:v>
      </x:c>
      <x:c r="J1119" s="14" t="n">
        <x:v>140</x:v>
      </x:c>
      <x:c r="K1119" t="str">
        <x:v>DEMO / SIMULATED</x:v>
      </x:c>
    </x:row>
    <x:row r="1120">
      <x:c r="A1120" t="str">
        <x:v>JFD-20260414-0633</x:v>
      </x:c>
      <x:c r="B1120" s="11" t="n">
        <x:v>46126.72361111111</x:v>
      </x:c>
      <x:c r="C1120" s="13" t="n">
        <x:v>0.7236111111111111</x:v>
      </x:c>
      <x:c r="D1120" t="str">
        <x:v>Birtamode</x:v>
      </x:c>
      <x:c r="E1120" t="str">
        <x:v>Pizza Ghar</x:v>
      </x:c>
      <x:c r="F1120" t="str">
        <x:v>Egg Fried Rice</x:v>
      </x:c>
      <x:c r="G1120" t="str">
        <x:v>Food</x:v>
      </x:c>
      <x:c r="H1120" t="n">
        <x:v>2</x:v>
      </x:c>
      <x:c r="I1120" s="14" t="n">
        <x:v>270</x:v>
      </x:c>
      <x:c r="J1120" s="14" t="n">
        <x:v>540</x:v>
      </x:c>
      <x:c r="K1120" t="str">
        <x:v>DEMO / SIMULATED</x:v>
      </x:c>
    </x:row>
    <x:row r="1121">
      <x:c r="A1121" t="str">
        <x:v>JFD-20231211-0634</x:v>
      </x:c>
      <x:c r="B1121" s="11" t="n">
        <x:v>45271.72777777778</x:v>
      </x:c>
      <x:c r="C1121" s="13" t="n">
        <x:v>0.7277777777777777</x:v>
      </x:c>
      <x:c r="D1121" t="str">
        <x:v>Birtamode</x:v>
      </x:c>
      <x:c r="E1121" t="str">
        <x:v>Pizza Ghar</x:v>
      </x:c>
      <x:c r="F1121" t="str">
        <x:v>Chicken Fried Rice</x:v>
      </x:c>
      <x:c r="G1121" t="str">
        <x:v>Food</x:v>
      </x:c>
      <x:c r="H1121" t="n">
        <x:v>1</x:v>
      </x:c>
      <x:c r="I1121" s="14" t="n">
        <x:v>245</x:v>
      </x:c>
      <x:c r="J1121" s="14" t="n">
        <x:v>245</x:v>
      </x:c>
      <x:c r="K1121" t="str">
        <x:v>DEMO / SIMULATED</x:v>
      </x:c>
    </x:row>
    <x:row r="1122">
      <x:c r="A1122" t="str">
        <x:v>JFD-20231211-0634</x:v>
      </x:c>
      <x:c r="B1122" s="11" t="n">
        <x:v>45271.87430555555</x:v>
      </x:c>
      <x:c r="C1122" s="13" t="n">
        <x:v>0.8743055555555556</x:v>
      </x:c>
      <x:c r="D1122" t="str">
        <x:v>Birtamode</x:v>
      </x:c>
      <x:c r="E1122" t="str">
        <x:v>Pizza Ghar</x:v>
      </x:c>
      <x:c r="F1122" t="str">
        <x:v>Egg Fried Rice</x:v>
      </x:c>
      <x:c r="G1122" t="str">
        <x:v>Food</x:v>
      </x:c>
      <x:c r="H1122" t="n">
        <x:v>2</x:v>
      </x:c>
      <x:c r="I1122" s="14" t="n">
        <x:v>220</x:v>
      </x:c>
      <x:c r="J1122" s="14" t="n">
        <x:v>440</x:v>
      </x:c>
      <x:c r="K1122" t="str">
        <x:v>DEMO / SIMULATED</x:v>
      </x:c>
    </x:row>
    <x:row r="1123">
      <x:c r="A1123" t="str">
        <x:v>JFD-20230317-0635</x:v>
      </x:c>
      <x:c r="B1123" s="11" t="n">
        <x:v>45002.87013888889</x:v>
      </x:c>
      <x:c r="C1123" s="13" t="n">
        <x:v>0.8701388888888889</x:v>
      </x:c>
      <x:c r="D1123" t="str">
        <x:v>Birtamode</x:v>
      </x:c>
      <x:c r="E1123" t="str">
        <x:v>Pizza Ghar</x:v>
      </x:c>
      <x:c r="F1123" t="str">
        <x:v>Chicken BBQ Feast Pizza</x:v>
      </x:c>
      <x:c r="G1123" t="str">
        <x:v>Food</x:v>
      </x:c>
      <x:c r="H1123" t="n">
        <x:v>4</x:v>
      </x:c>
      <x:c r="I1123" s="14" t="n">
        <x:v>475</x:v>
      </x:c>
      <x:c r="J1123" s="14" t="n">
        <x:v>1900</x:v>
      </x:c>
      <x:c r="K1123" t="str">
        <x:v>DEMO / SIMULATED</x:v>
      </x:c>
    </x:row>
    <x:row r="1124">
      <x:c r="A1124" t="str">
        <x:v>JFD-20230424-0636</x:v>
      </x:c>
      <x:c r="B1124" s="11" t="n">
        <x:v>45040.60763888889</x:v>
      </x:c>
      <x:c r="C1124" s="13" t="n">
        <x:v>0.6076388888888888</x:v>
      </x:c>
      <x:c r="D1124" t="str">
        <x:v>Birtamode</x:v>
      </x:c>
      <x:c r="E1124" t="str">
        <x:v>Pizza Ghar</x:v>
      </x:c>
      <x:c r="F1124" t="str">
        <x:v>Bottled Water 1L</x:v>
      </x:c>
      <x:c r="G1124" t="str">
        <x:v>Drink</x:v>
      </x:c>
      <x:c r="H1124" t="n">
        <x:v>1</x:v>
      </x:c>
      <x:c r="I1124" s="14" t="n">
        <x:v>35</x:v>
      </x:c>
      <x:c r="J1124" s="14" t="n">
        <x:v>35</x:v>
      </x:c>
      <x:c r="K1124" t="str">
        <x:v>DEMO / SIMULATED</x:v>
      </x:c>
    </x:row>
    <x:row r="1125">
      <x:c r="A1125" t="str">
        <x:v>JFD-20230424-0636</x:v>
      </x:c>
      <x:c r="B1125" s="11" t="n">
        <x:v>45040.55416666667</x:v>
      </x:c>
      <x:c r="C1125" s="13" t="n">
        <x:v>0.5541666666666667</x:v>
      </x:c>
      <x:c r="D1125" t="str">
        <x:v>Birtamode</x:v>
      </x:c>
      <x:c r="E1125" t="str">
        <x:v>Pizza Ghar</x:v>
      </x:c>
      <x:c r="F1125" t="str">
        <x:v>Veg Fried Rice</x:v>
      </x:c>
      <x:c r="G1125" t="str">
        <x:v>Food</x:v>
      </x:c>
      <x:c r="H1125" t="n">
        <x:v>3</x:v>
      </x:c>
      <x:c r="I1125" s="14" t="n">
        <x:v>180</x:v>
      </x:c>
      <x:c r="J1125" s="14" t="n">
        <x:v>540</x:v>
      </x:c>
      <x:c r="K1125" t="str">
        <x:v>DEMO / SIMULATED</x:v>
      </x:c>
    </x:row>
    <x:row r="1126">
      <x:c r="A1126" t="str">
        <x:v>JFD-20230424-0636</x:v>
      </x:c>
      <x:c r="B1126" s="11" t="n">
        <x:v>45040.86319444444</x:v>
      </x:c>
      <x:c r="C1126" s="13" t="n">
        <x:v>0.8631944444444445</x:v>
      </x:c>
      <x:c r="D1126" t="str">
        <x:v>Birtamode</x:v>
      </x:c>
      <x:c r="E1126" t="str">
        <x:v>Pizza Ghar</x:v>
      </x:c>
      <x:c r="F1126" t="str">
        <x:v>Chicken BBQ Feast Pizza</x:v>
      </x:c>
      <x:c r="G1126" t="str">
        <x:v>Food</x:v>
      </x:c>
      <x:c r="H1126" t="n">
        <x:v>1</x:v>
      </x:c>
      <x:c r="I1126" s="14" t="n">
        <x:v>475</x:v>
      </x:c>
      <x:c r="J1126" s="14" t="n">
        <x:v>475</x:v>
      </x:c>
      <x:c r="K1126" t="str">
        <x:v>DEMO / SIMULATED</x:v>
      </x:c>
    </x:row>
    <x:row r="1127">
      <x:c r="A1127" t="str">
        <x:v>JFD-20250819-0637</x:v>
      </x:c>
      <x:c r="B1127" s="11" t="n">
        <x:v>45888.54513888889</x:v>
      </x:c>
      <x:c r="C1127" s="13" t="n">
        <x:v>0.5451388888888888</x:v>
      </x:c>
      <x:c r="D1127" t="str">
        <x:v>Birtamode</x:v>
      </x:c>
      <x:c r="E1127" t="str">
        <x:v>Pizza Ghar</x:v>
      </x:c>
      <x:c r="F1127" t="str">
        <x:v>Bottled Water 1L</x:v>
      </x:c>
      <x:c r="G1127" t="str">
        <x:v>Drink</x:v>
      </x:c>
      <x:c r="H1127" t="n">
        <x:v>2</x:v>
      </x:c>
      <x:c r="I1127" s="14" t="n">
        <x:v>40</x:v>
      </x:c>
      <x:c r="J1127" s="14" t="n">
        <x:v>80</x:v>
      </x:c>
      <x:c r="K1127" t="str">
        <x:v>DEMO / SIMULATED</x:v>
      </x:c>
    </x:row>
    <x:row r="1128">
      <x:c r="A1128" t="str">
        <x:v>JFD-20250306-0638</x:v>
      </x:c>
      <x:c r="B1128" s="11" t="n">
        <x:v>45722.89791666667</x:v>
      </x:c>
      <x:c r="C1128" s="13" t="n">
        <x:v>0.8979166666666667</x:v>
      </x:c>
      <x:c r="D1128" t="str">
        <x:v>Damak</x:v>
      </x:c>
      <x:c r="E1128" t="str">
        <x:v>Milan’s Bakery</x:v>
      </x:c>
      <x:c r="F1128" t="str">
        <x:v>Coca-Cola 500ml</x:v>
      </x:c>
      <x:c r="G1128" t="str">
        <x:v>Drink</x:v>
      </x:c>
      <x:c r="H1128" t="n">
        <x:v>4</x:v>
      </x:c>
      <x:c r="I1128" s="14" t="n">
        <x:v>95</x:v>
      </x:c>
      <x:c r="J1128" s="14" t="n">
        <x:v>380</x:v>
      </x:c>
      <x:c r="K1128" t="str">
        <x:v>DEMO / SIMULATED</x:v>
      </x:c>
    </x:row>
    <x:row r="1129">
      <x:c r="A1129" t="str">
        <x:v>JFD-20240712-0639</x:v>
      </x:c>
      <x:c r="B1129" s="11" t="n">
        <x:v>45485.61041666667</x:v>
      </x:c>
      <x:c r="C1129" s="13" t="n">
        <x:v>0.6104166666666667</x:v>
      </x:c>
      <x:c r="D1129" t="str">
        <x:v>Damak</x:v>
      </x:c>
      <x:c r="E1129" t="str">
        <x:v>Milan’s Bakery</x:v>
      </x:c>
      <x:c r="F1129" t="str">
        <x:v>Bottled Water 1L</x:v>
      </x:c>
      <x:c r="G1129" t="str">
        <x:v>Drink</x:v>
      </x:c>
      <x:c r="H1129" t="n">
        <x:v>1</x:v>
      </x:c>
      <x:c r="I1129" s="14" t="n">
        <x:v>35</x:v>
      </x:c>
      <x:c r="J1129" s="14" t="n">
        <x:v>35</x:v>
      </x:c>
      <x:c r="K1129" t="str">
        <x:v>DEMO / SIMULATED</x:v>
      </x:c>
    </x:row>
    <x:row r="1130">
      <x:c r="A1130" t="str">
        <x:v>JFD-20250526-0640</x:v>
      </x:c>
      <x:c r="B1130" s="11" t="n">
        <x:v>45803.89513888889</x:v>
      </x:c>
      <x:c r="C1130" s="13" t="n">
        <x:v>0.8951388888888889</x:v>
      </x:c>
      <x:c r="D1130" t="str">
        <x:v>Damak</x:v>
      </x:c>
      <x:c r="E1130" t="str">
        <x:v>Milan’s Bakery</x:v>
      </x:c>
      <x:c r="F1130" t="str">
        <x:v>Red Velvet Cake</x:v>
      </x:c>
      <x:c r="G1130" t="str">
        <x:v>Food</x:v>
      </x:c>
      <x:c r="H1130" t="n">
        <x:v>4</x:v>
      </x:c>
      <x:c r="I1130" s="14" t="n">
        <x:v>845</x:v>
      </x:c>
      <x:c r="J1130" s="14" t="n">
        <x:v>3380</x:v>
      </x:c>
      <x:c r="K1130" t="str">
        <x:v>DEMO / SIMULATED</x:v>
      </x:c>
    </x:row>
    <x:row r="1131">
      <x:c r="A1131" t="str">
        <x:v>JFD-20241230-0641</x:v>
      </x:c>
      <x:c r="B1131" s="11" t="n">
        <x:v>45656.50555555556</x:v>
      </x:c>
      <x:c r="C1131" s="13" t="n">
        <x:v>0.5055555555555555</x:v>
      </x:c>
      <x:c r="D1131" t="str">
        <x:v>Birtamode</x:v>
      </x:c>
      <x:c r="E1131" t="str">
        <x:v>Pizza Ghar</x:v>
      </x:c>
      <x:c r="F1131" t="str">
        <x:v>Chicken Fried Rice</x:v>
      </x:c>
      <x:c r="G1131" t="str">
        <x:v>Food</x:v>
      </x:c>
      <x:c r="H1131" t="n">
        <x:v>1</x:v>
      </x:c>
      <x:c r="I1131" s="14" t="n">
        <x:v>265</x:v>
      </x:c>
      <x:c r="J1131" s="14" t="n">
        <x:v>265</x:v>
      </x:c>
      <x:c r="K1131" t="str">
        <x:v>DEMO / SIMULATED</x:v>
      </x:c>
    </x:row>
    <x:row r="1132">
      <x:c r="A1132" t="str">
        <x:v>JFD-20241230-0641</x:v>
      </x:c>
      <x:c r="B1132" s="11" t="n">
        <x:v>45656.78888888889</x:v>
      </x:c>
      <x:c r="C1132" s="13" t="n">
        <x:v>0.7888888888888889</x:v>
      </x:c>
      <x:c r="D1132" t="str">
        <x:v>Birtamode</x:v>
      </x:c>
      <x:c r="E1132" t="str">
        <x:v>Pizza Ghar</x:v>
      </x:c>
      <x:c r="F1132" t="str">
        <x:v>Chicken BBQ Feast Pizza</x:v>
      </x:c>
      <x:c r="G1132" t="str">
        <x:v>Food</x:v>
      </x:c>
      <x:c r="H1132" t="n">
        <x:v>4</x:v>
      </x:c>
      <x:c r="I1132" s="14" t="n">
        <x:v>510</x:v>
      </x:c>
      <x:c r="J1132" s="14" t="n">
        <x:v>2040</x:v>
      </x:c>
      <x:c r="K1132" t="str">
        <x:v>DEMO / SIMULATED</x:v>
      </x:c>
    </x:row>
    <x:row r="1133">
      <x:c r="A1133" t="str">
        <x:v>JFD-20231011-0642</x:v>
      </x:c>
      <x:c r="B1133" s="11" t="n">
        <x:v>45210.57361111111</x:v>
      </x:c>
      <x:c r="C1133" s="13" t="n">
        <x:v>0.5736111111111111</x:v>
      </x:c>
      <x:c r="D1133" t="str">
        <x:v>Damak</x:v>
      </x:c>
      <x:c r="E1133" t="str">
        <x:v>Milan’s Bakery</x:v>
      </x:c>
      <x:c r="F1133" t="str">
        <x:v>Chocolate Cake</x:v>
      </x:c>
      <x:c r="G1133" t="str">
        <x:v>Food</x:v>
      </x:c>
      <x:c r="H1133" t="n">
        <x:v>4</x:v>
      </x:c>
      <x:c r="I1133" s="14" t="n">
        <x:v>285</x:v>
      </x:c>
      <x:c r="J1133" s="14" t="n">
        <x:v>1140</x:v>
      </x:c>
      <x:c r="K1133" t="str">
        <x:v>DEMO / SIMULATED</x:v>
      </x:c>
    </x:row>
    <x:row r="1134">
      <x:c r="A1134" t="str">
        <x:v>JFD-20231011-0642</x:v>
      </x:c>
      <x:c r="B1134" s="11" t="n">
        <x:v>45210.72361111111</x:v>
      </x:c>
      <x:c r="C1134" s="13" t="n">
        <x:v>0.7236111111111111</x:v>
      </x:c>
      <x:c r="D1134" t="str">
        <x:v>Damak</x:v>
      </x:c>
      <x:c r="E1134" t="str">
        <x:v>Milan’s Bakery</x:v>
      </x:c>
      <x:c r="F1134" t="str">
        <x:v>Red Velvet Cake</x:v>
      </x:c>
      <x:c r="G1134" t="str">
        <x:v>Food</x:v>
      </x:c>
      <x:c r="H1134" t="n">
        <x:v>4</x:v>
      </x:c>
      <x:c r="I1134" s="14" t="n">
        <x:v>740</x:v>
      </x:c>
      <x:c r="J1134" s="14" t="n">
        <x:v>2960</x:v>
      </x:c>
      <x:c r="K1134" t="str">
        <x:v>DEMO / SIMULATED</x:v>
      </x:c>
    </x:row>
    <x:row r="1135">
      <x:c r="A1135" t="str">
        <x:v>JFD-20231011-0642</x:v>
      </x:c>
      <x:c r="B1135" s="11" t="n">
        <x:v>45210.85763888889</x:v>
      </x:c>
      <x:c r="C1135" s="13" t="n">
        <x:v>0.8576388888888888</x:v>
      </x:c>
      <x:c r="D1135" t="str">
        <x:v>Damak</x:v>
      </x:c>
      <x:c r="E1135" t="str">
        <x:v>Milan’s Bakery</x:v>
      </x:c>
      <x:c r="F1135" t="str">
        <x:v>Bottled Water 1L</x:v>
      </x:c>
      <x:c r="G1135" t="str">
        <x:v>Drink</x:v>
      </x:c>
      <x:c r="H1135" t="n">
        <x:v>2</x:v>
      </x:c>
      <x:c r="I1135" s="14" t="n">
        <x:v>35</x:v>
      </x:c>
      <x:c r="J1135" s="14" t="n">
        <x:v>70</x:v>
      </x:c>
      <x:c r="K1135" t="str">
        <x:v>DEMO / SIMULATED</x:v>
      </x:c>
    </x:row>
    <x:row r="1136">
      <x:c r="A1136" t="str">
        <x:v>JFD-20230726-0643</x:v>
      </x:c>
      <x:c r="B1136" s="11" t="n">
        <x:v>45133.57986111111</x:v>
      </x:c>
      <x:c r="C1136" s="13" t="n">
        <x:v>0.5798611111111112</x:v>
      </x:c>
      <x:c r="D1136" t="str">
        <x:v>Damak</x:v>
      </x:c>
      <x:c r="E1136" t="str">
        <x:v>Milan’s Bakery</x:v>
      </x:c>
      <x:c r="F1136" t="str">
        <x:v>Red Velvet Cake</x:v>
      </x:c>
      <x:c r="G1136" t="str">
        <x:v>Food</x:v>
      </x:c>
      <x:c r="H1136" t="n">
        <x:v>3</x:v>
      </x:c>
      <x:c r="I1136" s="14" t="n">
        <x:v>740</x:v>
      </x:c>
      <x:c r="J1136" s="14" t="n">
        <x:v>2220</x:v>
      </x:c>
      <x:c r="K1136" t="str">
        <x:v>DEMO / SIMULATED</x:v>
      </x:c>
    </x:row>
    <x:row r="1137">
      <x:c r="A1137" t="str">
        <x:v>JFD-20230726-0643</x:v>
      </x:c>
      <x:c r="B1137" s="11" t="n">
        <x:v>45133.60208333333</x:v>
      </x:c>
      <x:c r="C1137" s="13" t="n">
        <x:v>0.6020833333333333</x:v>
      </x:c>
      <x:c r="D1137" t="str">
        <x:v>Damak</x:v>
      </x:c>
      <x:c r="E1137" t="str">
        <x:v>Milan’s Bakery</x:v>
      </x:c>
      <x:c r="F1137" t="str">
        <x:v>Vanilla Cake</x:v>
      </x:c>
      <x:c r="G1137" t="str">
        <x:v>Food</x:v>
      </x:c>
      <x:c r="H1137" t="n">
        <x:v>4</x:v>
      </x:c>
      <x:c r="I1137" s="14" t="n">
        <x:v>245</x:v>
      </x:c>
      <x:c r="J1137" s="14" t="n">
        <x:v>980</x:v>
      </x:c>
      <x:c r="K1137" t="str">
        <x:v>DEMO / SIMULATED</x:v>
      </x:c>
    </x:row>
    <x:row r="1138">
      <x:c r="A1138" t="str">
        <x:v>JFD-20260404-0644</x:v>
      </x:c>
      <x:c r="B1138" s="11" t="n">
        <x:v>46116.76111111111</x:v>
      </x:c>
      <x:c r="C1138" s="13" t="n">
        <x:v>0.7611111111111111</x:v>
      </x:c>
      <x:c r="D1138" t="str">
        <x:v>Birtamode</x:v>
      </x:c>
      <x:c r="E1138" t="str">
        <x:v>Pizza Ghar</x:v>
      </x:c>
      <x:c r="F1138" t="str">
        <x:v>Chicken BBQ Feast Pizza</x:v>
      </x:c>
      <x:c r="G1138" t="str">
        <x:v>Food</x:v>
      </x:c>
      <x:c r="H1138" t="n">
        <x:v>3</x:v>
      </x:c>
      <x:c r="I1138" s="14" t="n">
        <x:v>580</x:v>
      </x:c>
      <x:c r="J1138" s="14" t="n">
        <x:v>1740</x:v>
      </x:c>
      <x:c r="K1138" t="str">
        <x:v>DEMO / SIMULATED</x:v>
      </x:c>
    </x:row>
    <x:row r="1139">
      <x:c r="A1139" t="str">
        <x:v>JFD-20260404-0644</x:v>
      </x:c>
      <x:c r="B1139" s="11" t="n">
        <x:v>46116.65555555555</x:v>
      </x:c>
      <x:c r="C1139" s="13" t="n">
        <x:v>0.6555555555555556</x:v>
      </x:c>
      <x:c r="D1139" t="str">
        <x:v>Birtamode</x:v>
      </x:c>
      <x:c r="E1139" t="str">
        <x:v>Pizza Ghar</x:v>
      </x:c>
      <x:c r="F1139" t="str">
        <x:v>Chicken Fried Rice</x:v>
      </x:c>
      <x:c r="G1139" t="str">
        <x:v>Food</x:v>
      </x:c>
      <x:c r="H1139" t="n">
        <x:v>3</x:v>
      </x:c>
      <x:c r="I1139" s="14" t="n">
        <x:v>300</x:v>
      </x:c>
      <x:c r="J1139" s="14" t="n">
        <x:v>900</x:v>
      </x:c>
      <x:c r="K1139" t="str">
        <x:v>DEMO / SIMULATED</x:v>
      </x:c>
    </x:row>
    <x:row r="1140">
      <x:c r="A1140" t="str">
        <x:v>JFD-20250903-0645</x:v>
      </x:c>
      <x:c r="B1140" s="11" t="n">
        <x:v>45903.63888888889</x:v>
      </x:c>
      <x:c r="C1140" s="13" t="n">
        <x:v>0.6388888888888888</x:v>
      </x:c>
      <x:c r="D1140" t="str">
        <x:v>Birtamode</x:v>
      </x:c>
      <x:c r="E1140" t="str">
        <x:v>Pizza Ghar</x:v>
      </x:c>
      <x:c r="F1140" t="str">
        <x:v>Coca-Cola 500ml</x:v>
      </x:c>
      <x:c r="G1140" t="str">
        <x:v>Drink</x:v>
      </x:c>
      <x:c r="H1140" t="n">
        <x:v>4</x:v>
      </x:c>
      <x:c r="I1140" s="14" t="n">
        <x:v>95</x:v>
      </x:c>
      <x:c r="J1140" s="14" t="n">
        <x:v>380</x:v>
      </x:c>
      <x:c r="K1140" t="str">
        <x:v>DEMO / SIMULATED</x:v>
      </x:c>
    </x:row>
    <x:row r="1141">
      <x:c r="A1141" t="str">
        <x:v>JFD-20250903-0645</x:v>
      </x:c>
      <x:c r="B1141" s="11" t="n">
        <x:v>45903.433333333334</x:v>
      </x:c>
      <x:c r="C1141" s="13" t="n">
        <x:v>0.43333333333333335</x:v>
      </x:c>
      <x:c r="D1141" t="str">
        <x:v>Birtamode</x:v>
      </x:c>
      <x:c r="E1141" t="str">
        <x:v>Pizza Ghar</x:v>
      </x:c>
      <x:c r="F1141" t="str">
        <x:v>Chicken Fried Rice</x:v>
      </x:c>
      <x:c r="G1141" t="str">
        <x:v>Food</x:v>
      </x:c>
      <x:c r="H1141" t="n">
        <x:v>3</x:v>
      </x:c>
      <x:c r="I1141" s="14" t="n">
        <x:v>280</x:v>
      </x:c>
      <x:c r="J1141" s="14" t="n">
        <x:v>840</x:v>
      </x:c>
      <x:c r="K1141" t="str">
        <x:v>DEMO / SIMULATED</x:v>
      </x:c>
    </x:row>
    <x:row r="1142">
      <x:c r="A1142" t="str">
        <x:v>JFD-20250109-0646</x:v>
      </x:c>
      <x:c r="B1142" s="11" t="n">
        <x:v>45666.65555555555</x:v>
      </x:c>
      <x:c r="C1142" s="13" t="n">
        <x:v>0.6555555555555556</x:v>
      </x:c>
      <x:c r="D1142" t="str">
        <x:v>Birtamode</x:v>
      </x:c>
      <x:c r="E1142" t="str">
        <x:v>Pizza Ghar</x:v>
      </x:c>
      <x:c r="F1142" t="str">
        <x:v>Chicken BBQ Feast Pizza</x:v>
      </x:c>
      <x:c r="G1142" t="str">
        <x:v>Food</x:v>
      </x:c>
      <x:c r="H1142" t="n">
        <x:v>2</x:v>
      </x:c>
      <x:c r="I1142" s="14" t="n">
        <x:v>545</x:v>
      </x:c>
      <x:c r="J1142" s="14" t="n">
        <x:v>1090</x:v>
      </x:c>
      <x:c r="K1142" t="str">
        <x:v>DEMO / SIMULATED</x:v>
      </x:c>
    </x:row>
    <x:row r="1143">
      <x:c r="A1143" t="str">
        <x:v>JFD-20250109-0646</x:v>
      </x:c>
      <x:c r="B1143" s="11" t="n">
        <x:v>45666.70277777778</x:v>
      </x:c>
      <x:c r="C1143" s="13" t="n">
        <x:v>0.7027777777777777</x:v>
      </x:c>
      <x:c r="D1143" t="str">
        <x:v>Birtamode</x:v>
      </x:c>
      <x:c r="E1143" t="str">
        <x:v>Pizza Ghar</x:v>
      </x:c>
      <x:c r="F1143" t="str">
        <x:v>Chicken Fried Rice</x:v>
      </x:c>
      <x:c r="G1143" t="str">
        <x:v>Food</x:v>
      </x:c>
      <x:c r="H1143" t="n">
        <x:v>3</x:v>
      </x:c>
      <x:c r="I1143" s="14" t="n">
        <x:v>280</x:v>
      </x:c>
      <x:c r="J1143" s="14" t="n">
        <x:v>840</x:v>
      </x:c>
      <x:c r="K1143" t="str">
        <x:v>DEMO / SIMULATED</x:v>
      </x:c>
    </x:row>
    <x:row r="1144">
      <x:c r="A1144" t="str">
        <x:v>JFD-20250109-0646</x:v>
      </x:c>
      <x:c r="B1144" s="11" t="n">
        <x:v>45666.768055555556</x:v>
      </x:c>
      <x:c r="C1144" s="13" t="n">
        <x:v>0.7680555555555556</x:v>
      </x:c>
      <x:c r="D1144" t="str">
        <x:v>Birtamode</x:v>
      </x:c>
      <x:c r="E1144" t="str">
        <x:v>Pizza Ghar</x:v>
      </x:c>
      <x:c r="F1144" t="str">
        <x:v>Coca-Cola 500ml</x:v>
      </x:c>
      <x:c r="G1144" t="str">
        <x:v>Drink</x:v>
      </x:c>
      <x:c r="H1144" t="n">
        <x:v>1</x:v>
      </x:c>
      <x:c r="I1144" s="14" t="n">
        <x:v>95</x:v>
      </x:c>
      <x:c r="J1144" s="14" t="n">
        <x:v>95</x:v>
      </x:c>
      <x:c r="K1144" t="str">
        <x:v>DEMO / SIMULATED</x:v>
      </x:c>
    </x:row>
    <x:row r="1145">
      <x:c r="A1145" t="str">
        <x:v>JFD-20251017-0647</x:v>
      </x:c>
      <x:c r="B1145" s="11" t="n">
        <x:v>45947.82916666667</x:v>
      </x:c>
      <x:c r="C1145" s="13" t="n">
        <x:v>0.8291666666666667</x:v>
      </x:c>
      <x:c r="D1145" t="str">
        <x:v>Damak</x:v>
      </x:c>
      <x:c r="E1145" t="str">
        <x:v>Milan’s Bakery</x:v>
      </x:c>
      <x:c r="F1145" t="str">
        <x:v>Red Velvet Cake</x:v>
      </x:c>
      <x:c r="G1145" t="str">
        <x:v>Food</x:v>
      </x:c>
      <x:c r="H1145" t="n">
        <x:v>4</x:v>
      </x:c>
      <x:c r="I1145" s="14" t="n">
        <x:v>845</x:v>
      </x:c>
      <x:c r="J1145" s="14" t="n">
        <x:v>3380</x:v>
      </x:c>
      <x:c r="K1145" t="str">
        <x:v>DEMO / SIMULATED</x:v>
      </x:c>
    </x:row>
    <x:row r="1146">
      <x:c r="A1146" t="str">
        <x:v>JFD-20230922-0648</x:v>
      </x:c>
      <x:c r="B1146" s="11" t="n">
        <x:v>45191.63958333333</x:v>
      </x:c>
      <x:c r="C1146" s="13" t="n">
        <x:v>0.6395833333333333</x:v>
      </x:c>
      <x:c r="D1146" t="str">
        <x:v>Damak</x:v>
      </x:c>
      <x:c r="E1146" t="str">
        <x:v>Milan’s Bakery</x:v>
      </x:c>
      <x:c r="F1146" t="str">
        <x:v>Bottled Water 1L</x:v>
      </x:c>
      <x:c r="G1146" t="str">
        <x:v>Drink</x:v>
      </x:c>
      <x:c r="H1146" t="n">
        <x:v>4</x:v>
      </x:c>
      <x:c r="I1146" s="14" t="n">
        <x:v>35</x:v>
      </x:c>
      <x:c r="J1146" s="14" t="n">
        <x:v>140</x:v>
      </x:c>
      <x:c r="K1146" t="str">
        <x:v>DEMO / SIMULATED</x:v>
      </x:c>
    </x:row>
    <x:row r="1147">
      <x:c r="A1147" t="str">
        <x:v>JFD-20230922-0648</x:v>
      </x:c>
      <x:c r="B1147" s="11" t="n">
        <x:v>45191.57986111111</x:v>
      </x:c>
      <x:c r="C1147" s="13" t="n">
        <x:v>0.5798611111111112</x:v>
      </x:c>
      <x:c r="D1147" t="str">
        <x:v>Damak</x:v>
      </x:c>
      <x:c r="E1147" t="str">
        <x:v>Milan’s Bakery</x:v>
      </x:c>
      <x:c r="F1147" t="str">
        <x:v>Vanilla Cake</x:v>
      </x:c>
      <x:c r="G1147" t="str">
        <x:v>Food</x:v>
      </x:c>
      <x:c r="H1147" t="n">
        <x:v>3</x:v>
      </x:c>
      <x:c r="I1147" s="14" t="n">
        <x:v>245</x:v>
      </x:c>
      <x:c r="J1147" s="14" t="n">
        <x:v>735</x:v>
      </x:c>
      <x:c r="K1147" t="str">
        <x:v>DEMO / SIMULATED</x:v>
      </x:c>
    </x:row>
    <x:row r="1148">
      <x:c r="A1148" t="str">
        <x:v>JFD-20251112-0649</x:v>
      </x:c>
      <x:c r="B1148" s="11" t="n">
        <x:v>45973.73541666667</x:v>
      </x:c>
      <x:c r="C1148" s="13" t="n">
        <x:v>0.7354166666666667</x:v>
      </x:c>
      <x:c r="D1148" t="str">
        <x:v>Damak</x:v>
      </x:c>
      <x:c r="E1148" t="str">
        <x:v>Milan’s Bakery</x:v>
      </x:c>
      <x:c r="F1148" t="str">
        <x:v>Black Forest Cake</x:v>
      </x:c>
      <x:c r="G1148" t="str">
        <x:v>Food</x:v>
      </x:c>
      <x:c r="H1148" t="n">
        <x:v>4</x:v>
      </x:c>
      <x:c r="I1148" s="14" t="n">
        <x:v>280</x:v>
      </x:c>
      <x:c r="J1148" s="14" t="n">
        <x:v>1120</x:v>
      </x:c>
      <x:c r="K1148" t="str">
        <x:v>DEMO / SIMULATED</x:v>
      </x:c>
    </x:row>
    <x:row r="1149">
      <x:c r="A1149" t="str">
        <x:v>JFD-20251112-0649</x:v>
      </x:c>
      <x:c r="B1149" s="11" t="n">
        <x:v>45973.84166666667</x:v>
      </x:c>
      <x:c r="C1149" s="13" t="n">
        <x:v>0.8416666666666667</x:v>
      </x:c>
      <x:c r="D1149" t="str">
        <x:v>Damak</x:v>
      </x:c>
      <x:c r="E1149" t="str">
        <x:v>Milan’s Bakery</x:v>
      </x:c>
      <x:c r="F1149" t="str">
        <x:v>Red Velvet Cake</x:v>
      </x:c>
      <x:c r="G1149" t="str">
        <x:v>Food</x:v>
      </x:c>
      <x:c r="H1149" t="n">
        <x:v>3</x:v>
      </x:c>
      <x:c r="I1149" s="14" t="n">
        <x:v>845</x:v>
      </x:c>
      <x:c r="J1149" s="14" t="n">
        <x:v>2535</x:v>
      </x:c>
      <x:c r="K1149" t="str">
        <x:v>DEMO / SIMULATED</x:v>
      </x:c>
    </x:row>
    <x:row r="1150">
      <x:c r="A1150" t="str">
        <x:v>JFD-20230610-0650</x:v>
      </x:c>
      <x:c r="B1150" s="11" t="n">
        <x:v>45087.90625</x:v>
      </x:c>
      <x:c r="C1150" s="13" t="n">
        <x:v>0.90625</x:v>
      </x:c>
      <x:c r="D1150" t="str">
        <x:v>Damak</x:v>
      </x:c>
      <x:c r="E1150" t="str">
        <x:v>Milan’s Bakery</x:v>
      </x:c>
      <x:c r="F1150" t="str">
        <x:v>Bottled Water 1L</x:v>
      </x:c>
      <x:c r="G1150" t="str">
        <x:v>Drink</x:v>
      </x:c>
      <x:c r="H1150" t="n">
        <x:v>4</x:v>
      </x:c>
      <x:c r="I1150" s="14" t="n">
        <x:v>35</x:v>
      </x:c>
      <x:c r="J1150" s="14" t="n">
        <x:v>140</x:v>
      </x:c>
      <x:c r="K1150" t="str">
        <x:v>DEMO / SIMULATED</x:v>
      </x:c>
    </x:row>
    <x:row r="1151">
      <x:c r="A1151" t="str">
        <x:v>JFD-20240225-0651</x:v>
      </x:c>
      <x:c r="B1151" s="11" t="n">
        <x:v>45347.47361111111</x:v>
      </x:c>
      <x:c r="C1151" s="13" t="n">
        <x:v>0.4736111111111111</x:v>
      </x:c>
      <x:c r="D1151" t="str">
        <x:v>Damak</x:v>
      </x:c>
      <x:c r="E1151" t="str">
        <x:v>Milan’s Bakery</x:v>
      </x:c>
      <x:c r="F1151" t="str">
        <x:v>Black Forest Cake</x:v>
      </x:c>
      <x:c r="G1151" t="str">
        <x:v>Food</x:v>
      </x:c>
      <x:c r="H1151" t="n">
        <x:v>2</x:v>
      </x:c>
      <x:c r="I1151" s="14" t="n">
        <x:v>265</x:v>
      </x:c>
      <x:c r="J1151" s="14" t="n">
        <x:v>530</x:v>
      </x:c>
      <x:c r="K1151" t="str">
        <x:v>DEMO / SIMULATED</x:v>
      </x:c>
    </x:row>
    <x:row r="1152">
      <x:c r="A1152" t="str">
        <x:v>JFD-20240225-0651</x:v>
      </x:c>
      <x:c r="B1152" s="11" t="n">
        <x:v>45347.90902777778</x:v>
      </x:c>
      <x:c r="C1152" s="13" t="n">
        <x:v>0.9090277777777778</x:v>
      </x:c>
      <x:c r="D1152" t="str">
        <x:v>Damak</x:v>
      </x:c>
      <x:c r="E1152" t="str">
        <x:v>Milan’s Bakery</x:v>
      </x:c>
      <x:c r="F1152" t="str">
        <x:v>Chocolate Cake</x:v>
      </x:c>
      <x:c r="G1152" t="str">
        <x:v>Food</x:v>
      </x:c>
      <x:c r="H1152" t="n">
        <x:v>3</x:v>
      </x:c>
      <x:c r="I1152" s="14" t="n">
        <x:v>310</x:v>
      </x:c>
      <x:c r="J1152" s="14" t="n">
        <x:v>930</x:v>
      </x:c>
      <x:c r="K1152" t="str">
        <x:v>DEMO / SIMULATED</x:v>
      </x:c>
    </x:row>
    <x:row r="1153">
      <x:c r="A1153" t="str">
        <x:v>JFD-20240122-0652</x:v>
      </x:c>
      <x:c r="B1153" s="11" t="n">
        <x:v>45313.65347222222</x:v>
      </x:c>
      <x:c r="C1153" s="13" t="n">
        <x:v>0.6534722222222222</x:v>
      </x:c>
      <x:c r="D1153" t="str">
        <x:v>Damak</x:v>
      </x:c>
      <x:c r="E1153" t="str">
        <x:v>Milan’s Bakery</x:v>
      </x:c>
      <x:c r="F1153" t="str">
        <x:v>Coca-Cola 500ml</x:v>
      </x:c>
      <x:c r="G1153" t="str">
        <x:v>Drink</x:v>
      </x:c>
      <x:c r="H1153" t="n">
        <x:v>4</x:v>
      </x:c>
      <x:c r="I1153" s="14" t="n">
        <x:v>90</x:v>
      </x:c>
      <x:c r="J1153" s="14" t="n">
        <x:v>360</x:v>
      </x:c>
      <x:c r="K1153" t="str">
        <x:v>DEMO / SIMULATED</x:v>
      </x:c>
    </x:row>
    <x:row r="1154">
      <x:c r="A1154" t="str">
        <x:v>JFD-20260219-0653</x:v>
      </x:c>
      <x:c r="B1154" s="11" t="n">
        <x:v>46072.84027777778</x:v>
      </x:c>
      <x:c r="C1154" s="13" t="n">
        <x:v>0.8402777777777778</x:v>
      </x:c>
      <x:c r="D1154" t="str">
        <x:v>Birtamode</x:v>
      </x:c>
      <x:c r="E1154" t="str">
        <x:v>Pizza Ghar</x:v>
      </x:c>
      <x:c r="F1154" t="str">
        <x:v>Veg Fried Rice</x:v>
      </x:c>
      <x:c r="G1154" t="str">
        <x:v>Food</x:v>
      </x:c>
      <x:c r="H1154" t="n">
        <x:v>1</x:v>
      </x:c>
      <x:c r="I1154" s="14" t="n">
        <x:v>220</x:v>
      </x:c>
      <x:c r="J1154" s="14" t="n">
        <x:v>220</x:v>
      </x:c>
      <x:c r="K1154" t="str">
        <x:v>DEMO / SIMULATED</x:v>
      </x:c>
    </x:row>
    <x:row r="1155">
      <x:c r="A1155" t="str">
        <x:v>JFD-20260224-0654</x:v>
      </x:c>
      <x:c r="B1155" s="11" t="n">
        <x:v>46077.541666666664</x:v>
      </x:c>
      <x:c r="C1155" s="13" t="n">
        <x:v>0.5416666666666666</x:v>
      </x:c>
      <x:c r="D1155" t="str">
        <x:v>Damak</x:v>
      </x:c>
      <x:c r="E1155" t="str">
        <x:v>Late Night Cravings</x:v>
      </x:c>
      <x:c r="F1155" t="str">
        <x:v>Egg Fry Rice</x:v>
      </x:c>
      <x:c r="G1155" t="str">
        <x:v>Food</x:v>
      </x:c>
      <x:c r="H1155" t="n">
        <x:v>4</x:v>
      </x:c>
      <x:c r="I1155" s="14" t="n">
        <x:v>200</x:v>
      </x:c>
      <x:c r="J1155" s="14" t="n">
        <x:v>800</x:v>
      </x:c>
      <x:c r="K1155" t="str">
        <x:v>DEMO / SIMULATED</x:v>
      </x:c>
    </x:row>
    <x:row r="1156">
      <x:c r="A1156" t="str">
        <x:v>JFD-20250305-0655</x:v>
      </x:c>
      <x:c r="B1156" s="11" t="n">
        <x:v>45721.864583333336</x:v>
      </x:c>
      <x:c r="C1156" s="13" t="n">
        <x:v>0.8645833333333334</x:v>
      </x:c>
      <x:c r="D1156" t="str">
        <x:v>Damak</x:v>
      </x:c>
      <x:c r="E1156" t="str">
        <x:v>Late Night Cravings</x:v>
      </x:c>
      <x:c r="F1156" t="str">
        <x:v>Coca-Cola 500ml</x:v>
      </x:c>
      <x:c r="G1156" t="str">
        <x:v>Drink</x:v>
      </x:c>
      <x:c r="H1156" t="n">
        <x:v>1</x:v>
      </x:c>
      <x:c r="I1156" s="14" t="n">
        <x:v>95</x:v>
      </x:c>
      <x:c r="J1156" s="14" t="n">
        <x:v>95</x:v>
      </x:c>
      <x:c r="K1156" t="str">
        <x:v>DEMO / SIMULATED</x:v>
      </x:c>
    </x:row>
    <x:row r="1157">
      <x:c r="A1157" t="str">
        <x:v>JFD-20250106-0656</x:v>
      </x:c>
      <x:c r="B1157" s="11" t="n">
        <x:v>45663.46597222222</x:v>
      </x:c>
      <x:c r="C1157" s="13" t="n">
        <x:v>0.46597222222222223</x:v>
      </x:c>
      <x:c r="D1157" t="str">
        <x:v>Birtamode</x:v>
      </x:c>
      <x:c r="E1157" t="str">
        <x:v>The Underground Cafe &amp; Restaurant</x:v>
      </x:c>
      <x:c r="F1157" t="str">
        <x:v>Aalu Jeera</x:v>
      </x:c>
      <x:c r="G1157" t="str">
        <x:v>Food</x:v>
      </x:c>
      <x:c r="H1157" t="n">
        <x:v>3</x:v>
      </x:c>
      <x:c r="I1157" s="14" t="n">
        <x:v>145</x:v>
      </x:c>
      <x:c r="J1157" s="14" t="n">
        <x:v>435</x:v>
      </x:c>
      <x:c r="K1157" t="str">
        <x:v>DEMO / SIMULATED</x:v>
      </x:c>
    </x:row>
    <x:row r="1158">
      <x:c r="A1158" t="str">
        <x:v>JFD-20250106-0656</x:v>
      </x:c>
      <x:c r="B1158" s="11" t="n">
        <x:v>45663.59652777778</x:v>
      </x:c>
      <x:c r="C1158" s="13" t="n">
        <x:v>0.5965277777777778</x:v>
      </x:c>
      <x:c r="D1158" t="str">
        <x:v>Birtamode</x:v>
      </x:c>
      <x:c r="E1158" t="str">
        <x:v>The Underground Cafe &amp; Restaurant</x:v>
      </x:c>
      <x:c r="F1158" t="str">
        <x:v>Paneer Pakauda</x:v>
      </x:c>
      <x:c r="G1158" t="str">
        <x:v>Food</x:v>
      </x:c>
      <x:c r="H1158" t="n">
        <x:v>1</x:v>
      </x:c>
      <x:c r="I1158" s="14" t="n">
        <x:v>210</x:v>
      </x:c>
      <x:c r="J1158" s="14" t="n">
        <x:v>210</x:v>
      </x:c>
      <x:c r="K1158" t="str">
        <x:v>DEMO / SIMULATED</x:v>
      </x:c>
    </x:row>
    <x:row r="1159">
      <x:c r="A1159" t="str">
        <x:v>JFD-20230522-0657</x:v>
      </x:c>
      <x:c r="B1159" s="11" t="n">
        <x:v>45068.55</x:v>
      </x:c>
      <x:c r="C1159" s="13" t="n">
        <x:v>0.55</x:v>
      </x:c>
      <x:c r="D1159" t="str">
        <x:v>Birtamode</x:v>
      </x:c>
      <x:c r="E1159" t="str">
        <x:v>Pizza Ghar</x:v>
      </x:c>
      <x:c r="F1159" t="str">
        <x:v>Chicken Fried Rice</x:v>
      </x:c>
      <x:c r="G1159" t="str">
        <x:v>Food</x:v>
      </x:c>
      <x:c r="H1159" t="n">
        <x:v>4</x:v>
      </x:c>
      <x:c r="I1159" s="14" t="n">
        <x:v>245</x:v>
      </x:c>
      <x:c r="J1159" s="14" t="n">
        <x:v>980</x:v>
      </x:c>
      <x:c r="K1159" t="str">
        <x:v>DEMO / SIMULATED</x:v>
      </x:c>
    </x:row>
    <x:row r="1160">
      <x:c r="A1160" t="str">
        <x:v>JFD-20230522-0657</x:v>
      </x:c>
      <x:c r="B1160" s="11" t="n">
        <x:v>45068.44375</x:v>
      </x:c>
      <x:c r="C1160" s="13" t="n">
        <x:v>0.44375</x:v>
      </x:c>
      <x:c r="D1160" t="str">
        <x:v>Birtamode</x:v>
      </x:c>
      <x:c r="E1160" t="str">
        <x:v>Pizza Ghar</x:v>
      </x:c>
      <x:c r="F1160" t="str">
        <x:v>Coca-Cola 500ml</x:v>
      </x:c>
      <x:c r="G1160" t="str">
        <x:v>Drink</x:v>
      </x:c>
      <x:c r="H1160" t="n">
        <x:v>1</x:v>
      </x:c>
      <x:c r="I1160" s="14" t="n">
        <x:v>80</x:v>
      </x:c>
      <x:c r="J1160" s="14" t="n">
        <x:v>80</x:v>
      </x:c>
      <x:c r="K1160" t="str">
        <x:v>DEMO / SIMULATED</x:v>
      </x:c>
    </x:row>
    <x:row r="1161">
      <x:c r="A1161" t="str">
        <x:v>JFD-20230522-0657</x:v>
      </x:c>
      <x:c r="B1161" s="11" t="n">
        <x:v>45068.8</x:v>
      </x:c>
      <x:c r="C1161" s="13" t="n">
        <x:v>0.8</x:v>
      </x:c>
      <x:c r="D1161" t="str">
        <x:v>Birtamode</x:v>
      </x:c>
      <x:c r="E1161" t="str">
        <x:v>Pizza Ghar</x:v>
      </x:c>
      <x:c r="F1161" t="str">
        <x:v>Bottled Water 1L</x:v>
      </x:c>
      <x:c r="G1161" t="str">
        <x:v>Drink</x:v>
      </x:c>
      <x:c r="H1161" t="n">
        <x:v>2</x:v>
      </x:c>
      <x:c r="I1161" s="14" t="n">
        <x:v>35</x:v>
      </x:c>
      <x:c r="J1161" s="14" t="n">
        <x:v>70</x:v>
      </x:c>
      <x:c r="K1161" t="str">
        <x:v>DEMO / SIMULATED</x:v>
      </x:c>
    </x:row>
    <x:row r="1162">
      <x:c r="A1162" t="str">
        <x:v>JFD-20241224-0658</x:v>
      </x:c>
      <x:c r="B1162" s="11" t="n">
        <x:v>45650.89236111111</x:v>
      </x:c>
      <x:c r="C1162" s="13" t="n">
        <x:v>0.8923611111111112</x:v>
      </x:c>
      <x:c r="D1162" t="str">
        <x:v>Damak</x:v>
      </x:c>
      <x:c r="E1162" t="str">
        <x:v>Late Night Cravings</x:v>
      </x:c>
      <x:c r="F1162" t="str">
        <x:v>Chicken Fry Rice</x:v>
      </x:c>
      <x:c r="G1162" t="str">
        <x:v>Food</x:v>
      </x:c>
      <x:c r="H1162" t="n">
        <x:v>3</x:v>
      </x:c>
      <x:c r="I1162" s="14" t="n">
        <x:v>195</x:v>
      </x:c>
      <x:c r="J1162" s="14" t="n">
        <x:v>585</x:v>
      </x:c>
      <x:c r="K1162" t="str">
        <x:v>DEMO / SIMULATED</x:v>
      </x:c>
    </x:row>
    <x:row r="1163">
      <x:c r="A1163" t="str">
        <x:v>JFD-20241224-0658</x:v>
      </x:c>
      <x:c r="B1163" s="11" t="n">
        <x:v>45650.768055555556</x:v>
      </x:c>
      <x:c r="C1163" s="13" t="n">
        <x:v>0.7680555555555556</x:v>
      </x:c>
      <x:c r="D1163" t="str">
        <x:v>Damak</x:v>
      </x:c>
      <x:c r="E1163" t="str">
        <x:v>Late Night Cravings</x:v>
      </x:c>
      <x:c r="F1163" t="str">
        <x:v>Bottled Water 1L</x:v>
      </x:c>
      <x:c r="G1163" t="str">
        <x:v>Drink</x:v>
      </x:c>
      <x:c r="H1163" t="n">
        <x:v>2</x:v>
      </x:c>
      <x:c r="I1163" s="14" t="n">
        <x:v>35</x:v>
      </x:c>
      <x:c r="J1163" s="14" t="n">
        <x:v>70</x:v>
      </x:c>
      <x:c r="K1163" t="str">
        <x:v>DEMO / SIMULATED</x:v>
      </x:c>
    </x:row>
    <x:row r="1164">
      <x:c r="A1164" t="str">
        <x:v>JFD-20241224-0658</x:v>
      </x:c>
      <x:c r="B1164" s="11" t="n">
        <x:v>45650.60208333333</x:v>
      </x:c>
      <x:c r="C1164" s="13" t="n">
        <x:v>0.6020833333333333</x:v>
      </x:c>
      <x:c r="D1164" t="str">
        <x:v>Damak</x:v>
      </x:c>
      <x:c r="E1164" t="str">
        <x:v>Late Night Cravings</x:v>
      </x:c>
      <x:c r="F1164" t="str">
        <x:v>Egg Fry Rice</x:v>
      </x:c>
      <x:c r="G1164" t="str">
        <x:v>Food</x:v>
      </x:c>
      <x:c r="H1164" t="n">
        <x:v>1</x:v>
      </x:c>
      <x:c r="I1164" s="14" t="n">
        <x:v>175</x:v>
      </x:c>
      <x:c r="J1164" s="14" t="n">
        <x:v>175</x:v>
      </x:c>
      <x:c r="K1164" t="str">
        <x:v>DEMO / SIMULATED</x:v>
      </x:c>
    </x:row>
    <x:row r="1165">
      <x:c r="A1165" t="str">
        <x:v>JFD-20230615-0659</x:v>
      </x:c>
      <x:c r="B1165" s="11" t="n">
        <x:v>45092.43819444445</x:v>
      </x:c>
      <x:c r="C1165" s="13" t="n">
        <x:v>0.43819444444444444</x:v>
      </x:c>
      <x:c r="D1165" t="str">
        <x:v>Birtamode</x:v>
      </x:c>
      <x:c r="E1165" t="str">
        <x:v>Pizza Ghar</x:v>
      </x:c>
      <x:c r="F1165" t="str">
        <x:v>Coca-Cola 500ml</x:v>
      </x:c>
      <x:c r="G1165" t="str">
        <x:v>Drink</x:v>
      </x:c>
      <x:c r="H1165" t="n">
        <x:v>2</x:v>
      </x:c>
      <x:c r="I1165" s="14" t="n">
        <x:v>80</x:v>
      </x:c>
      <x:c r="J1165" s="14" t="n">
        <x:v>160</x:v>
      </x:c>
      <x:c r="K1165" t="str">
        <x:v>DEMO / SIMULATED</x:v>
      </x:c>
    </x:row>
    <x:row r="1166">
      <x:c r="A1166" t="str">
        <x:v>JFD-20230615-0659</x:v>
      </x:c>
      <x:c r="B1166" s="11" t="n">
        <x:v>45092.87013888889</x:v>
      </x:c>
      <x:c r="C1166" s="13" t="n">
        <x:v>0.8701388888888889</x:v>
      </x:c>
      <x:c r="D1166" t="str">
        <x:v>Birtamode</x:v>
      </x:c>
      <x:c r="E1166" t="str">
        <x:v>Pizza Ghar</x:v>
      </x:c>
      <x:c r="F1166" t="str">
        <x:v>Veg Fried Rice</x:v>
      </x:c>
      <x:c r="G1166" t="str">
        <x:v>Food</x:v>
      </x:c>
      <x:c r="H1166" t="n">
        <x:v>3</x:v>
      </x:c>
      <x:c r="I1166" s="14" t="n">
        <x:v>180</x:v>
      </x:c>
      <x:c r="J1166" s="14" t="n">
        <x:v>540</x:v>
      </x:c>
      <x:c r="K1166" t="str">
        <x:v>DEMO / SIMULATED</x:v>
      </x:c>
    </x:row>
    <x:row r="1167">
      <x:c r="A1167" t="str">
        <x:v>JFD-20230615-0659</x:v>
      </x:c>
      <x:c r="B1167" s="11" t="n">
        <x:v>45092.751388888886</x:v>
      </x:c>
      <x:c r="C1167" s="13" t="n">
        <x:v>0.7513888888888889</x:v>
      </x:c>
      <x:c r="D1167" t="str">
        <x:v>Birtamode</x:v>
      </x:c>
      <x:c r="E1167" t="str">
        <x:v>Pizza Ghar</x:v>
      </x:c>
      <x:c r="F1167" t="str">
        <x:v>Bottled Water 1L</x:v>
      </x:c>
      <x:c r="G1167" t="str">
        <x:v>Drink</x:v>
      </x:c>
      <x:c r="H1167" t="n">
        <x:v>3</x:v>
      </x:c>
      <x:c r="I1167" s="14" t="n">
        <x:v>35</x:v>
      </x:c>
      <x:c r="J1167" s="14" t="n">
        <x:v>105</x:v>
      </x:c>
      <x:c r="K1167" t="str">
        <x:v>DEMO / SIMULATED</x:v>
      </x:c>
    </x:row>
    <x:row r="1168">
      <x:c r="A1168" t="str">
        <x:v>JFD-20260606-0660</x:v>
      </x:c>
      <x:c r="B1168" s="11" t="n">
        <x:v>46179.72708333333</x:v>
      </x:c>
      <x:c r="C1168" s="13" t="n">
        <x:v>0.7270833333333333</x:v>
      </x:c>
      <x:c r="D1168" t="str">
        <x:v>Damak</x:v>
      </x:c>
      <x:c r="E1168" t="str">
        <x:v>Late Night Cravings</x:v>
      </x:c>
      <x:c r="F1168" t="str">
        <x:v>Bottled Water 1L</x:v>
      </x:c>
      <x:c r="G1168" t="str">
        <x:v>Drink</x:v>
      </x:c>
      <x:c r="H1168" t="n">
        <x:v>1</x:v>
      </x:c>
      <x:c r="I1168" s="14" t="n">
        <x:v>40</x:v>
      </x:c>
      <x:c r="J1168" s="14" t="n">
        <x:v>40</x:v>
      </x:c>
      <x:c r="K1168" t="str">
        <x:v>DEMO / SIMULATED</x:v>
      </x:c>
    </x:row>
    <x:row r="1169">
      <x:c r="A1169" t="str">
        <x:v>JFD-20260606-0660</x:v>
      </x:c>
      <x:c r="B1169" s="11" t="n">
        <x:v>46179.771527777775</x:v>
      </x:c>
      <x:c r="C1169" s="13" t="n">
        <x:v>0.7715277777777778</x:v>
      </x:c>
      <x:c r="D1169" t="str">
        <x:v>Damak</x:v>
      </x:c>
      <x:c r="E1169" t="str">
        <x:v>Late Night Cravings</x:v>
      </x:c>
      <x:c r="F1169" t="str">
        <x:v>Coca-Cola 500ml</x:v>
      </x:c>
      <x:c r="G1169" t="str">
        <x:v>Drink</x:v>
      </x:c>
      <x:c r="H1169" t="n">
        <x:v>4</x:v>
      </x:c>
      <x:c r="I1169" s="14" t="n">
        <x:v>100</x:v>
      </x:c>
      <x:c r="J1169" s="14" t="n">
        <x:v>400</x:v>
      </x:c>
      <x:c r="K1169" t="str">
        <x:v>DEMO / SIMULATED</x:v>
      </x:c>
    </x:row>
    <x:row r="1170">
      <x:c r="A1170" t="str">
        <x:v>JFD-20260606-0660</x:v>
      </x:c>
      <x:c r="B1170" s="11" t="n">
        <x:v>46179.563888888886</x:v>
      </x:c>
      <x:c r="C1170" s="13" t="n">
        <x:v>0.5638888888888889</x:v>
      </x:c>
      <x:c r="D1170" t="str">
        <x:v>Damak</x:v>
      </x:c>
      <x:c r="E1170" t="str">
        <x:v>Late Night Cravings</x:v>
      </x:c>
      <x:c r="F1170" t="str">
        <x:v>Veg Fry Rice</x:v>
      </x:c>
      <x:c r="G1170" t="str">
        <x:v>Food</x:v>
      </x:c>
      <x:c r="H1170" t="n">
        <x:v>4</x:v>
      </x:c>
      <x:c r="I1170" s="14" t="n">
        <x:v>160</x:v>
      </x:c>
      <x:c r="J1170" s="14" t="n">
        <x:v>640</x:v>
      </x:c>
      <x:c r="K1170" t="str">
        <x:v>DEMO / SIMULATED</x:v>
      </x:c>
    </x:row>
    <x:row r="1171">
      <x:c r="A1171" t="str">
        <x:v>JFD-20230901-0661</x:v>
      </x:c>
      <x:c r="B1171" s="11" t="n">
        <x:v>45170.69930555556</x:v>
      </x:c>
      <x:c r="C1171" s="13" t="n">
        <x:v>0.6993055555555555</x:v>
      </x:c>
      <x:c r="D1171" t="str">
        <x:v>Birtamode</x:v>
      </x:c>
      <x:c r="E1171" t="str">
        <x:v>The Underground Cafe &amp; Restaurant</x:v>
      </x:c>
      <x:c r="F1171" t="str">
        <x:v>Coca-Cola 500ml</x:v>
      </x:c>
      <x:c r="G1171" t="str">
        <x:v>Drink</x:v>
      </x:c>
      <x:c r="H1171" t="n">
        <x:v>2</x:v>
      </x:c>
      <x:c r="I1171" s="14" t="n">
        <x:v>80</x:v>
      </x:c>
      <x:c r="J1171" s="14" t="n">
        <x:v>160</x:v>
      </x:c>
      <x:c r="K1171" t="str">
        <x:v>DEMO / SIMULATED</x:v>
      </x:c>
    </x:row>
    <x:row r="1172">
      <x:c r="A1172" t="str">
        <x:v>JFD-20230901-0661</x:v>
      </x:c>
      <x:c r="B1172" s="11" t="n">
        <x:v>45170.864583333336</x:v>
      </x:c>
      <x:c r="C1172" s="13" t="n">
        <x:v>0.8645833333333334</x:v>
      </x:c>
      <x:c r="D1172" t="str">
        <x:v>Birtamode</x:v>
      </x:c>
      <x:c r="E1172" t="str">
        <x:v>The Underground Cafe &amp; Restaurant</x:v>
      </x:c>
      <x:c r="F1172" t="str">
        <x:v>Paneer Pakauda</x:v>
      </x:c>
      <x:c r="G1172" t="str">
        <x:v>Food</x:v>
      </x:c>
      <x:c r="H1172" t="n">
        <x:v>4</x:v>
      </x:c>
      <x:c r="I1172" s="14" t="n">
        <x:v>185</x:v>
      </x:c>
      <x:c r="J1172" s="14" t="n">
        <x:v>740</x:v>
      </x:c>
      <x:c r="K1172" t="str">
        <x:v>DEMO / SIMULATED</x:v>
      </x:c>
    </x:row>
    <x:row r="1173">
      <x:c r="A1173" t="str">
        <x:v>JFD-20230901-0661</x:v>
      </x:c>
      <x:c r="B1173" s="11" t="n">
        <x:v>45170.6125</x:v>
      </x:c>
      <x:c r="C1173" s="13" t="n">
        <x:v>0.6125</x:v>
      </x:c>
      <x:c r="D1173" t="str">
        <x:v>Birtamode</x:v>
      </x:c>
      <x:c r="E1173" t="str">
        <x:v>The Underground Cafe &amp; Restaurant</x:v>
      </x:c>
      <x:c r="F1173" t="str">
        <x:v>Bottled Water 1L</x:v>
      </x:c>
      <x:c r="G1173" t="str">
        <x:v>Drink</x:v>
      </x:c>
      <x:c r="H1173" t="n">
        <x:v>1</x:v>
      </x:c>
      <x:c r="I1173" s="14" t="n">
        <x:v>35</x:v>
      </x:c>
      <x:c r="J1173" s="14" t="n">
        <x:v>35</x:v>
      </x:c>
      <x:c r="K1173" t="str">
        <x:v>DEMO / SIMULATED</x:v>
      </x:c>
    </x:row>
    <x:row r="1174">
      <x:c r="A1174" t="str">
        <x:v>JFD-20241007-0662</x:v>
      </x:c>
      <x:c r="B1174" s="11" t="n">
        <x:v>45572.74236111111</x:v>
      </x:c>
      <x:c r="C1174" s="13" t="n">
        <x:v>0.7423611111111111</x:v>
      </x:c>
      <x:c r="D1174" t="str">
        <x:v>Birtamode</x:v>
      </x:c>
      <x:c r="E1174" t="str">
        <x:v>Pizza Ghar</x:v>
      </x:c>
      <x:c r="F1174" t="str">
        <x:v>Chicken Fried Rice</x:v>
      </x:c>
      <x:c r="G1174" t="str">
        <x:v>Food</x:v>
      </x:c>
      <x:c r="H1174" t="n">
        <x:v>4</x:v>
      </x:c>
      <x:c r="I1174" s="14" t="n">
        <x:v>265</x:v>
      </x:c>
      <x:c r="J1174" s="14" t="n">
        <x:v>1060</x:v>
      </x:c>
      <x:c r="K1174" t="str">
        <x:v>DEMO / SIMULATED</x:v>
      </x:c>
    </x:row>
    <x:row r="1175">
      <x:c r="A1175" t="str">
        <x:v>JFD-20230121-0663</x:v>
      </x:c>
      <x:c r="B1175" s="11" t="n">
        <x:v>44947.819444444445</x:v>
      </x:c>
      <x:c r="C1175" s="13" t="n">
        <x:v>0.8194444444444444</x:v>
      </x:c>
      <x:c r="D1175" t="str">
        <x:v>Damak</x:v>
      </x:c>
      <x:c r="E1175" t="str">
        <x:v>Late Night Cravings</x:v>
      </x:c>
      <x:c r="F1175" t="str">
        <x:v>Chicken Fry Rice</x:v>
      </x:c>
      <x:c r="G1175" t="str">
        <x:v>Food</x:v>
      </x:c>
      <x:c r="H1175" t="n">
        <x:v>1</x:v>
      </x:c>
      <x:c r="I1175" s="14" t="n">
        <x:v>180</x:v>
      </x:c>
      <x:c r="J1175" s="14" t="n">
        <x:v>180</x:v>
      </x:c>
      <x:c r="K1175" t="str">
        <x:v>DEMO / SIMULATED</x:v>
      </x:c>
    </x:row>
    <x:row r="1176">
      <x:c r="A1176" t="str">
        <x:v>JFD-20230121-0663</x:v>
      </x:c>
      <x:c r="B1176" s="11" t="n">
        <x:v>44947.552777777775</x:v>
      </x:c>
      <x:c r="C1176" s="13" t="n">
        <x:v>0.5527777777777778</x:v>
      </x:c>
      <x:c r="D1176" t="str">
        <x:v>Damak</x:v>
      </x:c>
      <x:c r="E1176" t="str">
        <x:v>Late Night Cravings</x:v>
      </x:c>
      <x:c r="F1176" t="str">
        <x:v>Veg Fry Rice</x:v>
      </x:c>
      <x:c r="G1176" t="str">
        <x:v>Food</x:v>
      </x:c>
      <x:c r="H1176" t="n">
        <x:v>4</x:v>
      </x:c>
      <x:c r="I1176" s="14" t="n">
        <x:v>130</x:v>
      </x:c>
      <x:c r="J1176" s="14" t="n">
        <x:v>520</x:v>
      </x:c>
      <x:c r="K1176" t="str">
        <x:v>DEMO / SIMULATED</x:v>
      </x:c>
    </x:row>
    <x:row r="1177">
      <x:c r="A1177" t="str">
        <x:v>JFD-20230121-0663</x:v>
      </x:c>
      <x:c r="B1177" s="11" t="n">
        <x:v>44947.44930555556</x:v>
      </x:c>
      <x:c r="C1177" s="13" t="n">
        <x:v>0.44930555555555557</x:v>
      </x:c>
      <x:c r="D1177" t="str">
        <x:v>Damak</x:v>
      </x:c>
      <x:c r="E1177" t="str">
        <x:v>Late Night Cravings</x:v>
      </x:c>
      <x:c r="F1177" t="str">
        <x:v>Mix Fry Rice</x:v>
      </x:c>
      <x:c r="G1177" t="str">
        <x:v>Food</x:v>
      </x:c>
      <x:c r="H1177" t="n">
        <x:v>1</x:v>
      </x:c>
      <x:c r="I1177" s="14" t="n">
        <x:v>230</x:v>
      </x:c>
      <x:c r="J1177" s="14" t="n">
        <x:v>230</x:v>
      </x:c>
      <x:c r="K1177" t="str">
        <x:v>DEMO / SIMULATED</x:v>
      </x:c>
    </x:row>
    <x:row r="1178">
      <x:c r="A1178" t="str">
        <x:v>JFD-20230109-0664</x:v>
      </x:c>
      <x:c r="B1178" s="11" t="n">
        <x:v>44935.67847222222</x:v>
      </x:c>
      <x:c r="C1178" s="13" t="n">
        <x:v>0.6784722222222223</x:v>
      </x:c>
      <x:c r="D1178" t="str">
        <x:v>Damak</x:v>
      </x:c>
      <x:c r="E1178" t="str">
        <x:v>Late Night Cravings</x:v>
      </x:c>
      <x:c r="F1178" t="str">
        <x:v>Bottled Water 1L</x:v>
      </x:c>
      <x:c r="G1178" t="str">
        <x:v>Drink</x:v>
      </x:c>
      <x:c r="H1178" t="n">
        <x:v>3</x:v>
      </x:c>
      <x:c r="I1178" s="14" t="n">
        <x:v>35</x:v>
      </x:c>
      <x:c r="J1178" s="14" t="n">
        <x:v>105</x:v>
      </x:c>
      <x:c r="K1178" t="str">
        <x:v>DEMO / SIMULATED</x:v>
      </x:c>
    </x:row>
    <x:row r="1179">
      <x:c r="A1179" t="str">
        <x:v>JFD-20240107-0665</x:v>
      </x:c>
      <x:c r="B1179" s="11" t="n">
        <x:v>45298.691666666666</x:v>
      </x:c>
      <x:c r="C1179" s="13" t="n">
        <x:v>0.6916666666666667</x:v>
      </x:c>
      <x:c r="D1179" t="str">
        <x:v>Damak</x:v>
      </x:c>
      <x:c r="E1179" t="str">
        <x:v>Milan’s Bakery</x:v>
      </x:c>
      <x:c r="F1179" t="str">
        <x:v>Red Velvet Cake</x:v>
      </x:c>
      <x:c r="G1179" t="str">
        <x:v>Food</x:v>
      </x:c>
      <x:c r="H1179" t="n">
        <x:v>3</x:v>
      </x:c>
      <x:c r="I1179" s="14" t="n">
        <x:v>790</x:v>
      </x:c>
      <x:c r="J1179" s="14" t="n">
        <x:v>2370</x:v>
      </x:c>
      <x:c r="K1179" t="str">
        <x:v>DEMO / SIMULATED</x:v>
      </x:c>
    </x:row>
    <x:row r="1180">
      <x:c r="A1180" t="str">
        <x:v>JFD-20240107-0665</x:v>
      </x:c>
      <x:c r="B1180" s="11" t="n">
        <x:v>45298.552083333336</x:v>
      </x:c>
      <x:c r="C1180" s="13" t="n">
        <x:v>0.5520833333333334</x:v>
      </x:c>
      <x:c r="D1180" t="str">
        <x:v>Damak</x:v>
      </x:c>
      <x:c r="E1180" t="str">
        <x:v>Milan’s Bakery</x:v>
      </x:c>
      <x:c r="F1180" t="str">
        <x:v>Coca-Cola 500ml</x:v>
      </x:c>
      <x:c r="G1180" t="str">
        <x:v>Drink</x:v>
      </x:c>
      <x:c r="H1180" t="n">
        <x:v>1</x:v>
      </x:c>
      <x:c r="I1180" s="14" t="n">
        <x:v>90</x:v>
      </x:c>
      <x:c r="J1180" s="14" t="n">
        <x:v>90</x:v>
      </x:c>
      <x:c r="K1180" t="str">
        <x:v>DEMO / SIMULATED</x:v>
      </x:c>
    </x:row>
    <x:row r="1181">
      <x:c r="A1181" t="str">
        <x:v>JFD-20240920-0666</x:v>
      </x:c>
      <x:c r="B1181" s="11" t="n">
        <x:v>45555.88055555556</x:v>
      </x:c>
      <x:c r="C1181" s="13" t="n">
        <x:v>0.8805555555555555</x:v>
      </x:c>
      <x:c r="D1181" t="str">
        <x:v>Birtamode</x:v>
      </x:c>
      <x:c r="E1181" t="str">
        <x:v>The Underground Cafe &amp; Restaurant</x:v>
      </x:c>
      <x:c r="F1181" t="str">
        <x:v>Aalu Jeera</x:v>
      </x:c>
      <x:c r="G1181" t="str">
        <x:v>Food</x:v>
      </x:c>
      <x:c r="H1181" t="n">
        <x:v>1</x:v>
      </x:c>
      <x:c r="I1181" s="14" t="n">
        <x:v>135</x:v>
      </x:c>
      <x:c r="J1181" s="14" t="n">
        <x:v>135</x:v>
      </x:c>
      <x:c r="K1181" t="str">
        <x:v>DEMO / SIMULATED</x:v>
      </x:c>
    </x:row>
    <x:row r="1182">
      <x:c r="A1182" t="str">
        <x:v>JFD-20240105-0667</x:v>
      </x:c>
      <x:c r="B1182" s="11" t="n">
        <x:v>45296.45694444444</x:v>
      </x:c>
      <x:c r="C1182" s="13" t="n">
        <x:v>0.45694444444444443</x:v>
      </x:c>
      <x:c r="D1182" t="str">
        <x:v>Birtamode</x:v>
      </x:c>
      <x:c r="E1182" t="str">
        <x:v>Pizza Ghar</x:v>
      </x:c>
      <x:c r="F1182" t="str">
        <x:v>Chicken Fried Rice</x:v>
      </x:c>
      <x:c r="G1182" t="str">
        <x:v>Food</x:v>
      </x:c>
      <x:c r="H1182" t="n">
        <x:v>4</x:v>
      </x:c>
      <x:c r="I1182" s="14" t="n">
        <x:v>265</x:v>
      </x:c>
      <x:c r="J1182" s="14" t="n">
        <x:v>1060</x:v>
      </x:c>
      <x:c r="K1182" t="str">
        <x:v>DEMO / SIMULATED</x:v>
      </x:c>
    </x:row>
    <x:row r="1183">
      <x:c r="A1183" t="str">
        <x:v>JFD-20240105-0667</x:v>
      </x:c>
      <x:c r="B1183" s="11" t="n">
        <x:v>45296.870833333334</x:v>
      </x:c>
      <x:c r="C1183" s="13" t="n">
        <x:v>0.8708333333333333</x:v>
      </x:c>
      <x:c r="D1183" t="str">
        <x:v>Birtamode</x:v>
      </x:c>
      <x:c r="E1183" t="str">
        <x:v>Pizza Ghar</x:v>
      </x:c>
      <x:c r="F1183" t="str">
        <x:v>Chicken BBQ Feast Pizza</x:v>
      </x:c>
      <x:c r="G1183" t="str">
        <x:v>Food</x:v>
      </x:c>
      <x:c r="H1183" t="n">
        <x:v>1</x:v>
      </x:c>
      <x:c r="I1183" s="14" t="n">
        <x:v>510</x:v>
      </x:c>
      <x:c r="J1183" s="14" t="n">
        <x:v>510</x:v>
      </x:c>
      <x:c r="K1183" t="str">
        <x:v>DEMO / SIMULATED</x:v>
      </x:c>
    </x:row>
    <x:row r="1184">
      <x:c r="A1184" t="str">
        <x:v>JFD-20240716-0668</x:v>
      </x:c>
      <x:c r="B1184" s="11" t="n">
        <x:v>45489.80416666667</x:v>
      </x:c>
      <x:c r="C1184" s="13" t="n">
        <x:v>0.8041666666666667</x:v>
      </x:c>
      <x:c r="D1184" t="str">
        <x:v>Damak</x:v>
      </x:c>
      <x:c r="E1184" t="str">
        <x:v>Late Night Cravings</x:v>
      </x:c>
      <x:c r="F1184" t="str">
        <x:v>Veg Fry Rice</x:v>
      </x:c>
      <x:c r="G1184" t="str">
        <x:v>Food</x:v>
      </x:c>
      <x:c r="H1184" t="n">
        <x:v>4</x:v>
      </x:c>
      <x:c r="I1184" s="14" t="n">
        <x:v>140</x:v>
      </x:c>
      <x:c r="J1184" s="14" t="n">
        <x:v>560</x:v>
      </x:c>
      <x:c r="K1184" t="str">
        <x:v>DEMO / SIMULATED</x:v>
      </x:c>
    </x:row>
    <x:row r="1185">
      <x:c r="A1185" t="str">
        <x:v>JFD-20240716-0668</x:v>
      </x:c>
      <x:c r="B1185" s="11" t="n">
        <x:v>45489.57847222222</x:v>
      </x:c>
      <x:c r="C1185" s="13" t="n">
        <x:v>0.5784722222222223</x:v>
      </x:c>
      <x:c r="D1185" t="str">
        <x:v>Damak</x:v>
      </x:c>
      <x:c r="E1185" t="str">
        <x:v>Late Night Cravings</x:v>
      </x:c>
      <x:c r="F1185" t="str">
        <x:v>Bottled Water 1L</x:v>
      </x:c>
      <x:c r="G1185" t="str">
        <x:v>Drink</x:v>
      </x:c>
      <x:c r="H1185" t="n">
        <x:v>2</x:v>
      </x:c>
      <x:c r="I1185" s="14" t="n">
        <x:v>35</x:v>
      </x:c>
      <x:c r="J1185" s="14" t="n">
        <x:v>70</x:v>
      </x:c>
      <x:c r="K1185" t="str">
        <x:v>DEMO / SIMULATED</x:v>
      </x:c>
    </x:row>
    <x:row r="1186">
      <x:c r="A1186" t="str">
        <x:v>JFD-20240604-0669</x:v>
      </x:c>
      <x:c r="B1186" s="11" t="n">
        <x:v>45447.79861111111</x:v>
      </x:c>
      <x:c r="C1186" s="13" t="n">
        <x:v>0.7986111111111112</x:v>
      </x:c>
      <x:c r="D1186" t="str">
        <x:v>Damak</x:v>
      </x:c>
      <x:c r="E1186" t="str">
        <x:v>Milan’s Bakery</x:v>
      </x:c>
      <x:c r="F1186" t="str">
        <x:v>Red Velvet Cake</x:v>
      </x:c>
      <x:c r="G1186" t="str">
        <x:v>Food</x:v>
      </x:c>
      <x:c r="H1186" t="n">
        <x:v>4</x:v>
      </x:c>
      <x:c r="I1186" s="14" t="n">
        <x:v>790</x:v>
      </x:c>
      <x:c r="J1186" s="14" t="n">
        <x:v>3160</x:v>
      </x:c>
      <x:c r="K1186" t="str">
        <x:v>DEMO / SIMULATED</x:v>
      </x:c>
    </x:row>
    <x:row r="1187">
      <x:c r="A1187" t="str">
        <x:v>JFD-20240402-0670</x:v>
      </x:c>
      <x:c r="B1187" s="11" t="n">
        <x:v>45384.58541666667</x:v>
      </x:c>
      <x:c r="C1187" s="13" t="n">
        <x:v>0.5854166666666667</x:v>
      </x:c>
      <x:c r="D1187" t="str">
        <x:v>Birtamode</x:v>
      </x:c>
      <x:c r="E1187" t="str">
        <x:v>The Underground Cafe &amp; Restaurant</x:v>
      </x:c>
      <x:c r="F1187" t="str">
        <x:v>Paneer Pakauda</x:v>
      </x:c>
      <x:c r="G1187" t="str">
        <x:v>Food</x:v>
      </x:c>
      <x:c r="H1187" t="n">
        <x:v>3</x:v>
      </x:c>
      <x:c r="I1187" s="14" t="n">
        <x:v>200</x:v>
      </x:c>
      <x:c r="J1187" s="14" t="n">
        <x:v>600</x:v>
      </x:c>
      <x:c r="K1187" t="str">
        <x:v>DEMO / SIMULATED</x:v>
      </x:c>
    </x:row>
    <x:row r="1188">
      <x:c r="A1188" t="str">
        <x:v>JFD-20240402-0670</x:v>
      </x:c>
      <x:c r="B1188" s="11" t="n">
        <x:v>45384.82152777778</x:v>
      </x:c>
      <x:c r="C1188" s="13" t="n">
        <x:v>0.8215277777777777</x:v>
      </x:c>
      <x:c r="D1188" t="str">
        <x:v>Birtamode</x:v>
      </x:c>
      <x:c r="E1188" t="str">
        <x:v>The Underground Cafe &amp; Restaurant</x:v>
      </x:c>
      <x:c r="F1188" t="str">
        <x:v>Coca-Cola 500ml</x:v>
      </x:c>
      <x:c r="G1188" t="str">
        <x:v>Drink</x:v>
      </x:c>
      <x:c r="H1188" t="n">
        <x:v>3</x:v>
      </x:c>
      <x:c r="I1188" s="14" t="n">
        <x:v>90</x:v>
      </x:c>
      <x:c r="J1188" s="14" t="n">
        <x:v>270</x:v>
      </x:c>
      <x:c r="K1188" t="str">
        <x:v>DEMO / SIMULATED</x:v>
      </x:c>
    </x:row>
    <x:row r="1189">
      <x:c r="A1189" t="str">
        <x:v>JFD-20250427-0671</x:v>
      </x:c>
      <x:c r="B1189" s="11" t="n">
        <x:v>45774.46388888889</x:v>
      </x:c>
      <x:c r="C1189" s="13" t="n">
        <x:v>0.4638888888888889</x:v>
      </x:c>
      <x:c r="D1189" t="str">
        <x:v>Birtamode</x:v>
      </x:c>
      <x:c r="E1189" t="str">
        <x:v>Pizza Ghar</x:v>
      </x:c>
      <x:c r="F1189" t="str">
        <x:v>Coca-Cola 500ml</x:v>
      </x:c>
      <x:c r="G1189" t="str">
        <x:v>Drink</x:v>
      </x:c>
      <x:c r="H1189" t="n">
        <x:v>4</x:v>
      </x:c>
      <x:c r="I1189" s="14" t="n">
        <x:v>95</x:v>
      </x:c>
      <x:c r="J1189" s="14" t="n">
        <x:v>380</x:v>
      </x:c>
      <x:c r="K1189" t="str">
        <x:v>DEMO / SIMULATED</x:v>
      </x:c>
    </x:row>
    <x:row r="1190">
      <x:c r="A1190" t="str">
        <x:v>JFD-20250427-0671</x:v>
      </x:c>
      <x:c r="B1190" s="11" t="n">
        <x:v>45774.509722222225</x:v>
      </x:c>
      <x:c r="C1190" s="13" t="n">
        <x:v>0.5097222222222222</x:v>
      </x:c>
      <x:c r="D1190" t="str">
        <x:v>Birtamode</x:v>
      </x:c>
      <x:c r="E1190" t="str">
        <x:v>Pizza Ghar</x:v>
      </x:c>
      <x:c r="F1190" t="str">
        <x:v>Chicken Fried Rice</x:v>
      </x:c>
      <x:c r="G1190" t="str">
        <x:v>Food</x:v>
      </x:c>
      <x:c r="H1190" t="n">
        <x:v>4</x:v>
      </x:c>
      <x:c r="I1190" s="14" t="n">
        <x:v>280</x:v>
      </x:c>
      <x:c r="J1190" s="14" t="n">
        <x:v>1120</x:v>
      </x:c>
      <x:c r="K1190" t="str">
        <x:v>DEMO / SIMULATED</x:v>
      </x:c>
    </x:row>
    <x:row r="1191">
      <x:c r="A1191" t="str">
        <x:v>JFD-20260117-0672</x:v>
      </x:c>
      <x:c r="B1191" s="11" t="n">
        <x:v>46039.52777777778</x:v>
      </x:c>
      <x:c r="C1191" s="13" t="n">
        <x:v>0.5277777777777778</x:v>
      </x:c>
      <x:c r="D1191" t="str">
        <x:v>Birtamode</x:v>
      </x:c>
      <x:c r="E1191" t="str">
        <x:v>Pizza Ghar</x:v>
      </x:c>
      <x:c r="F1191" t="str">
        <x:v>Chicken Fried Rice</x:v>
      </x:c>
      <x:c r="G1191" t="str">
        <x:v>Food</x:v>
      </x:c>
      <x:c r="H1191" t="n">
        <x:v>1</x:v>
      </x:c>
      <x:c r="I1191" s="14" t="n">
        <x:v>300</x:v>
      </x:c>
      <x:c r="J1191" s="14" t="n">
        <x:v>300</x:v>
      </x:c>
      <x:c r="K1191" t="str">
        <x:v>DEMO / SIMULATED</x:v>
      </x:c>
    </x:row>
    <x:row r="1192">
      <x:c r="A1192" t="str">
        <x:v>JFD-20260117-0672</x:v>
      </x:c>
      <x:c r="B1192" s="11" t="n">
        <x:v>46039.59097222222</x:v>
      </x:c>
      <x:c r="C1192" s="13" t="n">
        <x:v>0.5909722222222222</x:v>
      </x:c>
      <x:c r="D1192" t="str">
        <x:v>Birtamode</x:v>
      </x:c>
      <x:c r="E1192" t="str">
        <x:v>Pizza Ghar</x:v>
      </x:c>
      <x:c r="F1192" t="str">
        <x:v>Egg Fried Rice</x:v>
      </x:c>
      <x:c r="G1192" t="str">
        <x:v>Food</x:v>
      </x:c>
      <x:c r="H1192" t="n">
        <x:v>1</x:v>
      </x:c>
      <x:c r="I1192" s="14" t="n">
        <x:v>270</x:v>
      </x:c>
      <x:c r="J1192" s="14" t="n">
        <x:v>270</x:v>
      </x:c>
      <x:c r="K1192" t="str">
        <x:v>DEMO / SIMULATED</x:v>
      </x:c>
    </x:row>
    <x:row r="1193">
      <x:c r="A1193" t="str">
        <x:v>JFD-20250613-0673</x:v>
      </x:c>
      <x:c r="B1193" s="11" t="n">
        <x:v>45821.77291666667</x:v>
      </x:c>
      <x:c r="C1193" s="13" t="n">
        <x:v>0.7729166666666667</x:v>
      </x:c>
      <x:c r="D1193" t="str">
        <x:v>Birtamode</x:v>
      </x:c>
      <x:c r="E1193" t="str">
        <x:v>Pizza Ghar</x:v>
      </x:c>
      <x:c r="F1193" t="str">
        <x:v>Veg Fried Rice</x:v>
      </x:c>
      <x:c r="G1193" t="str">
        <x:v>Food</x:v>
      </x:c>
      <x:c r="H1193" t="n">
        <x:v>2</x:v>
      </x:c>
      <x:c r="I1193" s="14" t="n">
        <x:v>205</x:v>
      </x:c>
      <x:c r="J1193" s="14" t="n">
        <x:v>410</x:v>
      </x:c>
      <x:c r="K1193" t="str">
        <x:v>DEMO / SIMULATED</x:v>
      </x:c>
    </x:row>
    <x:row r="1194">
      <x:c r="A1194" t="str">
        <x:v>JFD-20250613-0673</x:v>
      </x:c>
      <x:c r="B1194" s="11" t="n">
        <x:v>45821.84583333333</x:v>
      </x:c>
      <x:c r="C1194" s="13" t="n">
        <x:v>0.8458333333333333</x:v>
      </x:c>
      <x:c r="D1194" t="str">
        <x:v>Birtamode</x:v>
      </x:c>
      <x:c r="E1194" t="str">
        <x:v>Pizza Ghar</x:v>
      </x:c>
      <x:c r="F1194" t="str">
        <x:v>Coca-Cola 500ml</x:v>
      </x:c>
      <x:c r="G1194" t="str">
        <x:v>Drink</x:v>
      </x:c>
      <x:c r="H1194" t="n">
        <x:v>4</x:v>
      </x:c>
      <x:c r="I1194" s="14" t="n">
        <x:v>95</x:v>
      </x:c>
      <x:c r="J1194" s="14" t="n">
        <x:v>380</x:v>
      </x:c>
      <x:c r="K1194" t="str">
        <x:v>DEMO / SIMULATED</x:v>
      </x:c>
    </x:row>
    <x:row r="1195">
      <x:c r="A1195" t="str">
        <x:v>JFD-20250613-0673</x:v>
      </x:c>
      <x:c r="B1195" s="11" t="n">
        <x:v>45821.518055555556</x:v>
      </x:c>
      <x:c r="C1195" s="13" t="n">
        <x:v>0.5180555555555556</x:v>
      </x:c>
      <x:c r="D1195" t="str">
        <x:v>Birtamode</x:v>
      </x:c>
      <x:c r="E1195" t="str">
        <x:v>Pizza Ghar</x:v>
      </x:c>
      <x:c r="F1195" t="str">
        <x:v>Chicken Fried Rice</x:v>
      </x:c>
      <x:c r="G1195" t="str">
        <x:v>Food</x:v>
      </x:c>
      <x:c r="H1195" t="n">
        <x:v>3</x:v>
      </x:c>
      <x:c r="I1195" s="14" t="n">
        <x:v>280</x:v>
      </x:c>
      <x:c r="J1195" s="14" t="n">
        <x:v>840</x:v>
      </x:c>
      <x:c r="K1195" t="str">
        <x:v>DEMO / SIMULATED</x:v>
      </x:c>
    </x:row>
    <x:row r="1196">
      <x:c r="A1196" t="str">
        <x:v>JFD-20251103-0674</x:v>
      </x:c>
      <x:c r="B1196" s="11" t="n">
        <x:v>45964.785416666666</x:v>
      </x:c>
      <x:c r="C1196" s="13" t="n">
        <x:v>0.7854166666666667</x:v>
      </x:c>
      <x:c r="D1196" t="str">
        <x:v>Birtamode</x:v>
      </x:c>
      <x:c r="E1196" t="str">
        <x:v>Pizza Ghar</x:v>
      </x:c>
      <x:c r="F1196" t="str">
        <x:v>Chicken BBQ Feast Pizza</x:v>
      </x:c>
      <x:c r="G1196" t="str">
        <x:v>Food</x:v>
      </x:c>
      <x:c r="H1196" t="n">
        <x:v>3</x:v>
      </x:c>
      <x:c r="I1196" s="14" t="n">
        <x:v>545</x:v>
      </x:c>
      <x:c r="J1196" s="14" t="n">
        <x:v>1635</x:v>
      </x:c>
      <x:c r="K1196" t="str">
        <x:v>DEMO / SIMULATED</x:v>
      </x:c>
    </x:row>
    <x:row r="1197">
      <x:c r="A1197" t="str">
        <x:v>JFD-20230814-0675</x:v>
      </x:c>
      <x:c r="B1197" s="11" t="n">
        <x:v>45152.74236111111</x:v>
      </x:c>
      <x:c r="C1197" s="13" t="n">
        <x:v>0.7423611111111111</x:v>
      </x:c>
      <x:c r="D1197" t="str">
        <x:v>Damak</x:v>
      </x:c>
      <x:c r="E1197" t="str">
        <x:v>Late Night Cravings</x:v>
      </x:c>
      <x:c r="F1197" t="str">
        <x:v>Veg Fry Rice</x:v>
      </x:c>
      <x:c r="G1197" t="str">
        <x:v>Food</x:v>
      </x:c>
      <x:c r="H1197" t="n">
        <x:v>1</x:v>
      </x:c>
      <x:c r="I1197" s="14" t="n">
        <x:v>130</x:v>
      </x:c>
      <x:c r="J1197" s="14" t="n">
        <x:v>130</x:v>
      </x:c>
      <x:c r="K1197" t="str">
        <x:v>DEMO / SIMULATED</x:v>
      </x:c>
    </x:row>
    <x:row r="1198">
      <x:c r="A1198" t="str">
        <x:v>JFD-20230814-0675</x:v>
      </x:c>
      <x:c r="B1198" s="11" t="n">
        <x:v>45152.65347222222</x:v>
      </x:c>
      <x:c r="C1198" s="13" t="n">
        <x:v>0.6534722222222222</x:v>
      </x:c>
      <x:c r="D1198" t="str">
        <x:v>Damak</x:v>
      </x:c>
      <x:c r="E1198" t="str">
        <x:v>Late Night Cravings</x:v>
      </x:c>
      <x:c r="F1198" t="str">
        <x:v>Egg Fry Rice</x:v>
      </x:c>
      <x:c r="G1198" t="str">
        <x:v>Food</x:v>
      </x:c>
      <x:c r="H1198" t="n">
        <x:v>3</x:v>
      </x:c>
      <x:c r="I1198" s="14" t="n">
        <x:v>165</x:v>
      </x:c>
      <x:c r="J1198" s="14" t="n">
        <x:v>495</x:v>
      </x:c>
      <x:c r="K1198" t="str">
        <x:v>DEMO / SIMULATED</x:v>
      </x:c>
    </x:row>
    <x:row r="1199">
      <x:c r="A1199" t="str">
        <x:v>JFD-20230814-0675</x:v>
      </x:c>
      <x:c r="B1199" s="11" t="n">
        <x:v>45152.73333333333</x:v>
      </x:c>
      <x:c r="C1199" s="13" t="n">
        <x:v>0.7333333333333333</x:v>
      </x:c>
      <x:c r="D1199" t="str">
        <x:v>Damak</x:v>
      </x:c>
      <x:c r="E1199" t="str">
        <x:v>Late Night Cravings</x:v>
      </x:c>
      <x:c r="F1199" t="str">
        <x:v>Coca-Cola 500ml</x:v>
      </x:c>
      <x:c r="G1199" t="str">
        <x:v>Drink</x:v>
      </x:c>
      <x:c r="H1199" t="n">
        <x:v>3</x:v>
      </x:c>
      <x:c r="I1199" s="14" t="n">
        <x:v>80</x:v>
      </x:c>
      <x:c r="J1199" s="14" t="n">
        <x:v>240</x:v>
      </x:c>
      <x:c r="K1199" t="str">
        <x:v>DEMO / SIMULATED</x:v>
      </x:c>
    </x:row>
    <x:row r="1200">
      <x:c r="A1200" t="str">
        <x:v>JFD-20241119-0676</x:v>
      </x:c>
      <x:c r="B1200" s="11" t="n">
        <x:v>45615.6</x:v>
      </x:c>
      <x:c r="C1200" s="13" t="n">
        <x:v>0.6</x:v>
      </x:c>
      <x:c r="D1200" t="str">
        <x:v>Birtamode</x:v>
      </x:c>
      <x:c r="E1200" t="str">
        <x:v>The Underground Cafe &amp; Restaurant</x:v>
      </x:c>
      <x:c r="F1200" t="str">
        <x:v>Coca-Cola 500ml</x:v>
      </x:c>
      <x:c r="G1200" t="str">
        <x:v>Drink</x:v>
      </x:c>
      <x:c r="H1200" t="n">
        <x:v>3</x:v>
      </x:c>
      <x:c r="I1200" s="14" t="n">
        <x:v>90</x:v>
      </x:c>
      <x:c r="J1200" s="14" t="n">
        <x:v>270</x:v>
      </x:c>
      <x:c r="K1200" t="str">
        <x:v>DEMO / SIMULATED</x:v>
      </x:c>
    </x:row>
    <x:row r="1201">
      <x:c r="A1201" t="str">
        <x:v>JFD-20241119-0676</x:v>
      </x:c>
      <x:c r="B1201" s="11" t="n">
        <x:v>45615.45416666667</x:v>
      </x:c>
      <x:c r="C1201" s="13" t="n">
        <x:v>0.45416666666666666</x:v>
      </x:c>
      <x:c r="D1201" t="str">
        <x:v>Birtamode</x:v>
      </x:c>
      <x:c r="E1201" t="str">
        <x:v>The Underground Cafe &amp; Restaurant</x:v>
      </x:c>
      <x:c r="F1201" t="str">
        <x:v>Aalu Jeera</x:v>
      </x:c>
      <x:c r="G1201" t="str">
        <x:v>Food</x:v>
      </x:c>
      <x:c r="H1201" t="n">
        <x:v>3</x:v>
      </x:c>
      <x:c r="I1201" s="14" t="n">
        <x:v>135</x:v>
      </x:c>
      <x:c r="J1201" s="14" t="n">
        <x:v>405</x:v>
      </x:c>
      <x:c r="K1201" t="str">
        <x:v>DEMO / SIMULATED</x:v>
      </x:c>
    </x:row>
    <x:row r="1202">
      <x:c r="A1202" t="str">
        <x:v>JFD-20241119-0676</x:v>
      </x:c>
      <x:c r="B1202" s="11" t="n">
        <x:v>45615.677777777775</x:v>
      </x:c>
      <x:c r="C1202" s="13" t="n">
        <x:v>0.6777777777777778</x:v>
      </x:c>
      <x:c r="D1202" t="str">
        <x:v>Birtamode</x:v>
      </x:c>
      <x:c r="E1202" t="str">
        <x:v>The Underground Cafe &amp; Restaurant</x:v>
      </x:c>
      <x:c r="F1202" t="str">
        <x:v>Paneer Pakauda</x:v>
      </x:c>
      <x:c r="G1202" t="str">
        <x:v>Food</x:v>
      </x:c>
      <x:c r="H1202" t="n">
        <x:v>2</x:v>
      </x:c>
      <x:c r="I1202" s="14" t="n">
        <x:v>200</x:v>
      </x:c>
      <x:c r="J1202" s="14" t="n">
        <x:v>400</x:v>
      </x:c>
      <x:c r="K1202" t="str">
        <x:v>DEMO / SIMULATED</x:v>
      </x:c>
    </x:row>
    <x:row r="1203">
      <x:c r="A1203" t="str">
        <x:v>JFD-20240121-0677</x:v>
      </x:c>
      <x:c r="B1203" s="11" t="n">
        <x:v>45312.65625</x:v>
      </x:c>
      <x:c r="C1203" s="13" t="n">
        <x:v>0.65625</x:v>
      </x:c>
      <x:c r="D1203" t="str">
        <x:v>Birtamode</x:v>
      </x:c>
      <x:c r="E1203" t="str">
        <x:v>The Underground Cafe &amp; Restaurant</x:v>
      </x:c>
      <x:c r="F1203" t="str">
        <x:v>Bottled Water 1L</x:v>
      </x:c>
      <x:c r="G1203" t="str">
        <x:v>Drink</x:v>
      </x:c>
      <x:c r="H1203" t="n">
        <x:v>2</x:v>
      </x:c>
      <x:c r="I1203" s="14" t="n">
        <x:v>35</x:v>
      </x:c>
      <x:c r="J1203" s="14" t="n">
        <x:v>70</x:v>
      </x:c>
      <x:c r="K1203" t="str">
        <x:v>DEMO / SIMULATED</x:v>
      </x:c>
    </x:row>
    <x:row r="1204">
      <x:c r="A1204" t="str">
        <x:v>JFD-20250925-0678</x:v>
      </x:c>
      <x:c r="B1204" s="11" t="n">
        <x:v>45925.55625</x:v>
      </x:c>
      <x:c r="C1204" s="13" t="n">
        <x:v>0.55625</x:v>
      </x:c>
      <x:c r="D1204" t="str">
        <x:v>Damak</x:v>
      </x:c>
      <x:c r="E1204" t="str">
        <x:v>Milan’s Bakery</x:v>
      </x:c>
      <x:c r="F1204" t="str">
        <x:v>Vanilla Cake</x:v>
      </x:c>
      <x:c r="G1204" t="str">
        <x:v>Food</x:v>
      </x:c>
      <x:c r="H1204" t="n">
        <x:v>1</x:v>
      </x:c>
      <x:c r="I1204" s="14" t="n">
        <x:v>280</x:v>
      </x:c>
      <x:c r="J1204" s="14" t="n">
        <x:v>280</x:v>
      </x:c>
      <x:c r="K1204" t="str">
        <x:v>DEMO / SIMULATED</x:v>
      </x:c>
    </x:row>
    <x:row r="1205">
      <x:c r="A1205" t="str">
        <x:v>JFD-20250925-0678</x:v>
      </x:c>
      <x:c r="B1205" s="11" t="n">
        <x:v>45925.48541666667</x:v>
      </x:c>
      <x:c r="C1205" s="13" t="n">
        <x:v>0.48541666666666666</x:v>
      </x:c>
      <x:c r="D1205" t="str">
        <x:v>Damak</x:v>
      </x:c>
      <x:c r="E1205" t="str">
        <x:v>Milan’s Bakery</x:v>
      </x:c>
      <x:c r="F1205" t="str">
        <x:v>Coca-Cola 500ml</x:v>
      </x:c>
      <x:c r="G1205" t="str">
        <x:v>Drink</x:v>
      </x:c>
      <x:c r="H1205" t="n">
        <x:v>2</x:v>
      </x:c>
      <x:c r="I1205" s="14" t="n">
        <x:v>95</x:v>
      </x:c>
      <x:c r="J1205" s="14" t="n">
        <x:v>190</x:v>
      </x:c>
      <x:c r="K1205" t="str">
        <x:v>DEMO / SIMULATED</x:v>
      </x:c>
    </x:row>
    <x:row r="1206">
      <x:c r="A1206" t="str">
        <x:v>JFD-20240321-0679</x:v>
      </x:c>
      <x:c r="B1206" s="11" t="n">
        <x:v>45372.42222222222</x:v>
      </x:c>
      <x:c r="C1206" s="13" t="n">
        <x:v>0.4222222222222222</x:v>
      </x:c>
      <x:c r="D1206" t="str">
        <x:v>Birtamode</x:v>
      </x:c>
      <x:c r="E1206" t="str">
        <x:v>The Underground Cafe &amp; Restaurant</x:v>
      </x:c>
      <x:c r="F1206" t="str">
        <x:v>Aalu Jeera</x:v>
      </x:c>
      <x:c r="G1206" t="str">
        <x:v>Food</x:v>
      </x:c>
      <x:c r="H1206" t="n">
        <x:v>1</x:v>
      </x:c>
      <x:c r="I1206" s="14" t="n">
        <x:v>135</x:v>
      </x:c>
      <x:c r="J1206" s="14" t="n">
        <x:v>135</x:v>
      </x:c>
      <x:c r="K1206" t="str">
        <x:v>DEMO / SIMULATED</x:v>
      </x:c>
    </x:row>
    <x:row r="1207">
      <x:c r="A1207" t="str">
        <x:v>JFD-20240321-0679</x:v>
      </x:c>
      <x:c r="B1207" s="11" t="n">
        <x:v>45372.84166666667</x:v>
      </x:c>
      <x:c r="C1207" s="13" t="n">
        <x:v>0.8416666666666667</x:v>
      </x:c>
      <x:c r="D1207" t="str">
        <x:v>Birtamode</x:v>
      </x:c>
      <x:c r="E1207" t="str">
        <x:v>The Underground Cafe &amp; Restaurant</x:v>
      </x:c>
      <x:c r="F1207" t="str">
        <x:v>Coca-Cola 500ml</x:v>
      </x:c>
      <x:c r="G1207" t="str">
        <x:v>Drink</x:v>
      </x:c>
      <x:c r="H1207" t="n">
        <x:v>1</x:v>
      </x:c>
      <x:c r="I1207" s="14" t="n">
        <x:v>90</x:v>
      </x:c>
      <x:c r="J1207" s="14" t="n">
        <x:v>90</x:v>
      </x:c>
      <x:c r="K1207" t="str">
        <x:v>DEMO / SIMULATED</x:v>
      </x:c>
    </x:row>
    <x:row r="1208">
      <x:c r="A1208" t="str">
        <x:v>JFD-20250523-0680</x:v>
      </x:c>
      <x:c r="B1208" s="11" t="n">
        <x:v>45800.81736111111</x:v>
      </x:c>
      <x:c r="C1208" s="13" t="n">
        <x:v>0.8173611111111111</x:v>
      </x:c>
      <x:c r="D1208" t="str">
        <x:v>Damak</x:v>
      </x:c>
      <x:c r="E1208" t="str">
        <x:v>Late Night Cravings</x:v>
      </x:c>
      <x:c r="F1208" t="str">
        <x:v>Egg Fry Rice</x:v>
      </x:c>
      <x:c r="G1208" t="str">
        <x:v>Food</x:v>
      </x:c>
      <x:c r="H1208" t="n">
        <x:v>1</x:v>
      </x:c>
      <x:c r="I1208" s="14" t="n">
        <x:v>190</x:v>
      </x:c>
      <x:c r="J1208" s="14" t="n">
        <x:v>190</x:v>
      </x:c>
      <x:c r="K1208" t="str">
        <x:v>DEMO / SIMULATED</x:v>
      </x:c>
    </x:row>
    <x:row r="1209">
      <x:c r="A1209" t="str">
        <x:v>JFD-20230903-0681</x:v>
      </x:c>
      <x:c r="B1209" s="11" t="n">
        <x:v>45172.748611111114</x:v>
      </x:c>
      <x:c r="C1209" s="13" t="n">
        <x:v>0.7486111111111111</x:v>
      </x:c>
      <x:c r="D1209" t="str">
        <x:v>Birtamode</x:v>
      </x:c>
      <x:c r="E1209" t="str">
        <x:v>Pizza Ghar</x:v>
      </x:c>
      <x:c r="F1209" t="str">
        <x:v>Egg Fried Rice</x:v>
      </x:c>
      <x:c r="G1209" t="str">
        <x:v>Food</x:v>
      </x:c>
      <x:c r="H1209" t="n">
        <x:v>4</x:v>
      </x:c>
      <x:c r="I1209" s="14" t="n">
        <x:v>220</x:v>
      </x:c>
      <x:c r="J1209" s="14" t="n">
        <x:v>880</x:v>
      </x:c>
      <x:c r="K1209" t="str">
        <x:v>DEMO / SIMULATED</x:v>
      </x:c>
    </x:row>
    <x:row r="1210">
      <x:c r="A1210" t="str">
        <x:v>JFD-20230903-0681</x:v>
      </x:c>
      <x:c r="B1210" s="11" t="n">
        <x:v>45172.70277777778</x:v>
      </x:c>
      <x:c r="C1210" s="13" t="n">
        <x:v>0.7027777777777777</x:v>
      </x:c>
      <x:c r="D1210" t="str">
        <x:v>Birtamode</x:v>
      </x:c>
      <x:c r="E1210" t="str">
        <x:v>Pizza Ghar</x:v>
      </x:c>
      <x:c r="F1210" t="str">
        <x:v>Bottled Water 1L</x:v>
      </x:c>
      <x:c r="G1210" t="str">
        <x:v>Drink</x:v>
      </x:c>
      <x:c r="H1210" t="n">
        <x:v>2</x:v>
      </x:c>
      <x:c r="I1210" s="14" t="n">
        <x:v>35</x:v>
      </x:c>
      <x:c r="J1210" s="14" t="n">
        <x:v>70</x:v>
      </x:c>
      <x:c r="K1210" t="str">
        <x:v>DEMO / SIMULATED</x:v>
      </x:c>
    </x:row>
    <x:row r="1211">
      <x:c r="A1211" t="str">
        <x:v>JFD-20231108-0682</x:v>
      </x:c>
      <x:c r="B1211" s="11" t="n">
        <x:v>45238.83888888889</x:v>
      </x:c>
      <x:c r="C1211" s="13" t="n">
        <x:v>0.8388888888888889</x:v>
      </x:c>
      <x:c r="D1211" t="str">
        <x:v>Damak</x:v>
      </x:c>
      <x:c r="E1211" t="str">
        <x:v>Late Night Cravings</x:v>
      </x:c>
      <x:c r="F1211" t="str">
        <x:v>Bottled Water 1L</x:v>
      </x:c>
      <x:c r="G1211" t="str">
        <x:v>Drink</x:v>
      </x:c>
      <x:c r="H1211" t="n">
        <x:v>4</x:v>
      </x:c>
      <x:c r="I1211" s="14" t="n">
        <x:v>35</x:v>
      </x:c>
      <x:c r="J1211" s="14" t="n">
        <x:v>140</x:v>
      </x:c>
      <x:c r="K1211" t="str">
        <x:v>DEMO / SIMULATED</x:v>
      </x:c>
    </x:row>
    <x:row r="1212">
      <x:c r="A1212" t="str">
        <x:v>JFD-20251231-0683</x:v>
      </x:c>
      <x:c r="B1212" s="11" t="n">
        <x:v>46022.84722222222</x:v>
      </x:c>
      <x:c r="C1212" s="13" t="n">
        <x:v>0.8472222222222222</x:v>
      </x:c>
      <x:c r="D1212" t="str">
        <x:v>Damak</x:v>
      </x:c>
      <x:c r="E1212" t="str">
        <x:v>Late Night Cravings</x:v>
      </x:c>
      <x:c r="F1212" t="str">
        <x:v>Chicken Fry Rice</x:v>
      </x:c>
      <x:c r="G1212" t="str">
        <x:v>Food</x:v>
      </x:c>
      <x:c r="H1212" t="n">
        <x:v>1</x:v>
      </x:c>
      <x:c r="I1212" s="14" t="n">
        <x:v>205</x:v>
      </x:c>
      <x:c r="J1212" s="14" t="n">
        <x:v>205</x:v>
      </x:c>
      <x:c r="K1212" t="str">
        <x:v>DEMO / SIMULATED</x:v>
      </x:c>
    </x:row>
    <x:row r="1213">
      <x:c r="A1213" t="str">
        <x:v>JFD-20251231-0683</x:v>
      </x:c>
      <x:c r="B1213" s="11" t="n">
        <x:v>46022.65069444444</x:v>
      </x:c>
      <x:c r="C1213" s="13" t="n">
        <x:v>0.6506944444444445</x:v>
      </x:c>
      <x:c r="D1213" t="str">
        <x:v>Damak</x:v>
      </x:c>
      <x:c r="E1213" t="str">
        <x:v>Late Night Cravings</x:v>
      </x:c>
      <x:c r="F1213" t="str">
        <x:v>Bottled Water 1L</x:v>
      </x:c>
      <x:c r="G1213" t="str">
        <x:v>Drink</x:v>
      </x:c>
      <x:c r="H1213" t="n">
        <x:v>3</x:v>
      </x:c>
      <x:c r="I1213" s="14" t="n">
        <x:v>40</x:v>
      </x:c>
      <x:c r="J1213" s="14" t="n">
        <x:v>120</x:v>
      </x:c>
      <x:c r="K1213" t="str">
        <x:v>DEMO / SIMULATED</x:v>
      </x:c>
    </x:row>
    <x:row r="1214">
      <x:c r="A1214" t="str">
        <x:v>JFD-20251231-0683</x:v>
      </x:c>
      <x:c r="B1214" s="11" t="n">
        <x:v>46022.66388888889</x:v>
      </x:c>
      <x:c r="C1214" s="13" t="n">
        <x:v>0.6638888888888889</x:v>
      </x:c>
      <x:c r="D1214" t="str">
        <x:v>Damak</x:v>
      </x:c>
      <x:c r="E1214" t="str">
        <x:v>Late Night Cravings</x:v>
      </x:c>
      <x:c r="F1214" t="str">
        <x:v>Egg Fry Rice</x:v>
      </x:c>
      <x:c r="G1214" t="str">
        <x:v>Food</x:v>
      </x:c>
      <x:c r="H1214" t="n">
        <x:v>4</x:v>
      </x:c>
      <x:c r="I1214" s="14" t="n">
        <x:v>190</x:v>
      </x:c>
      <x:c r="J1214" s="14" t="n">
        <x:v>760</x:v>
      </x:c>
      <x:c r="K1214" t="str">
        <x:v>DEMO / SIMULATED</x:v>
      </x:c>
    </x:row>
    <x:row r="1215">
      <x:c r="A1215" t="str">
        <x:v>JFD-20230914-0684</x:v>
      </x:c>
      <x:c r="B1215" s="11" t="n">
        <x:v>45183.73819444444</x:v>
      </x:c>
      <x:c r="C1215" s="13" t="n">
        <x:v>0.7381944444444445</x:v>
      </x:c>
      <x:c r="D1215" t="str">
        <x:v>Damak</x:v>
      </x:c>
      <x:c r="E1215" t="str">
        <x:v>Milan’s Bakery</x:v>
      </x:c>
      <x:c r="F1215" t="str">
        <x:v>Vanilla Cake</x:v>
      </x:c>
      <x:c r="G1215" t="str">
        <x:v>Food</x:v>
      </x:c>
      <x:c r="H1215" t="n">
        <x:v>1</x:v>
      </x:c>
      <x:c r="I1215" s="14" t="n">
        <x:v>245</x:v>
      </x:c>
      <x:c r="J1215" s="14" t="n">
        <x:v>245</x:v>
      </x:c>
      <x:c r="K1215" t="str">
        <x:v>DEMO / SIMULATED</x:v>
      </x:c>
    </x:row>
    <x:row r="1216">
      <x:c r="A1216" t="str">
        <x:v>JFD-20230914-0684</x:v>
      </x:c>
      <x:c r="B1216" s="11" t="n">
        <x:v>45183.87291666667</x:v>
      </x:c>
      <x:c r="C1216" s="13" t="n">
        <x:v>0.8729166666666667</x:v>
      </x:c>
      <x:c r="D1216" t="str">
        <x:v>Damak</x:v>
      </x:c>
      <x:c r="E1216" t="str">
        <x:v>Milan’s Bakery</x:v>
      </x:c>
      <x:c r="F1216" t="str">
        <x:v>Bottled Water 1L</x:v>
      </x:c>
      <x:c r="G1216" t="str">
        <x:v>Drink</x:v>
      </x:c>
      <x:c r="H1216" t="n">
        <x:v>1</x:v>
      </x:c>
      <x:c r="I1216" s="14" t="n">
        <x:v>35</x:v>
      </x:c>
      <x:c r="J1216" s="14" t="n">
        <x:v>35</x:v>
      </x:c>
      <x:c r="K1216" t="str">
        <x:v>DEMO / SIMULATED</x:v>
      </x:c>
    </x:row>
    <x:row r="1217">
      <x:c r="A1217" t="str">
        <x:v>JFD-20260506-0685</x:v>
      </x:c>
      <x:c r="B1217" s="11" t="n">
        <x:v>46148.50208333333</x:v>
      </x:c>
      <x:c r="C1217" s="13" t="n">
        <x:v>0.5020833333333333</x:v>
      </x:c>
      <x:c r="D1217" t="str">
        <x:v>Birtamode</x:v>
      </x:c>
      <x:c r="E1217" t="str">
        <x:v>The Underground Cafe &amp; Restaurant</x:v>
      </x:c>
      <x:c r="F1217" t="str">
        <x:v>Coca-Cola 500ml</x:v>
      </x:c>
      <x:c r="G1217" t="str">
        <x:v>Drink</x:v>
      </x:c>
      <x:c r="H1217" t="n">
        <x:v>4</x:v>
      </x:c>
      <x:c r="I1217" s="14" t="n">
        <x:v>100</x:v>
      </x:c>
      <x:c r="J1217" s="14" t="n">
        <x:v>400</x:v>
      </x:c>
      <x:c r="K1217" t="str">
        <x:v>DEMO / SIMULATED</x:v>
      </x:c>
    </x:row>
    <x:row r="1218">
      <x:c r="A1218" t="str">
        <x:v>JFD-20260506-0685</x:v>
      </x:c>
      <x:c r="B1218" s="11" t="n">
        <x:v>46148.48055555556</x:v>
      </x:c>
      <x:c r="C1218" s="13" t="n">
        <x:v>0.48055555555555557</x:v>
      </x:c>
      <x:c r="D1218" t="str">
        <x:v>Birtamode</x:v>
      </x:c>
      <x:c r="E1218" t="str">
        <x:v>The Underground Cafe &amp; Restaurant</x:v>
      </x:c>
      <x:c r="F1218" t="str">
        <x:v>Veg Pakauda</x:v>
      </x:c>
      <x:c r="G1218" t="str">
        <x:v>Food</x:v>
      </x:c>
      <x:c r="H1218" t="n">
        <x:v>2</x:v>
      </x:c>
      <x:c r="I1218" s="14" t="n">
        <x:v>175</x:v>
      </x:c>
      <x:c r="J1218" s="14" t="n">
        <x:v>350</x:v>
      </x:c>
      <x:c r="K1218" t="str">
        <x:v>DEMO / SIMULATED</x:v>
      </x:c>
    </x:row>
    <x:row r="1219">
      <x:c r="A1219" t="str">
        <x:v>JFD-20231107-0686</x:v>
      </x:c>
      <x:c r="B1219" s="11" t="n">
        <x:v>45237.83472222222</x:v>
      </x:c>
      <x:c r="C1219" s="13" t="n">
        <x:v>0.8347222222222223</x:v>
      </x:c>
      <x:c r="D1219" t="str">
        <x:v>Damak</x:v>
      </x:c>
      <x:c r="E1219" t="str">
        <x:v>Milan’s Bakery</x:v>
      </x:c>
      <x:c r="F1219" t="str">
        <x:v>Red Velvet Cake</x:v>
      </x:c>
      <x:c r="G1219" t="str">
        <x:v>Food</x:v>
      </x:c>
      <x:c r="H1219" t="n">
        <x:v>2</x:v>
      </x:c>
      <x:c r="I1219" s="14" t="n">
        <x:v>740</x:v>
      </x:c>
      <x:c r="J1219" s="14" t="n">
        <x:v>1480</x:v>
      </x:c>
      <x:c r="K1219" t="str">
        <x:v>DEMO / SIMULATED</x:v>
      </x:c>
    </x:row>
    <x:row r="1220">
      <x:c r="A1220" t="str">
        <x:v>JFD-20230824-0687</x:v>
      </x:c>
      <x:c r="B1220" s="11" t="n">
        <x:v>45162.583333333336</x:v>
      </x:c>
      <x:c r="C1220" s="13" t="n">
        <x:v>0.5833333333333334</x:v>
      </x:c>
      <x:c r="D1220" t="str">
        <x:v>Birtamode</x:v>
      </x:c>
      <x:c r="E1220" t="str">
        <x:v>The Underground Cafe &amp; Restaurant</x:v>
      </x:c>
      <x:c r="F1220" t="str">
        <x:v>Coca-Cola 500ml</x:v>
      </x:c>
      <x:c r="G1220" t="str">
        <x:v>Drink</x:v>
      </x:c>
      <x:c r="H1220" t="n">
        <x:v>3</x:v>
      </x:c>
      <x:c r="I1220" s="14" t="n">
        <x:v>80</x:v>
      </x:c>
      <x:c r="J1220" s="14" t="n">
        <x:v>240</x:v>
      </x:c>
      <x:c r="K1220" t="str">
        <x:v>DEMO / SIMULATED</x:v>
      </x:c>
    </x:row>
    <x:row r="1221">
      <x:c r="A1221" t="str">
        <x:v>JFD-20230824-0687</x:v>
      </x:c>
      <x:c r="B1221" s="11" t="n">
        <x:v>45162.62569444445</x:v>
      </x:c>
      <x:c r="C1221" s="13" t="n">
        <x:v>0.6256944444444444</x:v>
      </x:c>
      <x:c r="D1221" t="str">
        <x:v>Birtamode</x:v>
      </x:c>
      <x:c r="E1221" t="str">
        <x:v>The Underground Cafe &amp; Restaurant</x:v>
      </x:c>
      <x:c r="F1221" t="str">
        <x:v>Aalu Jeera</x:v>
      </x:c>
      <x:c r="G1221" t="str">
        <x:v>Food</x:v>
      </x:c>
      <x:c r="H1221" t="n">
        <x:v>1</x:v>
      </x:c>
      <x:c r="I1221" s="14" t="n">
        <x:v>125</x:v>
      </x:c>
      <x:c r="J1221" s="14" t="n">
        <x:v>125</x:v>
      </x:c>
      <x:c r="K1221" t="str">
        <x:v>DEMO / SIMULATED</x:v>
      </x:c>
    </x:row>
    <x:row r="1222">
      <x:c r="A1222" t="str">
        <x:v>JFD-20230121-0688</x:v>
      </x:c>
      <x:c r="B1222" s="11" t="n">
        <x:v>44947.902083333334</x:v>
      </x:c>
      <x:c r="C1222" s="13" t="n">
        <x:v>0.9020833333333333</x:v>
      </x:c>
      <x:c r="D1222" t="str">
        <x:v>Damak</x:v>
      </x:c>
      <x:c r="E1222" t="str">
        <x:v>Milan’s Bakery</x:v>
      </x:c>
      <x:c r="F1222" t="str">
        <x:v>Vanilla Cake</x:v>
      </x:c>
      <x:c r="G1222" t="str">
        <x:v>Food</x:v>
      </x:c>
      <x:c r="H1222" t="n">
        <x:v>3</x:v>
      </x:c>
      <x:c r="I1222" s="14" t="n">
        <x:v>245</x:v>
      </x:c>
      <x:c r="J1222" s="14" t="n">
        <x:v>735</x:v>
      </x:c>
      <x:c r="K1222" t="str">
        <x:v>DEMO / SIMULATED</x:v>
      </x:c>
    </x:row>
    <x:row r="1223">
      <x:c r="A1223" t="str">
        <x:v>JFD-20250810-0689</x:v>
      </x:c>
      <x:c r="B1223" s="11" t="n">
        <x:v>45879.638194444444</x:v>
      </x:c>
      <x:c r="C1223" s="13" t="n">
        <x:v>0.6381944444444444</x:v>
      </x:c>
      <x:c r="D1223" t="str">
        <x:v>Damak</x:v>
      </x:c>
      <x:c r="E1223" t="str">
        <x:v>Late Night Cravings</x:v>
      </x:c>
      <x:c r="F1223" t="str">
        <x:v>Bottled Water 1L</x:v>
      </x:c>
      <x:c r="G1223" t="str">
        <x:v>Drink</x:v>
      </x:c>
      <x:c r="H1223" t="n">
        <x:v>3</x:v>
      </x:c>
      <x:c r="I1223" s="14" t="n">
        <x:v>40</x:v>
      </x:c>
      <x:c r="J1223" s="14" t="n">
        <x:v>120</x:v>
      </x:c>
      <x:c r="K1223" t="str">
        <x:v>DEMO / SIMULATED</x:v>
      </x:c>
    </x:row>
    <x:row r="1224">
      <x:c r="A1224" t="str">
        <x:v>JFD-20250810-0689</x:v>
      </x:c>
      <x:c r="B1224" s="11" t="n">
        <x:v>45879.5125</x:v>
      </x:c>
      <x:c r="C1224" s="13" t="n">
        <x:v>0.5125</x:v>
      </x:c>
      <x:c r="D1224" t="str">
        <x:v>Damak</x:v>
      </x:c>
      <x:c r="E1224" t="str">
        <x:v>Late Night Cravings</x:v>
      </x:c>
      <x:c r="F1224" t="str">
        <x:v>Mix Fry Rice</x:v>
      </x:c>
      <x:c r="G1224" t="str">
        <x:v>Food</x:v>
      </x:c>
      <x:c r="H1224" t="n">
        <x:v>3</x:v>
      </x:c>
      <x:c r="I1224" s="14" t="n">
        <x:v>265</x:v>
      </x:c>
      <x:c r="J1224" s="14" t="n">
        <x:v>795</x:v>
      </x:c>
      <x:c r="K1224" t="str">
        <x:v>DEMO / SIMULATED</x:v>
      </x:c>
    </x:row>
    <x:row r="1225">
      <x:c r="A1225" t="str">
        <x:v>JFD-20230413-0690</x:v>
      </x:c>
      <x:c r="B1225" s="11" t="n">
        <x:v>45029.558333333334</x:v>
      </x:c>
      <x:c r="C1225" s="13" t="n">
        <x:v>0.5583333333333333</x:v>
      </x:c>
      <x:c r="D1225" t="str">
        <x:v>Damak</x:v>
      </x:c>
      <x:c r="E1225" t="str">
        <x:v>Milan’s Bakery</x:v>
      </x:c>
      <x:c r="F1225" t="str">
        <x:v>Red Velvet Cake</x:v>
      </x:c>
      <x:c r="G1225" t="str">
        <x:v>Food</x:v>
      </x:c>
      <x:c r="H1225" t="n">
        <x:v>1</x:v>
      </x:c>
      <x:c r="I1225" s="14" t="n">
        <x:v>740</x:v>
      </x:c>
      <x:c r="J1225" s="14" t="n">
        <x:v>740</x:v>
      </x:c>
      <x:c r="K1225" t="str">
        <x:v>DEMO / SIMULATED</x:v>
      </x:c>
    </x:row>
    <x:row r="1226">
      <x:c r="A1226" t="str">
        <x:v>JFD-20260224-0691</x:v>
      </x:c>
      <x:c r="B1226" s="11" t="n">
        <x:v>46077.680555555555</x:v>
      </x:c>
      <x:c r="C1226" s="13" t="n">
        <x:v>0.6805555555555556</x:v>
      </x:c>
      <x:c r="D1226" t="str">
        <x:v>Damak</x:v>
      </x:c>
      <x:c r="E1226" t="str">
        <x:v>Late Night Cravings</x:v>
      </x:c>
      <x:c r="F1226" t="str">
        <x:v>Mix Fry Rice</x:v>
      </x:c>
      <x:c r="G1226" t="str">
        <x:v>Food</x:v>
      </x:c>
      <x:c r="H1226" t="n">
        <x:v>2</x:v>
      </x:c>
      <x:c r="I1226" s="14" t="n">
        <x:v>280</x:v>
      </x:c>
      <x:c r="J1226" s="14" t="n">
        <x:v>560</x:v>
      </x:c>
      <x:c r="K1226" t="str">
        <x:v>DEMO / SIMULATED</x:v>
      </x:c>
    </x:row>
    <x:row r="1227">
      <x:c r="A1227" t="str">
        <x:v>JFD-20260224-0691</x:v>
      </x:c>
      <x:c r="B1227" s="11" t="n">
        <x:v>46077.805555555555</x:v>
      </x:c>
      <x:c r="C1227" s="13" t="n">
        <x:v>0.8055555555555556</x:v>
      </x:c>
      <x:c r="D1227" t="str">
        <x:v>Damak</x:v>
      </x:c>
      <x:c r="E1227" t="str">
        <x:v>Late Night Cravings</x:v>
      </x:c>
      <x:c r="F1227" t="str">
        <x:v>Bottled Water 1L</x:v>
      </x:c>
      <x:c r="G1227" t="str">
        <x:v>Drink</x:v>
      </x:c>
      <x:c r="H1227" t="n">
        <x:v>1</x:v>
      </x:c>
      <x:c r="I1227" s="14" t="n">
        <x:v>40</x:v>
      </x:c>
      <x:c r="J1227" s="14" t="n">
        <x:v>40</x:v>
      </x:c>
      <x:c r="K1227" t="str">
        <x:v>DEMO / SIMULATED</x:v>
      </x:c>
    </x:row>
    <x:row r="1228">
      <x:c r="A1228" t="str">
        <x:v>JFD-20250708-0692</x:v>
      </x:c>
      <x:c r="B1228" s="11" t="n">
        <x:v>45846.714583333334</x:v>
      </x:c>
      <x:c r="C1228" s="13" t="n">
        <x:v>0.7145833333333333</x:v>
      </x:c>
      <x:c r="D1228" t="str">
        <x:v>Damak</x:v>
      </x:c>
      <x:c r="E1228" t="str">
        <x:v>Milan’s Bakery</x:v>
      </x:c>
      <x:c r="F1228" t="str">
        <x:v>Black Forest Cake</x:v>
      </x:c>
      <x:c r="G1228" t="str">
        <x:v>Food</x:v>
      </x:c>
      <x:c r="H1228" t="n">
        <x:v>2</x:v>
      </x:c>
      <x:c r="I1228" s="14" t="n">
        <x:v>280</x:v>
      </x:c>
      <x:c r="J1228" s="14" t="n">
        <x:v>560</x:v>
      </x:c>
      <x:c r="K1228" t="str">
        <x:v>DEMO / SIMULATED</x:v>
      </x:c>
    </x:row>
    <x:row r="1229">
      <x:c r="A1229" t="str">
        <x:v>JFD-20250708-0692</x:v>
      </x:c>
      <x:c r="B1229" s="11" t="n">
        <x:v>45846.66875</x:v>
      </x:c>
      <x:c r="C1229" s="13" t="n">
        <x:v>0.66875</x:v>
      </x:c>
      <x:c r="D1229" t="str">
        <x:v>Damak</x:v>
      </x:c>
      <x:c r="E1229" t="str">
        <x:v>Milan’s Bakery</x:v>
      </x:c>
      <x:c r="F1229" t="str">
        <x:v>Chocolate Cake</x:v>
      </x:c>
      <x:c r="G1229" t="str">
        <x:v>Food</x:v>
      </x:c>
      <x:c r="H1229" t="n">
        <x:v>4</x:v>
      </x:c>
      <x:c r="I1229" s="14" t="n">
        <x:v>330</x:v>
      </x:c>
      <x:c r="J1229" s="14" t="n">
        <x:v>1320</x:v>
      </x:c>
      <x:c r="K1229" t="str">
        <x:v>DEMO / SIMULATED</x:v>
      </x:c>
    </x:row>
    <x:row r="1230">
      <x:c r="A1230" t="str">
        <x:v>JFD-20241201-0693</x:v>
      </x:c>
      <x:c r="B1230" s="11" t="n">
        <x:v>45627.79027777778</x:v>
      </x:c>
      <x:c r="C1230" s="13" t="n">
        <x:v>0.7902777777777777</x:v>
      </x:c>
      <x:c r="D1230" t="str">
        <x:v>Birtamode</x:v>
      </x:c>
      <x:c r="E1230" t="str">
        <x:v>The Underground Cafe &amp; Restaurant</x:v>
      </x:c>
      <x:c r="F1230" t="str">
        <x:v>Coca-Cola 500ml</x:v>
      </x:c>
      <x:c r="G1230" t="str">
        <x:v>Drink</x:v>
      </x:c>
      <x:c r="H1230" t="n">
        <x:v>4</x:v>
      </x:c>
      <x:c r="I1230" s="14" t="n">
        <x:v>90</x:v>
      </x:c>
      <x:c r="J1230" s="14" t="n">
        <x:v>360</x:v>
      </x:c>
      <x:c r="K1230" t="str">
        <x:v>DEMO / SIMULATED</x:v>
      </x:c>
    </x:row>
    <x:row r="1231">
      <x:c r="A1231" t="str">
        <x:v>JFD-20241201-0693</x:v>
      </x:c>
      <x:c r="B1231" s="11" t="n">
        <x:v>45627.67569444444</x:v>
      </x:c>
      <x:c r="C1231" s="13" t="n">
        <x:v>0.6756944444444445</x:v>
      </x:c>
      <x:c r="D1231" t="str">
        <x:v>Birtamode</x:v>
      </x:c>
      <x:c r="E1231" t="str">
        <x:v>The Underground Cafe &amp; Restaurant</x:v>
      </x:c>
      <x:c r="F1231" t="str">
        <x:v>Aalu Jeera</x:v>
      </x:c>
      <x:c r="G1231" t="str">
        <x:v>Food</x:v>
      </x:c>
      <x:c r="H1231" t="n">
        <x:v>3</x:v>
      </x:c>
      <x:c r="I1231" s="14" t="n">
        <x:v>135</x:v>
      </x:c>
      <x:c r="J1231" s="14" t="n">
        <x:v>405</x:v>
      </x:c>
      <x:c r="K1231" t="str">
        <x:v>DEMO / SIMULATED</x:v>
      </x:c>
    </x:row>
    <x:row r="1232">
      <x:c r="A1232" t="str">
        <x:v>JFD-20250822-0694</x:v>
      </x:c>
      <x:c r="B1232" s="11" t="n">
        <x:v>45891.43819444445</x:v>
      </x:c>
      <x:c r="C1232" s="13" t="n">
        <x:v>0.43819444444444444</x:v>
      </x:c>
      <x:c r="D1232" t="str">
        <x:v>Damak</x:v>
      </x:c>
      <x:c r="E1232" t="str">
        <x:v>Milan’s Bakery</x:v>
      </x:c>
      <x:c r="F1232" t="str">
        <x:v>Black Forest Cake</x:v>
      </x:c>
      <x:c r="G1232" t="str">
        <x:v>Food</x:v>
      </x:c>
      <x:c r="H1232" t="n">
        <x:v>2</x:v>
      </x:c>
      <x:c r="I1232" s="14" t="n">
        <x:v>280</x:v>
      </x:c>
      <x:c r="J1232" s="14" t="n">
        <x:v>560</x:v>
      </x:c>
      <x:c r="K1232" t="str">
        <x:v>DEMO / SIMULATED</x:v>
      </x:c>
    </x:row>
    <x:row r="1233">
      <x:c r="A1233" t="str">
        <x:v>JFD-20250822-0694</x:v>
      </x:c>
      <x:c r="B1233" s="11" t="n">
        <x:v>45891.71041666667</x:v>
      </x:c>
      <x:c r="C1233" s="13" t="n">
        <x:v>0.7104166666666667</x:v>
      </x:c>
      <x:c r="D1233" t="str">
        <x:v>Damak</x:v>
      </x:c>
      <x:c r="E1233" t="str">
        <x:v>Milan’s Bakery</x:v>
      </x:c>
      <x:c r="F1233" t="str">
        <x:v>Coca-Cola 500ml</x:v>
      </x:c>
      <x:c r="G1233" t="str">
        <x:v>Drink</x:v>
      </x:c>
      <x:c r="H1233" t="n">
        <x:v>1</x:v>
      </x:c>
      <x:c r="I1233" s="14" t="n">
        <x:v>95</x:v>
      </x:c>
      <x:c r="J1233" s="14" t="n">
        <x:v>95</x:v>
      </x:c>
      <x:c r="K1233" t="str">
        <x:v>DEMO / SIMULATED</x:v>
      </x:c>
    </x:row>
    <x:row r="1234">
      <x:c r="A1234" t="str">
        <x:v>JFD-20260302-0695</x:v>
      </x:c>
      <x:c r="B1234" s="11" t="n">
        <x:v>46083.60208333333</x:v>
      </x:c>
      <x:c r="C1234" s="13" t="n">
        <x:v>0.6020833333333333</x:v>
      </x:c>
      <x:c r="D1234" t="str">
        <x:v>Birtamode</x:v>
      </x:c>
      <x:c r="E1234" t="str">
        <x:v>The Underground Cafe &amp; Restaurant</x:v>
      </x:c>
      <x:c r="F1234" t="str">
        <x:v>Veg Pakauda</x:v>
      </x:c>
      <x:c r="G1234" t="str">
        <x:v>Food</x:v>
      </x:c>
      <x:c r="H1234" t="n">
        <x:v>1</x:v>
      </x:c>
      <x:c r="I1234" s="14" t="n">
        <x:v>175</x:v>
      </x:c>
      <x:c r="J1234" s="14" t="n">
        <x:v>175</x:v>
      </x:c>
      <x:c r="K1234" t="str">
        <x:v>DEMO / SIMULATED</x:v>
      </x:c>
    </x:row>
    <x:row r="1235">
      <x:c r="A1235" t="str">
        <x:v>JFD-20260302-0695</x:v>
      </x:c>
      <x:c r="B1235" s="11" t="n">
        <x:v>46083.623611111114</x:v>
      </x:c>
      <x:c r="C1235" s="13" t="n">
        <x:v>0.6236111111111111</x:v>
      </x:c>
      <x:c r="D1235" t="str">
        <x:v>Birtamode</x:v>
      </x:c>
      <x:c r="E1235" t="str">
        <x:v>The Underground Cafe &amp; Restaurant</x:v>
      </x:c>
      <x:c r="F1235" t="str">
        <x:v>Coca-Cola 500ml</x:v>
      </x:c>
      <x:c r="G1235" t="str">
        <x:v>Drink</x:v>
      </x:c>
      <x:c r="H1235" t="n">
        <x:v>3</x:v>
      </x:c>
      <x:c r="I1235" s="14" t="n">
        <x:v>100</x:v>
      </x:c>
      <x:c r="J1235" s="14" t="n">
        <x:v>300</x:v>
      </x:c>
      <x:c r="K1235" t="str">
        <x:v>DEMO / SIMULATED</x:v>
      </x:c>
    </x:row>
    <x:row r="1236">
      <x:c r="A1236" t="str">
        <x:v>JFD-20250420-0696</x:v>
      </x:c>
      <x:c r="B1236" s="11" t="n">
        <x:v>45767.42013888889</x:v>
      </x:c>
      <x:c r="C1236" s="13" t="n">
        <x:v>0.4201388888888889</x:v>
      </x:c>
      <x:c r="D1236" t="str">
        <x:v>Birtamode</x:v>
      </x:c>
      <x:c r="E1236" t="str">
        <x:v>The Underground Cafe &amp; Restaurant</x:v>
      </x:c>
      <x:c r="F1236" t="str">
        <x:v>Aalu Jeera</x:v>
      </x:c>
      <x:c r="G1236" t="str">
        <x:v>Food</x:v>
      </x:c>
      <x:c r="H1236" t="n">
        <x:v>4</x:v>
      </x:c>
      <x:c r="I1236" s="14" t="n">
        <x:v>145</x:v>
      </x:c>
      <x:c r="J1236" s="14" t="n">
        <x:v>580</x:v>
      </x:c>
      <x:c r="K1236" t="str">
        <x:v>DEMO / SIMULATED</x:v>
      </x:c>
    </x:row>
    <x:row r="1237">
      <x:c r="A1237" t="str">
        <x:v>JFD-20250420-0696</x:v>
      </x:c>
      <x:c r="B1237" s="11" t="n">
        <x:v>45767.63958333333</x:v>
      </x:c>
      <x:c r="C1237" s="13" t="n">
        <x:v>0.6395833333333333</x:v>
      </x:c>
      <x:c r="D1237" t="str">
        <x:v>Birtamode</x:v>
      </x:c>
      <x:c r="E1237" t="str">
        <x:v>The Underground Cafe &amp; Restaurant</x:v>
      </x:c>
      <x:c r="F1237" t="str">
        <x:v>Coca-Cola 500ml</x:v>
      </x:c>
      <x:c r="G1237" t="str">
        <x:v>Drink</x:v>
      </x:c>
      <x:c r="H1237" t="n">
        <x:v>1</x:v>
      </x:c>
      <x:c r="I1237" s="14" t="n">
        <x:v>95</x:v>
      </x:c>
      <x:c r="J1237" s="14" t="n">
        <x:v>95</x:v>
      </x:c>
      <x:c r="K1237" t="str">
        <x:v>DEMO / SIMULATED</x:v>
      </x:c>
    </x:row>
    <x:row r="1238">
      <x:c r="A1238" t="str">
        <x:v>JFD-20250210-0697</x:v>
      </x:c>
      <x:c r="B1238" s="11" t="n">
        <x:v>45698.89444444444</x:v>
      </x:c>
      <x:c r="C1238" s="13" t="n">
        <x:v>0.8944444444444445</x:v>
      </x:c>
      <x:c r="D1238" t="str">
        <x:v>Damak</x:v>
      </x:c>
      <x:c r="E1238" t="str">
        <x:v>Late Night Cravings</x:v>
      </x:c>
      <x:c r="F1238" t="str">
        <x:v>Mix Fry Rice</x:v>
      </x:c>
      <x:c r="G1238" t="str">
        <x:v>Food</x:v>
      </x:c>
      <x:c r="H1238" t="n">
        <x:v>4</x:v>
      </x:c>
      <x:c r="I1238" s="14" t="n">
        <x:v>265</x:v>
      </x:c>
      <x:c r="J1238" s="14" t="n">
        <x:v>1060</x:v>
      </x:c>
      <x:c r="K1238" t="str">
        <x:v>DEMO / SIMULATED</x:v>
      </x:c>
    </x:row>
    <x:row r="1239">
      <x:c r="A1239" t="str">
        <x:v>JFD-20230110-0698</x:v>
      </x:c>
      <x:c r="B1239" s="11" t="n">
        <x:v>44936.83125</x:v>
      </x:c>
      <x:c r="C1239" s="13" t="n">
        <x:v>0.83125</x:v>
      </x:c>
      <x:c r="D1239" t="str">
        <x:v>Damak</x:v>
      </x:c>
      <x:c r="E1239" t="str">
        <x:v>Milan’s Bakery</x:v>
      </x:c>
      <x:c r="F1239" t="str">
        <x:v>Black Forest Cake</x:v>
      </x:c>
      <x:c r="G1239" t="str">
        <x:v>Food</x:v>
      </x:c>
      <x:c r="H1239" t="n">
        <x:v>4</x:v>
      </x:c>
      <x:c r="I1239" s="14" t="n">
        <x:v>245</x:v>
      </x:c>
      <x:c r="J1239" s="14" t="n">
        <x:v>980</x:v>
      </x:c>
      <x:c r="K1239" t="str">
        <x:v>DEMO / SIMULATED</x:v>
      </x:c>
    </x:row>
    <x:row r="1240">
      <x:c r="A1240" t="str">
        <x:v>JFD-20260605-0699</x:v>
      </x:c>
      <x:c r="B1240" s="11" t="n">
        <x:v>46178.86666666667</x:v>
      </x:c>
      <x:c r="C1240" s="13" t="n">
        <x:v>0.8666666666666667</x:v>
      </x:c>
      <x:c r="D1240" t="str">
        <x:v>Birtamode</x:v>
      </x:c>
      <x:c r="E1240" t="str">
        <x:v>The Underground Cafe &amp; Restaurant</x:v>
      </x:c>
      <x:c r="F1240" t="str">
        <x:v>Veg Pakauda</x:v>
      </x:c>
      <x:c r="G1240" t="str">
        <x:v>Food</x:v>
      </x:c>
      <x:c r="H1240" t="n">
        <x:v>2</x:v>
      </x:c>
      <x:c r="I1240" s="14" t="n">
        <x:v>175</x:v>
      </x:c>
      <x:c r="J1240" s="14" t="n">
        <x:v>350</x:v>
      </x:c>
      <x:c r="K1240" t="str">
        <x:v>DEMO / SIMULATED</x:v>
      </x:c>
    </x:row>
    <x:row r="1241">
      <x:c r="A1241" t="str">
        <x:v>JFD-20260605-0699</x:v>
      </x:c>
      <x:c r="B1241" s="11" t="n">
        <x:v>46178.88333333333</x:v>
      </x:c>
      <x:c r="C1241" s="13" t="n">
        <x:v>0.8833333333333333</x:v>
      </x:c>
      <x:c r="D1241" t="str">
        <x:v>Birtamode</x:v>
      </x:c>
      <x:c r="E1241" t="str">
        <x:v>The Underground Cafe &amp; Restaurant</x:v>
      </x:c>
      <x:c r="F1241" t="str">
        <x:v>Paneer Pakauda</x:v>
      </x:c>
      <x:c r="G1241" t="str">
        <x:v>Food</x:v>
      </x:c>
      <x:c r="H1241" t="n">
        <x:v>1</x:v>
      </x:c>
      <x:c r="I1241" s="14" t="n">
        <x:v>225</x:v>
      </x:c>
      <x:c r="J1241" s="14" t="n">
        <x:v>225</x:v>
      </x:c>
      <x:c r="K1241" t="str">
        <x:v>DEMO / SIMULATED</x:v>
      </x:c>
    </x:row>
    <x:row r="1242">
      <x:c r="A1242" t="str">
        <x:v>JFD-20260104-0700</x:v>
      </x:c>
      <x:c r="B1242" s="11" t="n">
        <x:v>46026.90138888889</x:v>
      </x:c>
      <x:c r="C1242" s="13" t="n">
        <x:v>0.9013888888888889</x:v>
      </x:c>
      <x:c r="D1242" t="str">
        <x:v>Birtamode</x:v>
      </x:c>
      <x:c r="E1242" t="str">
        <x:v>The Underground Cafe &amp; Restaurant</x:v>
      </x:c>
      <x:c r="F1242" t="str">
        <x:v>Coca-Cola 500ml</x:v>
      </x:c>
      <x:c r="G1242" t="str">
        <x:v>Drink</x:v>
      </x:c>
      <x:c r="H1242" t="n">
        <x:v>2</x:v>
      </x:c>
      <x:c r="I1242" s="14" t="n">
        <x:v>100</x:v>
      </x:c>
      <x:c r="J1242" s="14" t="n">
        <x:v>200</x:v>
      </x:c>
      <x:c r="K1242" t="str">
        <x:v>DEMO / SIMULATED</x:v>
      </x:c>
    </x:row>
    <x:row r="1243">
      <x:c r="A1243" t="str">
        <x:v>JFD-20260104-0700</x:v>
      </x:c>
      <x:c r="B1243" s="11" t="n">
        <x:v>46026.59722222222</x:v>
      </x:c>
      <x:c r="C1243" s="13" t="n">
        <x:v>0.5972222222222222</x:v>
      </x:c>
      <x:c r="D1243" t="str">
        <x:v>Birtamode</x:v>
      </x:c>
      <x:c r="E1243" t="str">
        <x:v>The Underground Cafe &amp; Restaurant</x:v>
      </x:c>
      <x:c r="F1243" t="str">
        <x:v>Veg Pakauda</x:v>
      </x:c>
      <x:c r="G1243" t="str">
        <x:v>Food</x:v>
      </x:c>
      <x:c r="H1243" t="n">
        <x:v>3</x:v>
      </x:c>
      <x:c r="I1243" s="14" t="n">
        <x:v>175</x:v>
      </x:c>
      <x:c r="J1243" s="14" t="n">
        <x:v>525</x:v>
      </x:c>
      <x:c r="K1243" t="str">
        <x:v>DEMO / SIMULATED</x:v>
      </x:c>
    </x:row>
    <x:row r="1244">
      <x:c r="A1244" t="str">
        <x:v>JFD-20260509-0701</x:v>
      </x:c>
      <x:c r="B1244" s="11" t="n">
        <x:v>46151.58541666667</x:v>
      </x:c>
      <x:c r="C1244" s="13" t="n">
        <x:v>0.5854166666666667</x:v>
      </x:c>
      <x:c r="D1244" t="str">
        <x:v>Damak</x:v>
      </x:c>
      <x:c r="E1244" t="str">
        <x:v>Late Night Cravings</x:v>
      </x:c>
      <x:c r="F1244" t="str">
        <x:v>Coca-Cola 500ml</x:v>
      </x:c>
      <x:c r="G1244" t="str">
        <x:v>Drink</x:v>
      </x:c>
      <x:c r="H1244" t="n">
        <x:v>3</x:v>
      </x:c>
      <x:c r="I1244" s="14" t="n">
        <x:v>100</x:v>
      </x:c>
      <x:c r="J1244" s="14" t="n">
        <x:v>300</x:v>
      </x:c>
      <x:c r="K1244" t="str">
        <x:v>DEMO / SIMULATED</x:v>
      </x:c>
    </x:row>
    <x:row r="1245">
      <x:c r="A1245" t="str">
        <x:v>JFD-20260509-0701</x:v>
      </x:c>
      <x:c r="B1245" s="11" t="n">
        <x:v>46151.85</x:v>
      </x:c>
      <x:c r="C1245" s="13" t="n">
        <x:v>0.85</x:v>
      </x:c>
      <x:c r="D1245" t="str">
        <x:v>Damak</x:v>
      </x:c>
      <x:c r="E1245" t="str">
        <x:v>Late Night Cravings</x:v>
      </x:c>
      <x:c r="F1245" t="str">
        <x:v>Mix Fry Rice</x:v>
      </x:c>
      <x:c r="G1245" t="str">
        <x:v>Food</x:v>
      </x:c>
      <x:c r="H1245" t="n">
        <x:v>4</x:v>
      </x:c>
      <x:c r="I1245" s="14" t="n">
        <x:v>280</x:v>
      </x:c>
      <x:c r="J1245" s="14" t="n">
        <x:v>1120</x:v>
      </x:c>
      <x:c r="K1245" t="str">
        <x:v>DEMO / SIMULATED</x:v>
      </x:c>
    </x:row>
    <x:row r="1246">
      <x:c r="A1246" t="str">
        <x:v>JFD-20240505-0702</x:v>
      </x:c>
      <x:c r="B1246" s="11" t="n">
        <x:v>45417.56180555555</x:v>
      </x:c>
      <x:c r="C1246" s="13" t="n">
        <x:v>0.5618055555555556</x:v>
      </x:c>
      <x:c r="D1246" t="str">
        <x:v>Damak</x:v>
      </x:c>
      <x:c r="E1246" t="str">
        <x:v>Late Night Cravings</x:v>
      </x:c>
      <x:c r="F1246" t="str">
        <x:v>Mix Fry Rice</x:v>
      </x:c>
      <x:c r="G1246" t="str">
        <x:v>Food</x:v>
      </x:c>
      <x:c r="H1246" t="n">
        <x:v>4</x:v>
      </x:c>
      <x:c r="I1246" s="14" t="n">
        <x:v>245</x:v>
      </x:c>
      <x:c r="J1246" s="14" t="n">
        <x:v>980</x:v>
      </x:c>
      <x:c r="K1246" t="str">
        <x:v>DEMO / SIMULATED</x:v>
      </x:c>
    </x:row>
    <x:row r="1247">
      <x:c r="A1247" t="str">
        <x:v>JFD-20250626-0703</x:v>
      </x:c>
      <x:c r="B1247" s="11" t="n">
        <x:v>45834.743055555555</x:v>
      </x:c>
      <x:c r="C1247" s="13" t="n">
        <x:v>0.7430555555555556</x:v>
      </x:c>
      <x:c r="D1247" t="str">
        <x:v>Damak</x:v>
      </x:c>
      <x:c r="E1247" t="str">
        <x:v>Milan’s Bakery</x:v>
      </x:c>
      <x:c r="F1247" t="str">
        <x:v>Vanilla Cake</x:v>
      </x:c>
      <x:c r="G1247" t="str">
        <x:v>Food</x:v>
      </x:c>
      <x:c r="H1247" t="n">
        <x:v>3</x:v>
      </x:c>
      <x:c r="I1247" s="14" t="n">
        <x:v>280</x:v>
      </x:c>
      <x:c r="J1247" s="14" t="n">
        <x:v>840</x:v>
      </x:c>
      <x:c r="K1247" t="str">
        <x:v>DEMO / SIMULATED</x:v>
      </x:c>
    </x:row>
    <x:row r="1248">
      <x:c r="A1248" t="str">
        <x:v>JFD-20250626-0703</x:v>
      </x:c>
      <x:c r="B1248" s="11" t="n">
        <x:v>45834.58611111111</x:v>
      </x:c>
      <x:c r="C1248" s="13" t="n">
        <x:v>0.5861111111111111</x:v>
      </x:c>
      <x:c r="D1248" t="str">
        <x:v>Damak</x:v>
      </x:c>
      <x:c r="E1248" t="str">
        <x:v>Milan’s Bakery</x:v>
      </x:c>
      <x:c r="F1248" t="str">
        <x:v>Coca-Cola 500ml</x:v>
      </x:c>
      <x:c r="G1248" t="str">
        <x:v>Drink</x:v>
      </x:c>
      <x:c r="H1248" t="n">
        <x:v>4</x:v>
      </x:c>
      <x:c r="I1248" s="14" t="n">
        <x:v>95</x:v>
      </x:c>
      <x:c r="J1248" s="14" t="n">
        <x:v>380</x:v>
      </x:c>
      <x:c r="K1248" t="str">
        <x:v>DEMO / SIMULATED</x:v>
      </x:c>
    </x:row>
    <x:row r="1249">
      <x:c r="A1249" t="str">
        <x:v>JFD-20260224-0704</x:v>
      </x:c>
      <x:c r="B1249" s="11" t="n">
        <x:v>46077.86736111111</x:v>
      </x:c>
      <x:c r="C1249" s="13" t="n">
        <x:v>0.8673611111111111</x:v>
      </x:c>
      <x:c r="D1249" t="str">
        <x:v>Birtamode</x:v>
      </x:c>
      <x:c r="E1249" t="str">
        <x:v>The Underground Cafe &amp; Restaurant</x:v>
      </x:c>
      <x:c r="F1249" t="str">
        <x:v>Bottled Water 1L</x:v>
      </x:c>
      <x:c r="G1249" t="str">
        <x:v>Drink</x:v>
      </x:c>
      <x:c r="H1249" t="n">
        <x:v>1</x:v>
      </x:c>
      <x:c r="I1249" s="14" t="n">
        <x:v>40</x:v>
      </x:c>
      <x:c r="J1249" s="14" t="n">
        <x:v>40</x:v>
      </x:c>
      <x:c r="K1249" t="str">
        <x:v>DEMO / SIMULATED</x:v>
      </x:c>
    </x:row>
    <x:row r="1250">
      <x:c r="A1250" t="str">
        <x:v>JFD-20230213-0705</x:v>
      </x:c>
      <x:c r="B1250" s="11" t="n">
        <x:v>44970.467361111114</x:v>
      </x:c>
      <x:c r="C1250" s="13" t="n">
        <x:v>0.4673611111111111</x:v>
      </x:c>
      <x:c r="D1250" t="str">
        <x:v>Birtamode</x:v>
      </x:c>
      <x:c r="E1250" t="str">
        <x:v>Pizza Ghar</x:v>
      </x:c>
      <x:c r="F1250" t="str">
        <x:v>Bottled Water 1L</x:v>
      </x:c>
      <x:c r="G1250" t="str">
        <x:v>Drink</x:v>
      </x:c>
      <x:c r="H1250" t="n">
        <x:v>1</x:v>
      </x:c>
      <x:c r="I1250" s="14" t="n">
        <x:v>35</x:v>
      </x:c>
      <x:c r="J1250" s="14" t="n">
        <x:v>35</x:v>
      </x:c>
      <x:c r="K1250" t="str">
        <x:v>DEMO / SIMULATED</x:v>
      </x:c>
    </x:row>
    <x:row r="1251">
      <x:c r="A1251" t="str">
        <x:v>JFD-20230213-0705</x:v>
      </x:c>
      <x:c r="B1251" s="11" t="n">
        <x:v>44970.430555555555</x:v>
      </x:c>
      <x:c r="C1251" s="13" t="n">
        <x:v>0.4305555555555556</x:v>
      </x:c>
      <x:c r="D1251" t="str">
        <x:v>Birtamode</x:v>
      </x:c>
      <x:c r="E1251" t="str">
        <x:v>Pizza Ghar</x:v>
      </x:c>
      <x:c r="F1251" t="str">
        <x:v>Veg Fried Rice</x:v>
      </x:c>
      <x:c r="G1251" t="str">
        <x:v>Food</x:v>
      </x:c>
      <x:c r="H1251" t="n">
        <x:v>2</x:v>
      </x:c>
      <x:c r="I1251" s="14" t="n">
        <x:v>180</x:v>
      </x:c>
      <x:c r="J1251" s="14" t="n">
        <x:v>360</x:v>
      </x:c>
      <x:c r="K1251" t="str">
        <x:v>DEMO / SIMULATED</x:v>
      </x:c>
    </x:row>
    <x:row r="1252">
      <x:c r="A1252" t="str">
        <x:v>JFD-20250511-0706</x:v>
      </x:c>
      <x:c r="B1252" s="11" t="n">
        <x:v>45788.61944444444</x:v>
      </x:c>
      <x:c r="C1252" s="13" t="n">
        <x:v>0.6194444444444445</x:v>
      </x:c>
      <x:c r="D1252" t="str">
        <x:v>Birtamode</x:v>
      </x:c>
      <x:c r="E1252" t="str">
        <x:v>The Underground Cafe &amp; Restaurant</x:v>
      </x:c>
      <x:c r="F1252" t="str">
        <x:v>Coca-Cola 500ml</x:v>
      </x:c>
      <x:c r="G1252" t="str">
        <x:v>Drink</x:v>
      </x:c>
      <x:c r="H1252" t="n">
        <x:v>3</x:v>
      </x:c>
      <x:c r="I1252" s="14" t="n">
        <x:v>95</x:v>
      </x:c>
      <x:c r="J1252" s="14" t="n">
        <x:v>285</x:v>
      </x:c>
      <x:c r="K1252" t="str">
        <x:v>DEMO / SIMULATED</x:v>
      </x:c>
    </x:row>
    <x:row r="1253">
      <x:c r="A1253" t="str">
        <x:v>JFD-20250511-0706</x:v>
      </x:c>
      <x:c r="B1253" s="11" t="n">
        <x:v>45788.55694444444</x:v>
      </x:c>
      <x:c r="C1253" s="13" t="n">
        <x:v>0.5569444444444445</x:v>
      </x:c>
      <x:c r="D1253" t="str">
        <x:v>Birtamode</x:v>
      </x:c>
      <x:c r="E1253" t="str">
        <x:v>The Underground Cafe &amp; Restaurant</x:v>
      </x:c>
      <x:c r="F1253" t="str">
        <x:v>Bottled Water 1L</x:v>
      </x:c>
      <x:c r="G1253" t="str">
        <x:v>Drink</x:v>
      </x:c>
      <x:c r="H1253" t="n">
        <x:v>3</x:v>
      </x:c>
      <x:c r="I1253" s="14" t="n">
        <x:v>40</x:v>
      </x:c>
      <x:c r="J1253" s="14" t="n">
        <x:v>120</x:v>
      </x:c>
      <x:c r="K1253" t="str">
        <x:v>DEMO / SIMULATED</x:v>
      </x:c>
    </x:row>
    <x:row r="1254">
      <x:c r="A1254" t="str">
        <x:v>JFD-20260405-0707</x:v>
      </x:c>
      <x:c r="B1254" s="11" t="n">
        <x:v>46117.88055555556</x:v>
      </x:c>
      <x:c r="C1254" s="13" t="n">
        <x:v>0.8805555555555555</x:v>
      </x:c>
      <x:c r="D1254" t="str">
        <x:v>Birtamode</x:v>
      </x:c>
      <x:c r="E1254" t="str">
        <x:v>The Underground Cafe &amp; Restaurant</x:v>
      </x:c>
      <x:c r="F1254" t="str">
        <x:v>Coca-Cola 500ml</x:v>
      </x:c>
      <x:c r="G1254" t="str">
        <x:v>Drink</x:v>
      </x:c>
      <x:c r="H1254" t="n">
        <x:v>3</x:v>
      </x:c>
      <x:c r="I1254" s="14" t="n">
        <x:v>100</x:v>
      </x:c>
      <x:c r="J1254" s="14" t="n">
        <x:v>300</x:v>
      </x:c>
      <x:c r="K1254" t="str">
        <x:v>DEMO / SIMULATED</x:v>
      </x:c>
    </x:row>
    <x:row r="1255">
      <x:c r="A1255" t="str">
        <x:v>JFD-20260405-0707</x:v>
      </x:c>
      <x:c r="B1255" s="11" t="n">
        <x:v>46117.81041666667</x:v>
      </x:c>
      <x:c r="C1255" s="13" t="n">
        <x:v>0.8104166666666667</x:v>
      </x:c>
      <x:c r="D1255" t="str">
        <x:v>Birtamode</x:v>
      </x:c>
      <x:c r="E1255" t="str">
        <x:v>The Underground Cafe &amp; Restaurant</x:v>
      </x:c>
      <x:c r="F1255" t="str">
        <x:v>Bottled Water 1L</x:v>
      </x:c>
      <x:c r="G1255" t="str">
        <x:v>Drink</x:v>
      </x:c>
      <x:c r="H1255" t="n">
        <x:v>1</x:v>
      </x:c>
      <x:c r="I1255" s="14" t="n">
        <x:v>40</x:v>
      </x:c>
      <x:c r="J1255" s="14" t="n">
        <x:v>40</x:v>
      </x:c>
      <x:c r="K1255" t="str">
        <x:v>DEMO / SIMULATED</x:v>
      </x:c>
    </x:row>
    <x:row r="1256">
      <x:c r="A1256" t="str">
        <x:v>JFD-20240225-0708</x:v>
      </x:c>
      <x:c r="B1256" s="11" t="n">
        <x:v>45347.63958333333</x:v>
      </x:c>
      <x:c r="C1256" s="13" t="n">
        <x:v>0.6395833333333333</x:v>
      </x:c>
      <x:c r="D1256" t="str">
        <x:v>Damak</x:v>
      </x:c>
      <x:c r="E1256" t="str">
        <x:v>Milan’s Bakery</x:v>
      </x:c>
      <x:c r="F1256" t="str">
        <x:v>Red Velvet Cake</x:v>
      </x:c>
      <x:c r="G1256" t="str">
        <x:v>Food</x:v>
      </x:c>
      <x:c r="H1256" t="n">
        <x:v>3</x:v>
      </x:c>
      <x:c r="I1256" s="14" t="n">
        <x:v>790</x:v>
      </x:c>
      <x:c r="J1256" s="14" t="n">
        <x:v>2370</x:v>
      </x:c>
      <x:c r="K1256" t="str">
        <x:v>DEMO / SIMULATED</x:v>
      </x:c>
    </x:row>
    <x:row r="1257">
      <x:c r="A1257" t="str">
        <x:v>JFD-20240225-0708</x:v>
      </x:c>
      <x:c r="B1257" s="11" t="n">
        <x:v>45347.90694444445</x:v>
      </x:c>
      <x:c r="C1257" s="13" t="n">
        <x:v>0.9069444444444444</x:v>
      </x:c>
      <x:c r="D1257" t="str">
        <x:v>Damak</x:v>
      </x:c>
      <x:c r="E1257" t="str">
        <x:v>Milan’s Bakery</x:v>
      </x:c>
      <x:c r="F1257" t="str">
        <x:v>Vanilla Cake</x:v>
      </x:c>
      <x:c r="G1257" t="str">
        <x:v>Food</x:v>
      </x:c>
      <x:c r="H1257" t="n">
        <x:v>3</x:v>
      </x:c>
      <x:c r="I1257" s="14" t="n">
        <x:v>265</x:v>
      </x:c>
      <x:c r="J1257" s="14" t="n">
        <x:v>795</x:v>
      </x:c>
      <x:c r="K1257" t="str">
        <x:v>DEMO / SIMULATED</x:v>
      </x:c>
    </x:row>
    <x:row r="1258">
      <x:c r="A1258" t="str">
        <x:v>JFD-20230223-0709</x:v>
      </x:c>
      <x:c r="B1258" s="11" t="n">
        <x:v>44980.52638888889</x:v>
      </x:c>
      <x:c r="C1258" s="13" t="n">
        <x:v>0.5263888888888889</x:v>
      </x:c>
      <x:c r="D1258" t="str">
        <x:v>Damak</x:v>
      </x:c>
      <x:c r="E1258" t="str">
        <x:v>Late Night Cravings</x:v>
      </x:c>
      <x:c r="F1258" t="str">
        <x:v>Coca-Cola 500ml</x:v>
      </x:c>
      <x:c r="G1258" t="str">
        <x:v>Drink</x:v>
      </x:c>
      <x:c r="H1258" t="n">
        <x:v>3</x:v>
      </x:c>
      <x:c r="I1258" s="14" t="n">
        <x:v>80</x:v>
      </x:c>
      <x:c r="J1258" s="14" t="n">
        <x:v>240</x:v>
      </x:c>
      <x:c r="K1258" t="str">
        <x:v>DEMO / SIMULATED</x:v>
      </x:c>
    </x:row>
    <x:row r="1259">
      <x:c r="A1259" t="str">
        <x:v>JFD-20230223-0709</x:v>
      </x:c>
      <x:c r="B1259" s="11" t="n">
        <x:v>44980.55972222222</x:v>
      </x:c>
      <x:c r="C1259" s="13" t="n">
        <x:v>0.5597222222222222</x:v>
      </x:c>
      <x:c r="D1259" t="str">
        <x:v>Damak</x:v>
      </x:c>
      <x:c r="E1259" t="str">
        <x:v>Late Night Cravings</x:v>
      </x:c>
      <x:c r="F1259" t="str">
        <x:v>Mix Fry Rice</x:v>
      </x:c>
      <x:c r="G1259" t="str">
        <x:v>Food</x:v>
      </x:c>
      <x:c r="H1259" t="n">
        <x:v>2</x:v>
      </x:c>
      <x:c r="I1259" s="14" t="n">
        <x:v>230</x:v>
      </x:c>
      <x:c r="J1259" s="14" t="n">
        <x:v>460</x:v>
      </x:c>
      <x:c r="K1259" t="str">
        <x:v>DEMO / SIMULATED</x:v>
      </x:c>
    </x:row>
    <x:row r="1260">
      <x:c r="A1260" t="str">
        <x:v>JFD-20240227-0710</x:v>
      </x:c>
      <x:c r="B1260" s="11" t="n">
        <x:v>45349.5125</x:v>
      </x:c>
      <x:c r="C1260" s="13" t="n">
        <x:v>0.5125</x:v>
      </x:c>
      <x:c r="D1260" t="str">
        <x:v>Birtamode</x:v>
      </x:c>
      <x:c r="E1260" t="str">
        <x:v>The Underground Cafe &amp; Restaurant</x:v>
      </x:c>
      <x:c r="F1260" t="str">
        <x:v>Veg Pakauda</x:v>
      </x:c>
      <x:c r="G1260" t="str">
        <x:v>Food</x:v>
      </x:c>
      <x:c r="H1260" t="n">
        <x:v>2</x:v>
      </x:c>
      <x:c r="I1260" s="14" t="n">
        <x:v>155</x:v>
      </x:c>
      <x:c r="J1260" s="14" t="n">
        <x:v>310</x:v>
      </x:c>
      <x:c r="K1260" t="str">
        <x:v>DEMO / SIMULATED</x:v>
      </x:c>
    </x:row>
    <x:row r="1261">
      <x:c r="A1261" t="str">
        <x:v>JFD-20240227-0710</x:v>
      </x:c>
      <x:c r="B1261" s="11" t="n">
        <x:v>45349.90347222222</x:v>
      </x:c>
      <x:c r="C1261" s="13" t="n">
        <x:v>0.9034722222222222</x:v>
      </x:c>
      <x:c r="D1261" t="str">
        <x:v>Birtamode</x:v>
      </x:c>
      <x:c r="E1261" t="str">
        <x:v>The Underground Cafe &amp; Restaurant</x:v>
      </x:c>
      <x:c r="F1261" t="str">
        <x:v>Aalu Jeera</x:v>
      </x:c>
      <x:c r="G1261" t="str">
        <x:v>Food</x:v>
      </x:c>
      <x:c r="H1261" t="n">
        <x:v>3</x:v>
      </x:c>
      <x:c r="I1261" s="14" t="n">
        <x:v>135</x:v>
      </x:c>
      <x:c r="J1261" s="14" t="n">
        <x:v>405</x:v>
      </x:c>
      <x:c r="K1261" t="str">
        <x:v>DEMO / SIMULATED</x:v>
      </x:c>
    </x:row>
    <x:row r="1262">
      <x:c r="A1262" t="str">
        <x:v>JFD-20240227-0710</x:v>
      </x:c>
      <x:c r="B1262" s="11" t="n">
        <x:v>45349.53333333333</x:v>
      </x:c>
      <x:c r="C1262" s="13" t="n">
        <x:v>0.5333333333333333</x:v>
      </x:c>
      <x:c r="D1262" t="str">
        <x:v>Birtamode</x:v>
      </x:c>
      <x:c r="E1262" t="str">
        <x:v>The Underground Cafe &amp; Restaurant</x:v>
      </x:c>
      <x:c r="F1262" t="str">
        <x:v>Bottled Water 1L</x:v>
      </x:c>
      <x:c r="G1262" t="str">
        <x:v>Drink</x:v>
      </x:c>
      <x:c r="H1262" t="n">
        <x:v>3</x:v>
      </x:c>
      <x:c r="I1262" s="14" t="n">
        <x:v>35</x:v>
      </x:c>
      <x:c r="J1262" s="14" t="n">
        <x:v>105</x:v>
      </x:c>
      <x:c r="K1262" t="str">
        <x:v>DEMO / SIMULATED</x:v>
      </x:c>
    </x:row>
    <x:row r="1263">
      <x:c r="A1263" t="str">
        <x:v>JFD-20241126-0711</x:v>
      </x:c>
      <x:c r="B1263" s="11" t="n">
        <x:v>45622.68958333333</x:v>
      </x:c>
      <x:c r="C1263" s="13" t="n">
        <x:v>0.6895833333333333</x:v>
      </x:c>
      <x:c r="D1263" t="str">
        <x:v>Damak</x:v>
      </x:c>
      <x:c r="E1263" t="str">
        <x:v>Milan’s Bakery</x:v>
      </x:c>
      <x:c r="F1263" t="str">
        <x:v>Coca-Cola 500ml</x:v>
      </x:c>
      <x:c r="G1263" t="str">
        <x:v>Drink</x:v>
      </x:c>
      <x:c r="H1263" t="n">
        <x:v>3</x:v>
      </x:c>
      <x:c r="I1263" s="14" t="n">
        <x:v>90</x:v>
      </x:c>
      <x:c r="J1263" s="14" t="n">
        <x:v>270</x:v>
      </x:c>
      <x:c r="K1263" t="str">
        <x:v>DEMO / SIMULATED</x:v>
      </x:c>
    </x:row>
    <x:row r="1264">
      <x:c r="A1264" t="str">
        <x:v>JFD-20240823-0712</x:v>
      </x:c>
      <x:c r="B1264" s="11" t="n">
        <x:v>45527.50069444445</x:v>
      </x:c>
      <x:c r="C1264" s="13" t="n">
        <x:v>0.5006944444444444</x:v>
      </x:c>
      <x:c r="D1264" t="str">
        <x:v>Damak</x:v>
      </x:c>
      <x:c r="E1264" t="str">
        <x:v>Milan’s Bakery</x:v>
      </x:c>
      <x:c r="F1264" t="str">
        <x:v>Bottled Water 1L</x:v>
      </x:c>
      <x:c r="G1264" t="str">
        <x:v>Drink</x:v>
      </x:c>
      <x:c r="H1264" t="n">
        <x:v>2</x:v>
      </x:c>
      <x:c r="I1264" s="14" t="n">
        <x:v>35</x:v>
      </x:c>
      <x:c r="J1264" s="14" t="n">
        <x:v>70</x:v>
      </x:c>
      <x:c r="K1264" t="str">
        <x:v>DEMO / SIMULATED</x:v>
      </x:c>
    </x:row>
    <x:row r="1265">
      <x:c r="A1265" t="str">
        <x:v>JFD-20240206-0713</x:v>
      </x:c>
      <x:c r="B1265" s="11" t="n">
        <x:v>45328.893055555556</x:v>
      </x:c>
      <x:c r="C1265" s="13" t="n">
        <x:v>0.8930555555555556</x:v>
      </x:c>
      <x:c r="D1265" t="str">
        <x:v>Damak</x:v>
      </x:c>
      <x:c r="E1265" t="str">
        <x:v>Late Night Cravings</x:v>
      </x:c>
      <x:c r="F1265" t="str">
        <x:v>Bottled Water 1L</x:v>
      </x:c>
      <x:c r="G1265" t="str">
        <x:v>Drink</x:v>
      </x:c>
      <x:c r="H1265" t="n">
        <x:v>1</x:v>
      </x:c>
      <x:c r="I1265" s="14" t="n">
        <x:v>35</x:v>
      </x:c>
      <x:c r="J1265" s="14" t="n">
        <x:v>35</x:v>
      </x:c>
      <x:c r="K1265" t="str">
        <x:v>DEMO / SIMULATED</x:v>
      </x:c>
    </x:row>
    <x:row r="1266">
      <x:c r="A1266" t="str">
        <x:v>JFD-20240206-0713</x:v>
      </x:c>
      <x:c r="B1266" s="11" t="n">
        <x:v>45328.895833333336</x:v>
      </x:c>
      <x:c r="C1266" s="13" t="n">
        <x:v>0.8958333333333334</x:v>
      </x:c>
      <x:c r="D1266" t="str">
        <x:v>Damak</x:v>
      </x:c>
      <x:c r="E1266" t="str">
        <x:v>Late Night Cravings</x:v>
      </x:c>
      <x:c r="F1266" t="str">
        <x:v>Veg Fry Rice</x:v>
      </x:c>
      <x:c r="G1266" t="str">
        <x:v>Food</x:v>
      </x:c>
      <x:c r="H1266" t="n">
        <x:v>3</x:v>
      </x:c>
      <x:c r="I1266" s="14" t="n">
        <x:v>140</x:v>
      </x:c>
      <x:c r="J1266" s="14" t="n">
        <x:v>420</x:v>
      </x:c>
      <x:c r="K1266" t="str">
        <x:v>DEMO / SIMULATED</x:v>
      </x:c>
    </x:row>
    <x:row r="1267">
      <x:c r="A1267" t="str">
        <x:v>JFD-20241028-0714</x:v>
      </x:c>
      <x:c r="B1267" s="11" t="n">
        <x:v>45593.475</x:v>
      </x:c>
      <x:c r="C1267" s="13" t="n">
        <x:v>0.475</x:v>
      </x:c>
      <x:c r="D1267" t="str">
        <x:v>Birtamode</x:v>
      </x:c>
      <x:c r="E1267" t="str">
        <x:v>The Underground Cafe &amp; Restaurant</x:v>
      </x:c>
      <x:c r="F1267" t="str">
        <x:v>Coca-Cola 500ml</x:v>
      </x:c>
      <x:c r="G1267" t="str">
        <x:v>Drink</x:v>
      </x:c>
      <x:c r="H1267" t="n">
        <x:v>1</x:v>
      </x:c>
      <x:c r="I1267" s="14" t="n">
        <x:v>90</x:v>
      </x:c>
      <x:c r="J1267" s="14" t="n">
        <x:v>90</x:v>
      </x:c>
      <x:c r="K1267" t="str">
        <x:v>DEMO / SIMULATED</x:v>
      </x:c>
    </x:row>
    <x:row r="1268">
      <x:c r="A1268" t="str">
        <x:v>JFD-20241028-0714</x:v>
      </x:c>
      <x:c r="B1268" s="11" t="n">
        <x:v>45593.86736111111</x:v>
      </x:c>
      <x:c r="C1268" s="13" t="n">
        <x:v>0.8673611111111111</x:v>
      </x:c>
      <x:c r="D1268" t="str">
        <x:v>Birtamode</x:v>
      </x:c>
      <x:c r="E1268" t="str">
        <x:v>The Underground Cafe &amp; Restaurant</x:v>
      </x:c>
      <x:c r="F1268" t="str">
        <x:v>Aalu Jeera</x:v>
      </x:c>
      <x:c r="G1268" t="str">
        <x:v>Food</x:v>
      </x:c>
      <x:c r="H1268" t="n">
        <x:v>4</x:v>
      </x:c>
      <x:c r="I1268" s="14" t="n">
        <x:v>135</x:v>
      </x:c>
      <x:c r="J1268" s="14" t="n">
        <x:v>540</x:v>
      </x:c>
      <x:c r="K1268" t="str">
        <x:v>DEMO / SIMULATED</x:v>
      </x:c>
    </x:row>
    <x:row r="1269">
      <x:c r="A1269" t="str">
        <x:v>JFD-20241028-0714</x:v>
      </x:c>
      <x:c r="B1269" s="11" t="n">
        <x:v>45593.76111111111</x:v>
      </x:c>
      <x:c r="C1269" s="13" t="n">
        <x:v>0.7611111111111111</x:v>
      </x:c>
      <x:c r="D1269" t="str">
        <x:v>Birtamode</x:v>
      </x:c>
      <x:c r="E1269" t="str">
        <x:v>The Underground Cafe &amp; Restaurant</x:v>
      </x:c>
      <x:c r="F1269" t="str">
        <x:v>Bottled Water 1L</x:v>
      </x:c>
      <x:c r="G1269" t="str">
        <x:v>Drink</x:v>
      </x:c>
      <x:c r="H1269" t="n">
        <x:v>4</x:v>
      </x:c>
      <x:c r="I1269" s="14" t="n">
        <x:v>35</x:v>
      </x:c>
      <x:c r="J1269" s="14" t="n">
        <x:v>140</x:v>
      </x:c>
      <x:c r="K1269" t="str">
        <x:v>DEMO / SIMULATED</x:v>
      </x:c>
    </x:row>
    <x:row r="1270">
      <x:c r="A1270" t="str">
        <x:v>JFD-20260619-0715</x:v>
      </x:c>
      <x:c r="B1270" s="11" t="n">
        <x:v>46192.552083333336</x:v>
      </x:c>
      <x:c r="C1270" s="13" t="n">
        <x:v>0.5520833333333334</x:v>
      </x:c>
      <x:c r="D1270" t="str">
        <x:v>Damak</x:v>
      </x:c>
      <x:c r="E1270" t="str">
        <x:v>Late Night Cravings</x:v>
      </x:c>
      <x:c r="F1270" t="str">
        <x:v>Veg Fry Rice</x:v>
      </x:c>
      <x:c r="G1270" t="str">
        <x:v>Food</x:v>
      </x:c>
      <x:c r="H1270" t="n">
        <x:v>2</x:v>
      </x:c>
      <x:c r="I1270" s="14" t="n">
        <x:v>160</x:v>
      </x:c>
      <x:c r="J1270" s="14" t="n">
        <x:v>320</x:v>
      </x:c>
      <x:c r="K1270" t="str">
        <x:v>DEMO / SIMULATED</x:v>
      </x:c>
    </x:row>
    <x:row r="1271">
      <x:c r="A1271" t="str">
        <x:v>JFD-20250508-0716</x:v>
      </x:c>
      <x:c r="B1271" s="11" t="n">
        <x:v>45785.89097222222</x:v>
      </x:c>
      <x:c r="C1271" s="13" t="n">
        <x:v>0.8909722222222223</x:v>
      </x:c>
      <x:c r="D1271" t="str">
        <x:v>Birtamode</x:v>
      </x:c>
      <x:c r="E1271" t="str">
        <x:v>Pizza Ghar</x:v>
      </x:c>
      <x:c r="F1271" t="str">
        <x:v>Bottled Water 1L</x:v>
      </x:c>
      <x:c r="G1271" t="str">
        <x:v>Drink</x:v>
      </x:c>
      <x:c r="H1271" t="n">
        <x:v>1</x:v>
      </x:c>
      <x:c r="I1271" s="14" t="n">
        <x:v>40</x:v>
      </x:c>
      <x:c r="J1271" s="14" t="n">
        <x:v>40</x:v>
      </x:c>
      <x:c r="K1271" t="str">
        <x:v>DEMO / SIMULATED</x:v>
      </x:c>
    </x:row>
    <x:row r="1272">
      <x:c r="A1272" t="str">
        <x:v>JFD-20250508-0716</x:v>
      </x:c>
      <x:c r="B1272" s="11" t="n">
        <x:v>45785.53888888889</x:v>
      </x:c>
      <x:c r="C1272" s="13" t="n">
        <x:v>0.5388888888888889</x:v>
      </x:c>
      <x:c r="D1272" t="str">
        <x:v>Birtamode</x:v>
      </x:c>
      <x:c r="E1272" t="str">
        <x:v>Pizza Ghar</x:v>
      </x:c>
      <x:c r="F1272" t="str">
        <x:v>Chicken BBQ Feast Pizza</x:v>
      </x:c>
      <x:c r="G1272" t="str">
        <x:v>Food</x:v>
      </x:c>
      <x:c r="H1272" t="n">
        <x:v>1</x:v>
      </x:c>
      <x:c r="I1272" s="14" t="n">
        <x:v>545</x:v>
      </x:c>
      <x:c r="J1272" s="14" t="n">
        <x:v>545</x:v>
      </x:c>
      <x:c r="K1272" t="str">
        <x:v>DEMO / SIMULATED</x:v>
      </x:c>
    </x:row>
    <x:row r="1273">
      <x:c r="A1273" t="str">
        <x:v>JFD-20260531-0717</x:v>
      </x:c>
      <x:c r="B1273" s="11" t="n">
        <x:v>46173.604166666664</x:v>
      </x:c>
      <x:c r="C1273" s="13" t="n">
        <x:v>0.6041666666666666</x:v>
      </x:c>
      <x:c r="D1273" t="str">
        <x:v>Birtamode</x:v>
      </x:c>
      <x:c r="E1273" t="str">
        <x:v>Pizza Ghar</x:v>
      </x:c>
      <x:c r="F1273" t="str">
        <x:v>Chicken BBQ Feast Pizza</x:v>
      </x:c>
      <x:c r="G1273" t="str">
        <x:v>Food</x:v>
      </x:c>
      <x:c r="H1273" t="n">
        <x:v>4</x:v>
      </x:c>
      <x:c r="I1273" s="14" t="n">
        <x:v>580</x:v>
      </x:c>
      <x:c r="J1273" s="14" t="n">
        <x:v>2320</x:v>
      </x:c>
      <x:c r="K1273" t="str">
        <x:v>DEMO / SIMULATED</x:v>
      </x:c>
    </x:row>
    <x:row r="1274">
      <x:c r="A1274" t="str">
        <x:v>JFD-20260531-0717</x:v>
      </x:c>
      <x:c r="B1274" s="11" t="n">
        <x:v>46173.64097222222</x:v>
      </x:c>
      <x:c r="C1274" s="13" t="n">
        <x:v>0.6409722222222223</x:v>
      </x:c>
      <x:c r="D1274" t="str">
        <x:v>Birtamode</x:v>
      </x:c>
      <x:c r="E1274" t="str">
        <x:v>Pizza Ghar</x:v>
      </x:c>
      <x:c r="F1274" t="str">
        <x:v>Chicken Fried Rice</x:v>
      </x:c>
      <x:c r="G1274" t="str">
        <x:v>Food</x:v>
      </x:c>
      <x:c r="H1274" t="n">
        <x:v>4</x:v>
      </x:c>
      <x:c r="I1274" s="14" t="n">
        <x:v>300</x:v>
      </x:c>
      <x:c r="J1274" s="14" t="n">
        <x:v>1200</x:v>
      </x:c>
      <x:c r="K1274" t="str">
        <x:v>DEMO / SIMULATED</x:v>
      </x:c>
    </x:row>
    <x:row r="1275">
      <x:c r="A1275" t="str">
        <x:v>JFD-20240204-0718</x:v>
      </x:c>
      <x:c r="B1275" s="11" t="n">
        <x:v>45326.45972222222</x:v>
      </x:c>
      <x:c r="C1275" s="13" t="n">
        <x:v>0.4597222222222222</x:v>
      </x:c>
      <x:c r="D1275" t="str">
        <x:v>Birtamode</x:v>
      </x:c>
      <x:c r="E1275" t="str">
        <x:v>The Underground Cafe &amp; Restaurant</x:v>
      </x:c>
      <x:c r="F1275" t="str">
        <x:v>Veg Pakauda</x:v>
      </x:c>
      <x:c r="G1275" t="str">
        <x:v>Food</x:v>
      </x:c>
      <x:c r="H1275" t="n">
        <x:v>1</x:v>
      </x:c>
      <x:c r="I1275" s="14" t="n">
        <x:v>155</x:v>
      </x:c>
      <x:c r="J1275" s="14" t="n">
        <x:v>155</x:v>
      </x:c>
      <x:c r="K1275" t="str">
        <x:v>DEMO / SIMULATED</x:v>
      </x:c>
    </x:row>
    <x:row r="1276">
      <x:c r="A1276" t="str">
        <x:v>JFD-20260804-0719</x:v>
      </x:c>
      <x:c r="B1276" s="11" t="n">
        <x:v>46238.53472222222</x:v>
      </x:c>
      <x:c r="C1276" s="13" t="n">
        <x:v>0.5347222222222222</x:v>
      </x:c>
      <x:c r="D1276" t="str">
        <x:v>Birtamode</x:v>
      </x:c>
      <x:c r="E1276" t="str">
        <x:v>The Underground Cafe &amp; Restaurant</x:v>
      </x:c>
      <x:c r="F1276" t="str">
        <x:v>Veg Pakauda</x:v>
      </x:c>
      <x:c r="G1276" t="str">
        <x:v>Food</x:v>
      </x:c>
      <x:c r="H1276" t="n">
        <x:v>3</x:v>
      </x:c>
      <x:c r="I1276" s="14" t="n">
        <x:v>175</x:v>
      </x:c>
      <x:c r="J1276" s="14" t="n">
        <x:v>525</x:v>
      </x:c>
      <x:c r="K1276" t="str">
        <x:v>DEMO / SIMULATED</x:v>
      </x:c>
    </x:row>
    <x:row r="1277">
      <x:c r="A1277" t="str">
        <x:v>JFD-20260804-0719</x:v>
      </x:c>
      <x:c r="B1277" s="11" t="n">
        <x:v>46238.42569444444</x:v>
      </x:c>
      <x:c r="C1277" s="13" t="n">
        <x:v>0.42569444444444443</x:v>
      </x:c>
      <x:c r="D1277" t="str">
        <x:v>Birtamode</x:v>
      </x:c>
      <x:c r="E1277" t="str">
        <x:v>The Underground Cafe &amp; Restaurant</x:v>
      </x:c>
      <x:c r="F1277" t="str">
        <x:v>Coca-Cola 500ml</x:v>
      </x:c>
      <x:c r="G1277" t="str">
        <x:v>Drink</x:v>
      </x:c>
      <x:c r="H1277" t="n">
        <x:v>3</x:v>
      </x:c>
      <x:c r="I1277" s="14" t="n">
        <x:v>100</x:v>
      </x:c>
      <x:c r="J1277" s="14" t="n">
        <x:v>300</x:v>
      </x:c>
      <x:c r="K1277" t="str">
        <x:v>DEMO / SIMULATED</x:v>
      </x:c>
    </x:row>
    <x:row r="1278">
      <x:c r="A1278" t="str">
        <x:v>JFD-20260804-0719</x:v>
      </x:c>
      <x:c r="B1278" s="11" t="n">
        <x:v>46238.51527777778</x:v>
      </x:c>
      <x:c r="C1278" s="13" t="n">
        <x:v>0.5152777777777777</x:v>
      </x:c>
      <x:c r="D1278" t="str">
        <x:v>Birtamode</x:v>
      </x:c>
      <x:c r="E1278" t="str">
        <x:v>The Underground Cafe &amp; Restaurant</x:v>
      </x:c>
      <x:c r="F1278" t="str">
        <x:v>Aalu Jeera</x:v>
      </x:c>
      <x:c r="G1278" t="str">
        <x:v>Food</x:v>
      </x:c>
      <x:c r="H1278" t="n">
        <x:v>4</x:v>
      </x:c>
      <x:c r="I1278" s="14" t="n">
        <x:v>155</x:v>
      </x:c>
      <x:c r="J1278" s="14" t="n">
        <x:v>620</x:v>
      </x:c>
      <x:c r="K1278" t="str">
        <x:v>DEMO / SIMULATED</x:v>
      </x:c>
    </x:row>
    <x:row r="1279">
      <x:c r="A1279" t="str">
        <x:v>JFD-20241218-0720</x:v>
      </x:c>
      <x:c r="B1279" s="11" t="n">
        <x:v>45644.75069444445</x:v>
      </x:c>
      <x:c r="C1279" s="13" t="n">
        <x:v>0.7506944444444444</x:v>
      </x:c>
      <x:c r="D1279" t="str">
        <x:v>Damak</x:v>
      </x:c>
      <x:c r="E1279" t="str">
        <x:v>Late Night Cravings</x:v>
      </x:c>
      <x:c r="F1279" t="str">
        <x:v>Mix Fry Rice</x:v>
      </x:c>
      <x:c r="G1279" t="str">
        <x:v>Food</x:v>
      </x:c>
      <x:c r="H1279" t="n">
        <x:v>3</x:v>
      </x:c>
      <x:c r="I1279" s="14" t="n">
        <x:v>245</x:v>
      </x:c>
      <x:c r="J1279" s="14" t="n">
        <x:v>735</x:v>
      </x:c>
      <x:c r="K1279" t="str">
        <x:v>DEMO / SIMULATED</x:v>
      </x:c>
    </x:row>
    <x:row r="1280">
      <x:c r="A1280" t="str">
        <x:v>JFD-20241218-0720</x:v>
      </x:c>
      <x:c r="B1280" s="11" t="n">
        <x:v>45644.67083333333</x:v>
      </x:c>
      <x:c r="C1280" s="13" t="n">
        <x:v>0.6708333333333333</x:v>
      </x:c>
      <x:c r="D1280" t="str">
        <x:v>Damak</x:v>
      </x:c>
      <x:c r="E1280" t="str">
        <x:v>Late Night Cravings</x:v>
      </x:c>
      <x:c r="F1280" t="str">
        <x:v>Coca-Cola 500ml</x:v>
      </x:c>
      <x:c r="G1280" t="str">
        <x:v>Drink</x:v>
      </x:c>
      <x:c r="H1280" t="n">
        <x:v>4</x:v>
      </x:c>
      <x:c r="I1280" s="14" t="n">
        <x:v>90</x:v>
      </x:c>
      <x:c r="J1280" s="14" t="n">
        <x:v>360</x:v>
      </x:c>
      <x:c r="K1280" t="str">
        <x:v>DEMO / SIMULATED</x:v>
      </x:c>
    </x:row>
    <x:row r="1281">
      <x:c r="A1281" t="str">
        <x:v>JFD-20241218-0720</x:v>
      </x:c>
      <x:c r="B1281" s="11" t="n">
        <x:v>45644.55486111111</x:v>
      </x:c>
      <x:c r="C1281" s="13" t="n">
        <x:v>0.5548611111111111</x:v>
      </x:c>
      <x:c r="D1281" t="str">
        <x:v>Damak</x:v>
      </x:c>
      <x:c r="E1281" t="str">
        <x:v>Late Night Cravings</x:v>
      </x:c>
      <x:c r="F1281" t="str">
        <x:v>Egg Fry Rice</x:v>
      </x:c>
      <x:c r="G1281" t="str">
        <x:v>Food</x:v>
      </x:c>
      <x:c r="H1281" t="n">
        <x:v>1</x:v>
      </x:c>
      <x:c r="I1281" s="14" t="n">
        <x:v>175</x:v>
      </x:c>
      <x:c r="J1281" s="14" t="n">
        <x:v>175</x:v>
      </x:c>
      <x:c r="K1281" t="str">
        <x:v>DEMO / SIMULATED</x:v>
      </x:c>
    </x:row>
    <x:row r="1282">
      <x:c r="A1282" t="str">
        <x:v>JFD-20260417-0721</x:v>
      </x:c>
      <x:c r="B1282" s="11" t="n">
        <x:v>46129.58888888889</x:v>
      </x:c>
      <x:c r="C1282" s="13" t="n">
        <x:v>0.5888888888888889</x:v>
      </x:c>
      <x:c r="D1282" t="str">
        <x:v>Birtamode</x:v>
      </x:c>
      <x:c r="E1282" t="str">
        <x:v>Pizza Ghar</x:v>
      </x:c>
      <x:c r="F1282" t="str">
        <x:v>Coca-Cola 500ml</x:v>
      </x:c>
      <x:c r="G1282" t="str">
        <x:v>Drink</x:v>
      </x:c>
      <x:c r="H1282" t="n">
        <x:v>1</x:v>
      </x:c>
      <x:c r="I1282" s="14" t="n">
        <x:v>100</x:v>
      </x:c>
      <x:c r="J1282" s="14" t="n">
        <x:v>100</x:v>
      </x:c>
      <x:c r="K1282" t="str">
        <x:v>DEMO / SIMULATED</x:v>
      </x:c>
    </x:row>
    <x:row r="1283">
      <x:c r="A1283" t="str">
        <x:v>JFD-20260417-0721</x:v>
      </x:c>
      <x:c r="B1283" s="11" t="n">
        <x:v>46129.709027777775</x:v>
      </x:c>
      <x:c r="C1283" s="13" t="n">
        <x:v>0.7090277777777778</x:v>
      </x:c>
      <x:c r="D1283" t="str">
        <x:v>Birtamode</x:v>
      </x:c>
      <x:c r="E1283" t="str">
        <x:v>Pizza Ghar</x:v>
      </x:c>
      <x:c r="F1283" t="str">
        <x:v>Veg Fried Rice</x:v>
      </x:c>
      <x:c r="G1283" t="str">
        <x:v>Food</x:v>
      </x:c>
      <x:c r="H1283" t="n">
        <x:v>4</x:v>
      </x:c>
      <x:c r="I1283" s="14" t="n">
        <x:v>220</x:v>
      </x:c>
      <x:c r="J1283" s="14" t="n">
        <x:v>880</x:v>
      </x:c>
      <x:c r="K1283" t="str">
        <x:v>DEMO / SIMULATED</x:v>
      </x:c>
    </x:row>
    <x:row r="1284">
      <x:c r="A1284" t="str">
        <x:v>JFD-20260417-0721</x:v>
      </x:c>
      <x:c r="B1284" s="11" t="n">
        <x:v>46129.48125</x:v>
      </x:c>
      <x:c r="C1284" s="13" t="n">
        <x:v>0.48125</x:v>
      </x:c>
      <x:c r="D1284" t="str">
        <x:v>Birtamode</x:v>
      </x:c>
      <x:c r="E1284" t="str">
        <x:v>Pizza Ghar</x:v>
      </x:c>
      <x:c r="F1284" t="str">
        <x:v>Chicken BBQ Feast Pizza</x:v>
      </x:c>
      <x:c r="G1284" t="str">
        <x:v>Food</x:v>
      </x:c>
      <x:c r="H1284" t="n">
        <x:v>3</x:v>
      </x:c>
      <x:c r="I1284" s="14" t="n">
        <x:v>580</x:v>
      </x:c>
      <x:c r="J1284" s="14" t="n">
        <x:v>1740</x:v>
      </x:c>
      <x:c r="K1284" t="str">
        <x:v>DEMO / SIMULATED</x:v>
      </x:c>
    </x:row>
    <x:row r="1285">
      <x:c r="A1285" t="str">
        <x:v>JFD-20260508-0722</x:v>
      </x:c>
      <x:c r="B1285" s="11" t="n">
        <x:v>46150.42013888889</x:v>
      </x:c>
      <x:c r="C1285" s="13" t="n">
        <x:v>0.4201388888888889</x:v>
      </x:c>
      <x:c r="D1285" t="str">
        <x:v>Birtamode</x:v>
      </x:c>
      <x:c r="E1285" t="str">
        <x:v>The Underground Cafe &amp; Restaurant</x:v>
      </x:c>
      <x:c r="F1285" t="str">
        <x:v>Bottled Water 1L</x:v>
      </x:c>
      <x:c r="G1285" t="str">
        <x:v>Drink</x:v>
      </x:c>
      <x:c r="H1285" t="n">
        <x:v>2</x:v>
      </x:c>
      <x:c r="I1285" s="14" t="n">
        <x:v>40</x:v>
      </x:c>
      <x:c r="J1285" s="14" t="n">
        <x:v>80</x:v>
      </x:c>
      <x:c r="K1285" t="str">
        <x:v>DEMO / SIMULATED</x:v>
      </x:c>
    </x:row>
    <x:row r="1286">
      <x:c r="A1286" t="str">
        <x:v>JFD-20230725-0723</x:v>
      </x:c>
      <x:c r="B1286" s="11" t="n">
        <x:v>45132.67152777778</x:v>
      </x:c>
      <x:c r="C1286" s="13" t="n">
        <x:v>0.6715277777777777</x:v>
      </x:c>
      <x:c r="D1286" t="str">
        <x:v>Birtamode</x:v>
      </x:c>
      <x:c r="E1286" t="str">
        <x:v>Pizza Ghar</x:v>
      </x:c>
      <x:c r="F1286" t="str">
        <x:v>Veg Fried Rice</x:v>
      </x:c>
      <x:c r="G1286" t="str">
        <x:v>Food</x:v>
      </x:c>
      <x:c r="H1286" t="n">
        <x:v>3</x:v>
      </x:c>
      <x:c r="I1286" s="14" t="n">
        <x:v>180</x:v>
      </x:c>
      <x:c r="J1286" s="14" t="n">
        <x:v>540</x:v>
      </x:c>
      <x:c r="K1286" t="str">
        <x:v>DEMO / SIMULATED</x:v>
      </x:c>
    </x:row>
    <x:row r="1287">
      <x:c r="A1287" t="str">
        <x:v>JFD-20230725-0723</x:v>
      </x:c>
      <x:c r="B1287" s="11" t="n">
        <x:v>45132.47152777778</x:v>
      </x:c>
      <x:c r="C1287" s="13" t="n">
        <x:v>0.47152777777777777</x:v>
      </x:c>
      <x:c r="D1287" t="str">
        <x:v>Birtamode</x:v>
      </x:c>
      <x:c r="E1287" t="str">
        <x:v>Pizza Ghar</x:v>
      </x:c>
      <x:c r="F1287" t="str">
        <x:v>Bottled Water 1L</x:v>
      </x:c>
      <x:c r="G1287" t="str">
        <x:v>Drink</x:v>
      </x:c>
      <x:c r="H1287" t="n">
        <x:v>3</x:v>
      </x:c>
      <x:c r="I1287" s="14" t="n">
        <x:v>35</x:v>
      </x:c>
      <x:c r="J1287" s="14" t="n">
        <x:v>105</x:v>
      </x:c>
      <x:c r="K1287" t="str">
        <x:v>DEMO / SIMULATED</x:v>
      </x:c>
    </x:row>
    <x:row r="1288">
      <x:c r="A1288" t="str">
        <x:v>JFD-20251222-0724</x:v>
      </x:c>
      <x:c r="B1288" s="11" t="n">
        <x:v>46013.538194444445</x:v>
      </x:c>
      <x:c r="C1288" s="13" t="n">
        <x:v>0.5381944444444444</x:v>
      </x:c>
      <x:c r="D1288" t="str">
        <x:v>Damak</x:v>
      </x:c>
      <x:c r="E1288" t="str">
        <x:v>Milan’s Bakery</x:v>
      </x:c>
      <x:c r="F1288" t="str">
        <x:v>Bottled Water 1L</x:v>
      </x:c>
      <x:c r="G1288" t="str">
        <x:v>Drink</x:v>
      </x:c>
      <x:c r="H1288" t="n">
        <x:v>4</x:v>
      </x:c>
      <x:c r="I1288" s="14" t="n">
        <x:v>40</x:v>
      </x:c>
      <x:c r="J1288" s="14" t="n">
        <x:v>160</x:v>
      </x:c>
      <x:c r="K1288" t="str">
        <x:v>DEMO / SIMULATED</x:v>
      </x:c>
    </x:row>
    <x:row r="1289">
      <x:c r="A1289" t="str">
        <x:v>JFD-20251222-0724</x:v>
      </x:c>
      <x:c r="B1289" s="11" t="n">
        <x:v>46013.583333333336</x:v>
      </x:c>
      <x:c r="C1289" s="13" t="n">
        <x:v>0.5833333333333334</x:v>
      </x:c>
      <x:c r="D1289" t="str">
        <x:v>Damak</x:v>
      </x:c>
      <x:c r="E1289" t="str">
        <x:v>Milan’s Bakery</x:v>
      </x:c>
      <x:c r="F1289" t="str">
        <x:v>Black Forest Cake</x:v>
      </x:c>
      <x:c r="G1289" t="str">
        <x:v>Food</x:v>
      </x:c>
      <x:c r="H1289" t="n">
        <x:v>1</x:v>
      </x:c>
      <x:c r="I1289" s="14" t="n">
        <x:v>280</x:v>
      </x:c>
      <x:c r="J1289" s="14" t="n">
        <x:v>280</x:v>
      </x:c>
      <x:c r="K1289" t="str">
        <x:v>DEMO / SIMULATED</x:v>
      </x:c>
    </x:row>
    <x:row r="1290">
      <x:c r="A1290" t="str">
        <x:v>JFD-20260220-0725</x:v>
      </x:c>
      <x:c r="B1290" s="11" t="n">
        <x:v>46073.86319444444</x:v>
      </x:c>
      <x:c r="C1290" s="13" t="n">
        <x:v>0.8631944444444445</x:v>
      </x:c>
      <x:c r="D1290" t="str">
        <x:v>Damak</x:v>
      </x:c>
      <x:c r="E1290" t="str">
        <x:v>Milan’s Bakery</x:v>
      </x:c>
      <x:c r="F1290" t="str">
        <x:v>Red Velvet Cake</x:v>
      </x:c>
      <x:c r="G1290" t="str">
        <x:v>Food</x:v>
      </x:c>
      <x:c r="H1290" t="n">
        <x:v>2</x:v>
      </x:c>
      <x:c r="I1290" s="14" t="n">
        <x:v>900</x:v>
      </x:c>
      <x:c r="J1290" s="14" t="n">
        <x:v>1800</x:v>
      </x:c>
      <x:c r="K1290" t="str">
        <x:v>DEMO / SIMULATED</x:v>
      </x:c>
    </x:row>
    <x:row r="1291">
      <x:c r="A1291" t="str">
        <x:v>JFD-20240109-0726</x:v>
      </x:c>
      <x:c r="B1291" s="11" t="n">
        <x:v>45300.85833333333</x:v>
      </x:c>
      <x:c r="C1291" s="13" t="n">
        <x:v>0.8583333333333333</x:v>
      </x:c>
      <x:c r="D1291" t="str">
        <x:v>Damak</x:v>
      </x:c>
      <x:c r="E1291" t="str">
        <x:v>Late Night Cravings</x:v>
      </x:c>
      <x:c r="F1291" t="str">
        <x:v>Mix Fry Rice</x:v>
      </x:c>
      <x:c r="G1291" t="str">
        <x:v>Food</x:v>
      </x:c>
      <x:c r="H1291" t="n">
        <x:v>3</x:v>
      </x:c>
      <x:c r="I1291" s="14" t="n">
        <x:v>245</x:v>
      </x:c>
      <x:c r="J1291" s="14" t="n">
        <x:v>735</x:v>
      </x:c>
      <x:c r="K1291" t="str">
        <x:v>DEMO / SIMULATED</x:v>
      </x:c>
    </x:row>
    <x:row r="1292">
      <x:c r="A1292" t="str">
        <x:v>JFD-20260417-0727</x:v>
      </x:c>
      <x:c r="B1292" s="11" t="n">
        <x:v>46129.76527777778</x:v>
      </x:c>
      <x:c r="C1292" s="13" t="n">
        <x:v>0.7652777777777777</x:v>
      </x:c>
      <x:c r="D1292" t="str">
        <x:v>Damak</x:v>
      </x:c>
      <x:c r="E1292" t="str">
        <x:v>Milan’s Bakery</x:v>
      </x:c>
      <x:c r="F1292" t="str">
        <x:v>Black Forest Cake</x:v>
      </x:c>
      <x:c r="G1292" t="str">
        <x:v>Food</x:v>
      </x:c>
      <x:c r="H1292" t="n">
        <x:v>4</x:v>
      </x:c>
      <x:c r="I1292" s="14" t="n">
        <x:v>300</x:v>
      </x:c>
      <x:c r="J1292" s="14" t="n">
        <x:v>1200</x:v>
      </x:c>
      <x:c r="K1292" t="str">
        <x:v>DEMO / SIMULATED</x:v>
      </x:c>
    </x:row>
    <x:row r="1293">
      <x:c r="A1293" t="str">
        <x:v>JFD-20251014-0728</x:v>
      </x:c>
      <x:c r="B1293" s="11" t="n">
        <x:v>45944.643055555556</x:v>
      </x:c>
      <x:c r="C1293" s="13" t="n">
        <x:v>0.6430555555555556</x:v>
      </x:c>
      <x:c r="D1293" t="str">
        <x:v>Damak</x:v>
      </x:c>
      <x:c r="E1293" t="str">
        <x:v>Milan’s Bakery</x:v>
      </x:c>
      <x:c r="F1293" t="str">
        <x:v>Red Velvet Cake</x:v>
      </x:c>
      <x:c r="G1293" t="str">
        <x:v>Food</x:v>
      </x:c>
      <x:c r="H1293" t="n">
        <x:v>2</x:v>
      </x:c>
      <x:c r="I1293" s="14" t="n">
        <x:v>845</x:v>
      </x:c>
      <x:c r="J1293" s="14" t="n">
        <x:v>1690</x:v>
      </x:c>
      <x:c r="K1293" t="str">
        <x:v>DEMO / SIMULATED</x:v>
      </x:c>
    </x:row>
    <x:row r="1294">
      <x:c r="A1294" t="str">
        <x:v>JFD-20251014-0728</x:v>
      </x:c>
      <x:c r="B1294" s="11" t="n">
        <x:v>45944.55625</x:v>
      </x:c>
      <x:c r="C1294" s="13" t="n">
        <x:v>0.55625</x:v>
      </x:c>
      <x:c r="D1294" t="str">
        <x:v>Damak</x:v>
      </x:c>
      <x:c r="E1294" t="str">
        <x:v>Milan’s Bakery</x:v>
      </x:c>
      <x:c r="F1294" t="str">
        <x:v>Coca-Cola 500ml</x:v>
      </x:c>
      <x:c r="G1294" t="str">
        <x:v>Drink</x:v>
      </x:c>
      <x:c r="H1294" t="n">
        <x:v>4</x:v>
      </x:c>
      <x:c r="I1294" s="14" t="n">
        <x:v>95</x:v>
      </x:c>
      <x:c r="J1294" s="14" t="n">
        <x:v>380</x:v>
      </x:c>
      <x:c r="K1294" t="str">
        <x:v>DEMO / SIMULATED</x:v>
      </x:c>
    </x:row>
    <x:row r="1295">
      <x:c r="A1295" t="str">
        <x:v>JFD-20250519-0729</x:v>
      </x:c>
      <x:c r="B1295" s="11" t="n">
        <x:v>45796.82152777778</x:v>
      </x:c>
      <x:c r="C1295" s="13" t="n">
        <x:v>0.8215277777777777</x:v>
      </x:c>
      <x:c r="D1295" t="str">
        <x:v>Birtamode</x:v>
      </x:c>
      <x:c r="E1295" t="str">
        <x:v>The Underground Cafe &amp; Restaurant</x:v>
      </x:c>
      <x:c r="F1295" t="str">
        <x:v>Paneer Pakauda</x:v>
      </x:c>
      <x:c r="G1295" t="str">
        <x:v>Food</x:v>
      </x:c>
      <x:c r="H1295" t="n">
        <x:v>2</x:v>
      </x:c>
      <x:c r="I1295" s="14" t="n">
        <x:v>210</x:v>
      </x:c>
      <x:c r="J1295" s="14" t="n">
        <x:v>420</x:v>
      </x:c>
      <x:c r="K1295" t="str">
        <x:v>DEMO / SIMULATED</x:v>
      </x:c>
    </x:row>
    <x:row r="1296">
      <x:c r="A1296" t="str">
        <x:v>JFD-20230226-0730</x:v>
      </x:c>
      <x:c r="B1296" s="11" t="n">
        <x:v>44983.81041666667</x:v>
      </x:c>
      <x:c r="C1296" s="13" t="n">
        <x:v>0.8104166666666667</x:v>
      </x:c>
      <x:c r="D1296" t="str">
        <x:v>Damak</x:v>
      </x:c>
      <x:c r="E1296" t="str">
        <x:v>Late Night Cravings</x:v>
      </x:c>
      <x:c r="F1296" t="str">
        <x:v>Coca-Cola 500ml</x:v>
      </x:c>
      <x:c r="G1296" t="str">
        <x:v>Drink</x:v>
      </x:c>
      <x:c r="H1296" t="n">
        <x:v>3</x:v>
      </x:c>
      <x:c r="I1296" s="14" t="n">
        <x:v>80</x:v>
      </x:c>
      <x:c r="J1296" s="14" t="n">
        <x:v>240</x:v>
      </x:c>
      <x:c r="K1296" t="str">
        <x:v>DEMO / SIMULATED</x:v>
      </x:c>
    </x:row>
    <x:row r="1297">
      <x:c r="A1297" t="str">
        <x:v>JFD-20230226-0730</x:v>
      </x:c>
      <x:c r="B1297" s="11" t="n">
        <x:v>44983.53055555555</x:v>
      </x:c>
      <x:c r="C1297" s="13" t="n">
        <x:v>0.5305555555555556</x:v>
      </x:c>
      <x:c r="D1297" t="str">
        <x:v>Damak</x:v>
      </x:c>
      <x:c r="E1297" t="str">
        <x:v>Late Night Cravings</x:v>
      </x:c>
      <x:c r="F1297" t="str">
        <x:v>Veg Fry Rice</x:v>
      </x:c>
      <x:c r="G1297" t="str">
        <x:v>Food</x:v>
      </x:c>
      <x:c r="H1297" t="n">
        <x:v>2</x:v>
      </x:c>
      <x:c r="I1297" s="14" t="n">
        <x:v>130</x:v>
      </x:c>
      <x:c r="J1297" s="14" t="n">
        <x:v>260</x:v>
      </x:c>
      <x:c r="K1297" t="str">
        <x:v>DEMO / SIMULATED</x:v>
      </x:c>
    </x:row>
    <x:row r="1298">
      <x:c r="A1298" t="str">
        <x:v>JFD-20250731-0731</x:v>
      </x:c>
      <x:c r="B1298" s="11" t="n">
        <x:v>45869.60138888889</x:v>
      </x:c>
      <x:c r="C1298" s="13" t="n">
        <x:v>0.6013888888888889</x:v>
      </x:c>
      <x:c r="D1298" t="str">
        <x:v>Damak</x:v>
      </x:c>
      <x:c r="E1298" t="str">
        <x:v>Late Night Cravings</x:v>
      </x:c>
      <x:c r="F1298" t="str">
        <x:v>Veg Fry Rice</x:v>
      </x:c>
      <x:c r="G1298" t="str">
        <x:v>Food</x:v>
      </x:c>
      <x:c r="H1298" t="n">
        <x:v>1</x:v>
      </x:c>
      <x:c r="I1298" s="14" t="n">
        <x:v>150</x:v>
      </x:c>
      <x:c r="J1298" s="14" t="n">
        <x:v>150</x:v>
      </x:c>
      <x:c r="K1298" t="str">
        <x:v>DEMO / SIMULATED</x:v>
      </x:c>
    </x:row>
    <x:row r="1299">
      <x:c r="A1299" t="str">
        <x:v>JFD-20240211-0732</x:v>
      </x:c>
      <x:c r="B1299" s="11" t="n">
        <x:v>45333.53125</x:v>
      </x:c>
      <x:c r="C1299" s="13" t="n">
        <x:v>0.53125</x:v>
      </x:c>
      <x:c r="D1299" t="str">
        <x:v>Damak</x:v>
      </x:c>
      <x:c r="E1299" t="str">
        <x:v>Milan’s Bakery</x:v>
      </x:c>
      <x:c r="F1299" t="str">
        <x:v>Black Forest Cake</x:v>
      </x:c>
      <x:c r="G1299" t="str">
        <x:v>Food</x:v>
      </x:c>
      <x:c r="H1299" t="n">
        <x:v>3</x:v>
      </x:c>
      <x:c r="I1299" s="14" t="n">
        <x:v>265</x:v>
      </x:c>
      <x:c r="J1299" s="14" t="n">
        <x:v>795</x:v>
      </x:c>
      <x:c r="K1299" t="str">
        <x:v>DEMO / SIMULATED</x:v>
      </x:c>
    </x:row>
    <x:row r="1300">
      <x:c r="A1300" t="str">
        <x:v>JFD-20240211-0732</x:v>
      </x:c>
      <x:c r="B1300" s="11" t="n">
        <x:v>45333.47083333333</x:v>
      </x:c>
      <x:c r="C1300" s="13" t="n">
        <x:v>0.4708333333333333</x:v>
      </x:c>
      <x:c r="D1300" t="str">
        <x:v>Damak</x:v>
      </x:c>
      <x:c r="E1300" t="str">
        <x:v>Milan’s Bakery</x:v>
      </x:c>
      <x:c r="F1300" t="str">
        <x:v>Coca-Cola 500ml</x:v>
      </x:c>
      <x:c r="G1300" t="str">
        <x:v>Drink</x:v>
      </x:c>
      <x:c r="H1300" t="n">
        <x:v>3</x:v>
      </x:c>
      <x:c r="I1300" s="14" t="n">
        <x:v>90</x:v>
      </x:c>
      <x:c r="J1300" s="14" t="n">
        <x:v>270</x:v>
      </x:c>
      <x:c r="K1300" t="str">
        <x:v>DEMO / SIMULATED</x:v>
      </x:c>
    </x:row>
    <x:row r="1301">
      <x:c r="A1301" t="str">
        <x:v>JFD-20240211-0732</x:v>
      </x:c>
      <x:c r="B1301" s="11" t="n">
        <x:v>45333.46319444444</x:v>
      </x:c>
      <x:c r="C1301" s="13" t="n">
        <x:v>0.46319444444444446</x:v>
      </x:c>
      <x:c r="D1301" t="str">
        <x:v>Damak</x:v>
      </x:c>
      <x:c r="E1301" t="str">
        <x:v>Milan’s Bakery</x:v>
      </x:c>
      <x:c r="F1301" t="str">
        <x:v>Red Velvet Cake</x:v>
      </x:c>
      <x:c r="G1301" t="str">
        <x:v>Food</x:v>
      </x:c>
      <x:c r="H1301" t="n">
        <x:v>4</x:v>
      </x:c>
      <x:c r="I1301" s="14" t="n">
        <x:v>790</x:v>
      </x:c>
      <x:c r="J1301" s="14" t="n">
        <x:v>3160</x:v>
      </x:c>
      <x:c r="K1301" t="str">
        <x:v>DEMO / SIMULATED</x:v>
      </x:c>
    </x:row>
    <x:row r="1302">
      <x:c r="A1302" t="str">
        <x:v>JFD-20240209-0733</x:v>
      </x:c>
      <x:c r="B1302" s="11" t="n">
        <x:v>45331.59305555555</x:v>
      </x:c>
      <x:c r="C1302" s="13" t="n">
        <x:v>0.5930555555555556</x:v>
      </x:c>
      <x:c r="D1302" t="str">
        <x:v>Damak</x:v>
      </x:c>
      <x:c r="E1302" t="str">
        <x:v>Milan’s Bakery</x:v>
      </x:c>
      <x:c r="F1302" t="str">
        <x:v>Black Forest Cake</x:v>
      </x:c>
      <x:c r="G1302" t="str">
        <x:v>Food</x:v>
      </x:c>
      <x:c r="H1302" t="n">
        <x:v>2</x:v>
      </x:c>
      <x:c r="I1302" s="14" t="n">
        <x:v>265</x:v>
      </x:c>
      <x:c r="J1302" s="14" t="n">
        <x:v>530</x:v>
      </x:c>
      <x:c r="K1302" t="str">
        <x:v>DEMO / SIMULATED</x:v>
      </x:c>
    </x:row>
    <x:row r="1303">
      <x:c r="A1303" t="str">
        <x:v>JFD-20240209-0733</x:v>
      </x:c>
      <x:c r="B1303" s="11" t="n">
        <x:v>45331.86041666667</x:v>
      </x:c>
      <x:c r="C1303" s="13" t="n">
        <x:v>0.8604166666666667</x:v>
      </x:c>
      <x:c r="D1303" t="str">
        <x:v>Damak</x:v>
      </x:c>
      <x:c r="E1303" t="str">
        <x:v>Milan’s Bakery</x:v>
      </x:c>
      <x:c r="F1303" t="str">
        <x:v>Coca-Cola 500ml</x:v>
      </x:c>
      <x:c r="G1303" t="str">
        <x:v>Drink</x:v>
      </x:c>
      <x:c r="H1303" t="n">
        <x:v>2</x:v>
      </x:c>
      <x:c r="I1303" s="14" t="n">
        <x:v>90</x:v>
      </x:c>
      <x:c r="J1303" s="14" t="n">
        <x:v>180</x:v>
      </x:c>
      <x:c r="K1303" t="str">
        <x:v>DEMO / SIMULATED</x:v>
      </x:c>
    </x:row>
    <x:row r="1304">
      <x:c r="A1304" t="str">
        <x:v>JFD-20240606-0734</x:v>
      </x:c>
      <x:c r="B1304" s="11" t="n">
        <x:v>45449.41805555556</x:v>
      </x:c>
      <x:c r="C1304" s="13" t="n">
        <x:v>0.41805555555555557</x:v>
      </x:c>
      <x:c r="D1304" t="str">
        <x:v>Birtamode</x:v>
      </x:c>
      <x:c r="E1304" t="str">
        <x:v>The Underground Cafe &amp; Restaurant</x:v>
      </x:c>
      <x:c r="F1304" t="str">
        <x:v>Coca-Cola 500ml</x:v>
      </x:c>
      <x:c r="G1304" t="str">
        <x:v>Drink</x:v>
      </x:c>
      <x:c r="H1304" t="n">
        <x:v>2</x:v>
      </x:c>
      <x:c r="I1304" s="14" t="n">
        <x:v>90</x:v>
      </x:c>
      <x:c r="J1304" s="14" t="n">
        <x:v>180</x:v>
      </x:c>
      <x:c r="K1304" t="str">
        <x:v>DEMO / SIMULATED</x:v>
      </x:c>
    </x:row>
    <x:row r="1305">
      <x:c r="A1305" t="str">
        <x:v>JFD-20240606-0734</x:v>
      </x:c>
      <x:c r="B1305" s="11" t="n">
        <x:v>45449.83888888889</x:v>
      </x:c>
      <x:c r="C1305" s="13" t="n">
        <x:v>0.8388888888888889</x:v>
      </x:c>
      <x:c r="D1305" t="str">
        <x:v>Birtamode</x:v>
      </x:c>
      <x:c r="E1305" t="str">
        <x:v>The Underground Cafe &amp; Restaurant</x:v>
      </x:c>
      <x:c r="F1305" t="str">
        <x:v>Aalu Jeera</x:v>
      </x:c>
      <x:c r="G1305" t="str">
        <x:v>Food</x:v>
      </x:c>
      <x:c r="H1305" t="n">
        <x:v>3</x:v>
      </x:c>
      <x:c r="I1305" s="14" t="n">
        <x:v>135</x:v>
      </x:c>
      <x:c r="J1305" s="14" t="n">
        <x:v>405</x:v>
      </x:c>
      <x:c r="K1305" t="str">
        <x:v>DEMO / SIMULATED</x:v>
      </x:c>
    </x:row>
    <x:row r="1306">
      <x:c r="A1306" t="str">
        <x:v>JFD-20240606-0734</x:v>
      </x:c>
      <x:c r="B1306" s="11" t="n">
        <x:v>45449.802777777775</x:v>
      </x:c>
      <x:c r="C1306" s="13" t="n">
        <x:v>0.8027777777777778</x:v>
      </x:c>
      <x:c r="D1306" t="str">
        <x:v>Birtamode</x:v>
      </x:c>
      <x:c r="E1306" t="str">
        <x:v>The Underground Cafe &amp; Restaurant</x:v>
      </x:c>
      <x:c r="F1306" t="str">
        <x:v>Veg Pakauda</x:v>
      </x:c>
      <x:c r="G1306" t="str">
        <x:v>Food</x:v>
      </x:c>
      <x:c r="H1306" t="n">
        <x:v>2</x:v>
      </x:c>
      <x:c r="I1306" s="14" t="n">
        <x:v>155</x:v>
      </x:c>
      <x:c r="J1306" s="14" t="n">
        <x:v>310</x:v>
      </x:c>
      <x:c r="K1306" t="str">
        <x:v>DEMO / SIMULATED</x:v>
      </x:c>
    </x:row>
    <x:row r="1307">
      <x:c r="A1307" t="str">
        <x:v>JFD-20241201-0735</x:v>
      </x:c>
      <x:c r="B1307" s="11" t="n">
        <x:v>45627.59861111111</x:v>
      </x:c>
      <x:c r="C1307" s="13" t="n">
        <x:v>0.5986111111111111</x:v>
      </x:c>
      <x:c r="D1307" t="str">
        <x:v>Birtamode</x:v>
      </x:c>
      <x:c r="E1307" t="str">
        <x:v>Pizza Ghar</x:v>
      </x:c>
      <x:c r="F1307" t="str">
        <x:v>Chicken BBQ Feast Pizza</x:v>
      </x:c>
      <x:c r="G1307" t="str">
        <x:v>Food</x:v>
      </x:c>
      <x:c r="H1307" t="n">
        <x:v>4</x:v>
      </x:c>
      <x:c r="I1307" s="14" t="n">
        <x:v>510</x:v>
      </x:c>
      <x:c r="J1307" s="14" t="n">
        <x:v>2040</x:v>
      </x:c>
      <x:c r="K1307" t="str">
        <x:v>DEMO / SIMULATED</x:v>
      </x:c>
    </x:row>
    <x:row r="1308">
      <x:c r="A1308" t="str">
        <x:v>JFD-20250415-0736</x:v>
      </x:c>
      <x:c r="B1308" s="11" t="n">
        <x:v>45762.69097222222</x:v>
      </x:c>
      <x:c r="C1308" s="13" t="n">
        <x:v>0.6909722222222222</x:v>
      </x:c>
      <x:c r="D1308" t="str">
        <x:v>Damak</x:v>
      </x:c>
      <x:c r="E1308" t="str">
        <x:v>Milan’s Bakery</x:v>
      </x:c>
      <x:c r="F1308" t="str">
        <x:v>Red Velvet Cake</x:v>
      </x:c>
      <x:c r="G1308" t="str">
        <x:v>Food</x:v>
      </x:c>
      <x:c r="H1308" t="n">
        <x:v>4</x:v>
      </x:c>
      <x:c r="I1308" s="14" t="n">
        <x:v>845</x:v>
      </x:c>
      <x:c r="J1308" s="14" t="n">
        <x:v>3380</x:v>
      </x:c>
      <x:c r="K1308" t="str">
        <x:v>DEMO / SIMULATED</x:v>
      </x:c>
    </x:row>
    <x:row r="1309">
      <x:c r="A1309" t="str">
        <x:v>JFD-20240323-0737</x:v>
      </x:c>
      <x:c r="B1309" s="11" t="n">
        <x:v>45374.6375</x:v>
      </x:c>
      <x:c r="C1309" s="13" t="n">
        <x:v>0.6375</x:v>
      </x:c>
      <x:c r="D1309" t="str">
        <x:v>Birtamode</x:v>
      </x:c>
      <x:c r="E1309" t="str">
        <x:v>The Underground Cafe &amp; Restaurant</x:v>
      </x:c>
      <x:c r="F1309" t="str">
        <x:v>Bottled Water 1L</x:v>
      </x:c>
      <x:c r="G1309" t="str">
        <x:v>Drink</x:v>
      </x:c>
      <x:c r="H1309" t="n">
        <x:v>3</x:v>
      </x:c>
      <x:c r="I1309" s="14" t="n">
        <x:v>35</x:v>
      </x:c>
      <x:c r="J1309" s="14" t="n">
        <x:v>105</x:v>
      </x:c>
      <x:c r="K1309" t="str">
        <x:v>DEMO / SIMULATED</x:v>
      </x:c>
    </x:row>
    <x:row r="1310">
      <x:c r="A1310" t="str">
        <x:v>JFD-20240323-0737</x:v>
      </x:c>
      <x:c r="B1310" s="11" t="n">
        <x:v>45374.680555555555</x:v>
      </x:c>
      <x:c r="C1310" s="13" t="n">
        <x:v>0.6805555555555556</x:v>
      </x:c>
      <x:c r="D1310" t="str">
        <x:v>Birtamode</x:v>
      </x:c>
      <x:c r="E1310" t="str">
        <x:v>The Underground Cafe &amp; Restaurant</x:v>
      </x:c>
      <x:c r="F1310" t="str">
        <x:v>Paneer Pakauda</x:v>
      </x:c>
      <x:c r="G1310" t="str">
        <x:v>Food</x:v>
      </x:c>
      <x:c r="H1310" t="n">
        <x:v>4</x:v>
      </x:c>
      <x:c r="I1310" s="14" t="n">
        <x:v>200</x:v>
      </x:c>
      <x:c r="J1310" s="14" t="n">
        <x:v>800</x:v>
      </x:c>
      <x:c r="K1310" t="str">
        <x:v>DEMO / SIMULATED</x:v>
      </x:c>
    </x:row>
    <x:row r="1311">
      <x:c r="A1311" t="str">
        <x:v>JFD-20240225-0738</x:v>
      </x:c>
      <x:c r="B1311" s="11" t="n">
        <x:v>45347.626388888886</x:v>
      </x:c>
      <x:c r="C1311" s="13" t="n">
        <x:v>0.6263888888888889</x:v>
      </x:c>
      <x:c r="D1311" t="str">
        <x:v>Birtamode</x:v>
      </x:c>
      <x:c r="E1311" t="str">
        <x:v>The Underground Cafe &amp; Restaurant</x:v>
      </x:c>
      <x:c r="F1311" t="str">
        <x:v>Bottled Water 1L</x:v>
      </x:c>
      <x:c r="G1311" t="str">
        <x:v>Drink</x:v>
      </x:c>
      <x:c r="H1311" t="n">
        <x:v>3</x:v>
      </x:c>
      <x:c r="I1311" s="14" t="n">
        <x:v>35</x:v>
      </x:c>
      <x:c r="J1311" s="14" t="n">
        <x:v>105</x:v>
      </x:c>
      <x:c r="K1311" t="str">
        <x:v>DEMO / SIMULATED</x:v>
      </x:c>
    </x:row>
    <x:row r="1312">
      <x:c r="A1312" t="str">
        <x:v>JFD-20250819-0739</x:v>
      </x:c>
      <x:c r="B1312" s="11" t="n">
        <x:v>45888.71875</x:v>
      </x:c>
      <x:c r="C1312" s="13" t="n">
        <x:v>0.71875</x:v>
      </x:c>
      <x:c r="D1312" t="str">
        <x:v>Birtamode</x:v>
      </x:c>
      <x:c r="E1312" t="str">
        <x:v>Pizza Ghar</x:v>
      </x:c>
      <x:c r="F1312" t="str">
        <x:v>Veg Fried Rice</x:v>
      </x:c>
      <x:c r="G1312" t="str">
        <x:v>Food</x:v>
      </x:c>
      <x:c r="H1312" t="n">
        <x:v>3</x:v>
      </x:c>
      <x:c r="I1312" s="14" t="n">
        <x:v>205</x:v>
      </x:c>
      <x:c r="J1312" s="14" t="n">
        <x:v>615</x:v>
      </x:c>
      <x:c r="K1312" t="str">
        <x:v>DEMO / SIMULATED</x:v>
      </x:c>
    </x:row>
    <x:row r="1313">
      <x:c r="A1313" t="str">
        <x:v>JFD-20250625-0740</x:v>
      </x:c>
      <x:c r="B1313" s="11" t="n">
        <x:v>45833.43819444445</x:v>
      </x:c>
      <x:c r="C1313" s="13" t="n">
        <x:v>0.43819444444444444</x:v>
      </x:c>
      <x:c r="D1313" t="str">
        <x:v>Birtamode</x:v>
      </x:c>
      <x:c r="E1313" t="str">
        <x:v>The Underground Cafe &amp; Restaurant</x:v>
      </x:c>
      <x:c r="F1313" t="str">
        <x:v>Coca-Cola 500ml</x:v>
      </x:c>
      <x:c r="G1313" t="str">
        <x:v>Drink</x:v>
      </x:c>
      <x:c r="H1313" t="n">
        <x:v>2</x:v>
      </x:c>
      <x:c r="I1313" s="14" t="n">
        <x:v>95</x:v>
      </x:c>
      <x:c r="J1313" s="14" t="n">
        <x:v>190</x:v>
      </x:c>
      <x:c r="K1313" t="str">
        <x:v>DEMO / SIMULATED</x:v>
      </x:c>
    </x:row>
    <x:row r="1314">
      <x:c r="A1314" t="str">
        <x:v>JFD-20250625-0740</x:v>
      </x:c>
      <x:c r="B1314" s="11" t="n">
        <x:v>45833.42638888889</x:v>
      </x:c>
      <x:c r="C1314" s="13" t="n">
        <x:v>0.4263888888888889</x:v>
      </x:c>
      <x:c r="D1314" t="str">
        <x:v>Birtamode</x:v>
      </x:c>
      <x:c r="E1314" t="str">
        <x:v>The Underground Cafe &amp; Restaurant</x:v>
      </x:c>
      <x:c r="F1314" t="str">
        <x:v>Paneer Pakauda</x:v>
      </x:c>
      <x:c r="G1314" t="str">
        <x:v>Food</x:v>
      </x:c>
      <x:c r="H1314" t="n">
        <x:v>2</x:v>
      </x:c>
      <x:c r="I1314" s="14" t="n">
        <x:v>210</x:v>
      </x:c>
      <x:c r="J1314" s="14" t="n">
        <x:v>420</x:v>
      </x:c>
      <x:c r="K1314" t="str">
        <x:v>DEMO / SIMULATED</x:v>
      </x:c>
    </x:row>
    <x:row r="1315">
      <x:c r="A1315" t="str">
        <x:v>JFD-20260601-0741</x:v>
      </x:c>
      <x:c r="B1315" s="11" t="n">
        <x:v>46174.46597222222</x:v>
      </x:c>
      <x:c r="C1315" s="13" t="n">
        <x:v>0.46597222222222223</x:v>
      </x:c>
      <x:c r="D1315" t="str">
        <x:v>Damak</x:v>
      </x:c>
      <x:c r="E1315" t="str">
        <x:v>Milan’s Bakery</x:v>
      </x:c>
      <x:c r="F1315" t="str">
        <x:v>Red Velvet Cake</x:v>
      </x:c>
      <x:c r="G1315" t="str">
        <x:v>Food</x:v>
      </x:c>
      <x:c r="H1315" t="n">
        <x:v>1</x:v>
      </x:c>
      <x:c r="I1315" s="14" t="n">
        <x:v>900</x:v>
      </x:c>
      <x:c r="J1315" s="14" t="n">
        <x:v>900</x:v>
      </x:c>
      <x:c r="K1315" t="str">
        <x:v>DEMO / SIMULATED</x:v>
      </x:c>
    </x:row>
    <x:row r="1316">
      <x:c r="A1316" t="str">
        <x:v>JFD-20260601-0741</x:v>
      </x:c>
      <x:c r="B1316" s="11" t="n">
        <x:v>46174.87291666667</x:v>
      </x:c>
      <x:c r="C1316" s="13" t="n">
        <x:v>0.8729166666666667</x:v>
      </x:c>
      <x:c r="D1316" t="str">
        <x:v>Damak</x:v>
      </x:c>
      <x:c r="E1316" t="str">
        <x:v>Milan’s Bakery</x:v>
      </x:c>
      <x:c r="F1316" t="str">
        <x:v>Black Forest Cake</x:v>
      </x:c>
      <x:c r="G1316" t="str">
        <x:v>Food</x:v>
      </x:c>
      <x:c r="H1316" t="n">
        <x:v>4</x:v>
      </x:c>
      <x:c r="I1316" s="14" t="n">
        <x:v>300</x:v>
      </x:c>
      <x:c r="J1316" s="14" t="n">
        <x:v>1200</x:v>
      </x:c>
      <x:c r="K1316" t="str">
        <x:v>DEMO / SIMULATED</x:v>
      </x:c>
    </x:row>
    <x:row r="1317">
      <x:c r="A1317" t="str">
        <x:v>JFD-20240424-0742</x:v>
      </x:c>
      <x:c r="B1317" s="11" t="n">
        <x:v>45406.873611111114</x:v>
      </x:c>
      <x:c r="C1317" s="13" t="n">
        <x:v>0.8736111111111111</x:v>
      </x:c>
      <x:c r="D1317" t="str">
        <x:v>Birtamode</x:v>
      </x:c>
      <x:c r="E1317" t="str">
        <x:v>The Underground Cafe &amp; Restaurant</x:v>
      </x:c>
      <x:c r="F1317" t="str">
        <x:v>Coca-Cola 500ml</x:v>
      </x:c>
      <x:c r="G1317" t="str">
        <x:v>Drink</x:v>
      </x:c>
      <x:c r="H1317" t="n">
        <x:v>4</x:v>
      </x:c>
      <x:c r="I1317" s="14" t="n">
        <x:v>90</x:v>
      </x:c>
      <x:c r="J1317" s="14" t="n">
        <x:v>360</x:v>
      </x:c>
      <x:c r="K1317" t="str">
        <x:v>DEMO / SIMULATED</x:v>
      </x:c>
    </x:row>
    <x:row r="1318">
      <x:c r="A1318" t="str">
        <x:v>JFD-20250703-0743</x:v>
      </x:c>
      <x:c r="B1318" s="11" t="n">
        <x:v>45841.785416666666</x:v>
      </x:c>
      <x:c r="C1318" s="13" t="n">
        <x:v>0.7854166666666667</x:v>
      </x:c>
      <x:c r="D1318" t="str">
        <x:v>Birtamode</x:v>
      </x:c>
      <x:c r="E1318" t="str">
        <x:v>The Underground Cafe &amp; Restaurant</x:v>
      </x:c>
      <x:c r="F1318" t="str">
        <x:v>Coca-Cola 500ml</x:v>
      </x:c>
      <x:c r="G1318" t="str">
        <x:v>Drink</x:v>
      </x:c>
      <x:c r="H1318" t="n">
        <x:v>4</x:v>
      </x:c>
      <x:c r="I1318" s="14" t="n">
        <x:v>95</x:v>
      </x:c>
      <x:c r="J1318" s="14" t="n">
        <x:v>380</x:v>
      </x:c>
      <x:c r="K1318" t="str">
        <x:v>DEMO / SIMULATED</x:v>
      </x:c>
    </x:row>
    <x:row r="1319">
      <x:c r="A1319" t="str">
        <x:v>JFD-20261003-0744</x:v>
      </x:c>
      <x:c r="B1319" s="11" t="n">
        <x:v>46298.67986111111</x:v>
      </x:c>
      <x:c r="C1319" s="13" t="n">
        <x:v>0.6798611111111111</x:v>
      </x:c>
      <x:c r="D1319" t="str">
        <x:v>Birtamode</x:v>
      </x:c>
      <x:c r="E1319" t="str">
        <x:v>The Underground Cafe &amp; Restaurant</x:v>
      </x:c>
      <x:c r="F1319" t="str">
        <x:v>Bottled Water 1L</x:v>
      </x:c>
      <x:c r="G1319" t="str">
        <x:v>Drink</x:v>
      </x:c>
      <x:c r="H1319" t="n">
        <x:v>1</x:v>
      </x:c>
      <x:c r="I1319" s="14" t="n">
        <x:v>40</x:v>
      </x:c>
      <x:c r="J1319" s="14" t="n">
        <x:v>40</x:v>
      </x:c>
      <x:c r="K1319" t="str">
        <x:v>DEMO / SIMULATED</x:v>
      </x:c>
    </x:row>
    <x:row r="1320">
      <x:c r="A1320" t="str">
        <x:v>JFD-20241014-0745</x:v>
      </x:c>
      <x:c r="B1320" s="11" t="n">
        <x:v>45579.54027777778</x:v>
      </x:c>
      <x:c r="C1320" s="13" t="n">
        <x:v>0.5402777777777777</x:v>
      </x:c>
      <x:c r="D1320" t="str">
        <x:v>Birtamode</x:v>
      </x:c>
      <x:c r="E1320" t="str">
        <x:v>The Underground Cafe &amp; Restaurant</x:v>
      </x:c>
      <x:c r="F1320" t="str">
        <x:v>Veg Pakauda</x:v>
      </x:c>
      <x:c r="G1320" t="str">
        <x:v>Food</x:v>
      </x:c>
      <x:c r="H1320" t="n">
        <x:v>2</x:v>
      </x:c>
      <x:c r="I1320" s="14" t="n">
        <x:v>155</x:v>
      </x:c>
      <x:c r="J1320" s="14" t="n">
        <x:v>310</x:v>
      </x:c>
      <x:c r="K1320" t="str">
        <x:v>DEMO / SIMULATED</x:v>
      </x:c>
    </x:row>
    <x:row r="1321">
      <x:c r="A1321" t="str">
        <x:v>JFD-20230413-0746</x:v>
      </x:c>
      <x:c r="B1321" s="11" t="n">
        <x:v>45029.60833333333</x:v>
      </x:c>
      <x:c r="C1321" s="13" t="n">
        <x:v>0.6083333333333333</x:v>
      </x:c>
      <x:c r="D1321" t="str">
        <x:v>Birtamode</x:v>
      </x:c>
      <x:c r="E1321" t="str">
        <x:v>The Underground Cafe &amp; Restaurant</x:v>
      </x:c>
      <x:c r="F1321" t="str">
        <x:v>Paneer Pakauda</x:v>
      </x:c>
      <x:c r="G1321" t="str">
        <x:v>Food</x:v>
      </x:c>
      <x:c r="H1321" t="n">
        <x:v>1</x:v>
      </x:c>
      <x:c r="I1321" s="14" t="n">
        <x:v>185</x:v>
      </x:c>
      <x:c r="J1321" s="14" t="n">
        <x:v>185</x:v>
      </x:c>
      <x:c r="K1321" t="str">
        <x:v>DEMO / SIMULATED</x:v>
      </x:c>
    </x:row>
    <x:row r="1322">
      <x:c r="A1322" t="str">
        <x:v>JFD-20230413-0746</x:v>
      </x:c>
      <x:c r="B1322" s="11" t="n">
        <x:v>45029.53402777778</x:v>
      </x:c>
      <x:c r="C1322" s="13" t="n">
        <x:v>0.5340277777777778</x:v>
      </x:c>
      <x:c r="D1322" t="str">
        <x:v>Birtamode</x:v>
      </x:c>
      <x:c r="E1322" t="str">
        <x:v>The Underground Cafe &amp; Restaurant</x:v>
      </x:c>
      <x:c r="F1322" t="str">
        <x:v>Bottled Water 1L</x:v>
      </x:c>
      <x:c r="G1322" t="str">
        <x:v>Drink</x:v>
      </x:c>
      <x:c r="H1322" t="n">
        <x:v>4</x:v>
      </x:c>
      <x:c r="I1322" s="14" t="n">
        <x:v>35</x:v>
      </x:c>
      <x:c r="J1322" s="14" t="n">
        <x:v>140</x:v>
      </x:c>
      <x:c r="K1322" t="str">
        <x:v>DEMO / SIMULATED</x:v>
      </x:c>
    </x:row>
    <x:row r="1323">
      <x:c r="A1323" t="str">
        <x:v>JFD-20230413-0746</x:v>
      </x:c>
      <x:c r="B1323" s="11" t="n">
        <x:v>45029.55972222222</x:v>
      </x:c>
      <x:c r="C1323" s="13" t="n">
        <x:v>0.5597222222222222</x:v>
      </x:c>
      <x:c r="D1323" t="str">
        <x:v>Birtamode</x:v>
      </x:c>
      <x:c r="E1323" t="str">
        <x:v>The Underground Cafe &amp; Restaurant</x:v>
      </x:c>
      <x:c r="F1323" t="str">
        <x:v>Aalu Jeera</x:v>
      </x:c>
      <x:c r="G1323" t="str">
        <x:v>Food</x:v>
      </x:c>
      <x:c r="H1323" t="n">
        <x:v>3</x:v>
      </x:c>
      <x:c r="I1323" s="14" t="n">
        <x:v>125</x:v>
      </x:c>
      <x:c r="J1323" s="14" t="n">
        <x:v>375</x:v>
      </x:c>
      <x:c r="K1323" t="str">
        <x:v>DEMO / SIMULATED</x:v>
      </x:c>
    </x:row>
    <x:row r="1324">
      <x:c r="A1324" t="str">
        <x:v>JFD-20230831-0747</x:v>
      </x:c>
      <x:c r="B1324" s="11" t="n">
        <x:v>45169.76527777778</x:v>
      </x:c>
      <x:c r="C1324" s="13" t="n">
        <x:v>0.7652777777777777</x:v>
      </x:c>
      <x:c r="D1324" t="str">
        <x:v>Birtamode</x:v>
      </x:c>
      <x:c r="E1324" t="str">
        <x:v>The Underground Cafe &amp; Restaurant</x:v>
      </x:c>
      <x:c r="F1324" t="str">
        <x:v>Paneer Pakauda</x:v>
      </x:c>
      <x:c r="G1324" t="str">
        <x:v>Food</x:v>
      </x:c>
      <x:c r="H1324" t="n">
        <x:v>4</x:v>
      </x:c>
      <x:c r="I1324" s="14" t="n">
        <x:v>185</x:v>
      </x:c>
      <x:c r="J1324" s="14" t="n">
        <x:v>740</x:v>
      </x:c>
      <x:c r="K1324" t="str">
        <x:v>DEMO / SIMULATED</x:v>
      </x:c>
    </x:row>
    <x:row r="1325">
      <x:c r="A1325" t="str">
        <x:v>JFD-20230831-0747</x:v>
      </x:c>
      <x:c r="B1325" s="11" t="n">
        <x:v>45169.45694444444</x:v>
      </x:c>
      <x:c r="C1325" s="13" t="n">
        <x:v>0.45694444444444443</x:v>
      </x:c>
      <x:c r="D1325" t="str">
        <x:v>Birtamode</x:v>
      </x:c>
      <x:c r="E1325" t="str">
        <x:v>The Underground Cafe &amp; Restaurant</x:v>
      </x:c>
      <x:c r="F1325" t="str">
        <x:v>Veg Pakauda</x:v>
      </x:c>
      <x:c r="G1325" t="str">
        <x:v>Food</x:v>
      </x:c>
      <x:c r="H1325" t="n">
        <x:v>1</x:v>
      </x:c>
      <x:c r="I1325" s="14" t="n">
        <x:v>145</x:v>
      </x:c>
      <x:c r="J1325" s="14" t="n">
        <x:v>145</x:v>
      </x:c>
      <x:c r="K1325" t="str">
        <x:v>DEMO / SIMULATED</x:v>
      </x:c>
    </x:row>
    <x:row r="1326">
      <x:c r="A1326" t="str">
        <x:v>JFD-20240511-0748</x:v>
      </x:c>
      <x:c r="B1326" s="11" t="n">
        <x:v>45423.54236111111</x:v>
      </x:c>
      <x:c r="C1326" s="13" t="n">
        <x:v>0.5423611111111111</x:v>
      </x:c>
      <x:c r="D1326" t="str">
        <x:v>Birtamode</x:v>
      </x:c>
      <x:c r="E1326" t="str">
        <x:v>Pizza Ghar</x:v>
      </x:c>
      <x:c r="F1326" t="str">
        <x:v>Bottled Water 1L</x:v>
      </x:c>
      <x:c r="G1326" t="str">
        <x:v>Drink</x:v>
      </x:c>
      <x:c r="H1326" t="n">
        <x:v>4</x:v>
      </x:c>
      <x:c r="I1326" s="14" t="n">
        <x:v>35</x:v>
      </x:c>
      <x:c r="J1326" s="14" t="n">
        <x:v>140</x:v>
      </x:c>
      <x:c r="K1326" t="str">
        <x:v>DEMO / SIMULATED</x:v>
      </x:c>
    </x:row>
    <x:row r="1327">
      <x:c r="A1327" t="str">
        <x:v>JFD-20240511-0748</x:v>
      </x:c>
      <x:c r="B1327" s="11" t="n">
        <x:v>45423.638194444444</x:v>
      </x:c>
      <x:c r="C1327" s="13" t="n">
        <x:v>0.6381944444444444</x:v>
      </x:c>
      <x:c r="D1327" t="str">
        <x:v>Birtamode</x:v>
      </x:c>
      <x:c r="E1327" t="str">
        <x:v>Pizza Ghar</x:v>
      </x:c>
      <x:c r="F1327" t="str">
        <x:v>Chicken BBQ Feast Pizza</x:v>
      </x:c>
      <x:c r="G1327" t="str">
        <x:v>Food</x:v>
      </x:c>
      <x:c r="H1327" t="n">
        <x:v>4</x:v>
      </x:c>
      <x:c r="I1327" s="14" t="n">
        <x:v>510</x:v>
      </x:c>
      <x:c r="J1327" s="14" t="n">
        <x:v>2040</x:v>
      </x:c>
      <x:c r="K1327" t="str">
        <x:v>DEMO / SIMULATED</x:v>
      </x:c>
    </x:row>
    <x:row r="1328">
      <x:c r="A1328" t="str">
        <x:v>JFD-20251130-0749</x:v>
      </x:c>
      <x:c r="B1328" s="11" t="n">
        <x:v>45991.51944444444</x:v>
      </x:c>
      <x:c r="C1328" s="13" t="n">
        <x:v>0.5194444444444445</x:v>
      </x:c>
      <x:c r="D1328" t="str">
        <x:v>Damak</x:v>
      </x:c>
      <x:c r="E1328" t="str">
        <x:v>Late Night Cravings</x:v>
      </x:c>
      <x:c r="F1328" t="str">
        <x:v>Veg Fry Rice</x:v>
      </x:c>
      <x:c r="G1328" t="str">
        <x:v>Food</x:v>
      </x:c>
      <x:c r="H1328" t="n">
        <x:v>2</x:v>
      </x:c>
      <x:c r="I1328" s="14" t="n">
        <x:v>150</x:v>
      </x:c>
      <x:c r="J1328" s="14" t="n">
        <x:v>300</x:v>
      </x:c>
      <x:c r="K1328" t="str">
        <x:v>DEMO / SIMULATED</x:v>
      </x:c>
    </x:row>
    <x:row r="1329">
      <x:c r="A1329" t="str">
        <x:v>JFD-20260129-0750</x:v>
      </x:c>
      <x:c r="B1329" s="11" t="n">
        <x:v>46051.59097222222</x:v>
      </x:c>
      <x:c r="C1329" s="13" t="n">
        <x:v>0.5909722222222222</x:v>
      </x:c>
      <x:c r="D1329" t="str">
        <x:v>Birtamode</x:v>
      </x:c>
      <x:c r="E1329" t="str">
        <x:v>Pizza Ghar</x:v>
      </x:c>
      <x:c r="F1329" t="str">
        <x:v>Chicken BBQ Feast Pizza</x:v>
      </x:c>
      <x:c r="G1329" t="str">
        <x:v>Food</x:v>
      </x:c>
      <x:c r="H1329" t="n">
        <x:v>4</x:v>
      </x:c>
      <x:c r="I1329" s="14" t="n">
        <x:v>580</x:v>
      </x:c>
      <x:c r="J1329" s="14" t="n">
        <x:v>2320</x:v>
      </x:c>
      <x:c r="K1329" t="str">
        <x:v>DEMO / SIMULATED</x:v>
      </x:c>
    </x:row>
    <x:row r="1330">
      <x:c r="A1330" t="str">
        <x:v>JFD-20260219-0751</x:v>
      </x:c>
      <x:c r="B1330" s="11" t="n">
        <x:v>46072.75069444445</x:v>
      </x:c>
      <x:c r="C1330" s="13" t="n">
        <x:v>0.7506944444444444</x:v>
      </x:c>
      <x:c r="D1330" t="str">
        <x:v>Damak</x:v>
      </x:c>
      <x:c r="E1330" t="str">
        <x:v>Late Night Cravings</x:v>
      </x:c>
      <x:c r="F1330" t="str">
        <x:v>Mix Fry Rice</x:v>
      </x:c>
      <x:c r="G1330" t="str">
        <x:v>Food</x:v>
      </x:c>
      <x:c r="H1330" t="n">
        <x:v>1</x:v>
      </x:c>
      <x:c r="I1330" s="14" t="n">
        <x:v>280</x:v>
      </x:c>
      <x:c r="J1330" s="14" t="n">
        <x:v>280</x:v>
      </x:c>
      <x:c r="K1330" t="str">
        <x:v>DEMO / SIMULATED</x:v>
      </x:c>
    </x:row>
    <x:row r="1331">
      <x:c r="A1331" t="str">
        <x:v>JFD-20260428-0752</x:v>
      </x:c>
      <x:c r="B1331" s="11" t="n">
        <x:v>46140.74652777778</x:v>
      </x:c>
      <x:c r="C1331" s="13" t="n">
        <x:v>0.7465277777777778</x:v>
      </x:c>
      <x:c r="D1331" t="str">
        <x:v>Damak</x:v>
      </x:c>
      <x:c r="E1331" t="str">
        <x:v>Milan’s Bakery</x:v>
      </x:c>
      <x:c r="F1331" t="str">
        <x:v>Coca-Cola 500ml</x:v>
      </x:c>
      <x:c r="G1331" t="str">
        <x:v>Drink</x:v>
      </x:c>
      <x:c r="H1331" t="n">
        <x:v>2</x:v>
      </x:c>
      <x:c r="I1331" s="14" t="n">
        <x:v>100</x:v>
      </x:c>
      <x:c r="J1331" s="14" t="n">
        <x:v>200</x:v>
      </x:c>
      <x:c r="K1331" t="str">
        <x:v>DEMO / SIMULATED</x:v>
      </x:c>
    </x:row>
    <x:row r="1332">
      <x:c r="A1332" t="str">
        <x:v>JFD-20260428-0752</x:v>
      </x:c>
      <x:c r="B1332" s="11" t="n">
        <x:v>46140.722916666666</x:v>
      </x:c>
      <x:c r="C1332" s="13" t="n">
        <x:v>0.7229166666666667</x:v>
      </x:c>
      <x:c r="D1332" t="str">
        <x:v>Damak</x:v>
      </x:c>
      <x:c r="E1332" t="str">
        <x:v>Milan’s Bakery</x:v>
      </x:c>
      <x:c r="F1332" t="str">
        <x:v>Black Forest Cake</x:v>
      </x:c>
      <x:c r="G1332" t="str">
        <x:v>Food</x:v>
      </x:c>
      <x:c r="H1332" t="n">
        <x:v>3</x:v>
      </x:c>
      <x:c r="I1332" s="14" t="n">
        <x:v>300</x:v>
      </x:c>
      <x:c r="J1332" s="14" t="n">
        <x:v>900</x:v>
      </x:c>
      <x:c r="K1332" t="str">
        <x:v>DEMO / SIMULATED</x:v>
      </x:c>
    </x:row>
    <x:row r="1333">
      <x:c r="A1333" t="str">
        <x:v>JFD-20230106-0753</x:v>
      </x:c>
      <x:c r="B1333" s="11" t="n">
        <x:v>44932.625</x:v>
      </x:c>
      <x:c r="C1333" s="13" t="n">
        <x:v>0.625</x:v>
      </x:c>
      <x:c r="D1333" t="str">
        <x:v>Birtamode</x:v>
      </x:c>
      <x:c r="E1333" t="str">
        <x:v>Pizza Ghar</x:v>
      </x:c>
      <x:c r="F1333" t="str">
        <x:v>Egg Fried Rice</x:v>
      </x:c>
      <x:c r="G1333" t="str">
        <x:v>Food</x:v>
      </x:c>
      <x:c r="H1333" t="n">
        <x:v>2</x:v>
      </x:c>
      <x:c r="I1333" s="14" t="n">
        <x:v>220</x:v>
      </x:c>
      <x:c r="J1333" s="14" t="n">
        <x:v>440</x:v>
      </x:c>
      <x:c r="K1333" t="str">
        <x:v>DEMO / SIMULATED</x:v>
      </x:c>
    </x:row>
    <x:row r="1334">
      <x:c r="A1334" t="str">
        <x:v>JFD-20230106-0753</x:v>
      </x:c>
      <x:c r="B1334" s="11" t="n">
        <x:v>44932.50277777778</x:v>
      </x:c>
      <x:c r="C1334" s="13" t="n">
        <x:v>0.5027777777777778</x:v>
      </x:c>
      <x:c r="D1334" t="str">
        <x:v>Birtamode</x:v>
      </x:c>
      <x:c r="E1334" t="str">
        <x:v>Pizza Ghar</x:v>
      </x:c>
      <x:c r="F1334" t="str">
        <x:v>Coca-Cola 500ml</x:v>
      </x:c>
      <x:c r="G1334" t="str">
        <x:v>Drink</x:v>
      </x:c>
      <x:c r="H1334" t="n">
        <x:v>1</x:v>
      </x:c>
      <x:c r="I1334" s="14" t="n">
        <x:v>80</x:v>
      </x:c>
      <x:c r="J1334" s="14" t="n">
        <x:v>80</x:v>
      </x:c>
      <x:c r="K1334" t="str">
        <x:v>DEMO / SIMULATED</x:v>
      </x:c>
    </x:row>
    <x:row r="1335">
      <x:c r="A1335" t="str">
        <x:v>JFD-20251101-0754</x:v>
      </x:c>
      <x:c r="B1335" s="11" t="n">
        <x:v>45962.71805555555</x:v>
      </x:c>
      <x:c r="C1335" s="13" t="n">
        <x:v>0.7180555555555556</x:v>
      </x:c>
      <x:c r="D1335" t="str">
        <x:v>Birtamode</x:v>
      </x:c>
      <x:c r="E1335" t="str">
        <x:v>The Underground Cafe &amp; Restaurant</x:v>
      </x:c>
      <x:c r="F1335" t="str">
        <x:v>Aalu Jeera</x:v>
      </x:c>
      <x:c r="G1335" t="str">
        <x:v>Food</x:v>
      </x:c>
      <x:c r="H1335" t="n">
        <x:v>1</x:v>
      </x:c>
      <x:c r="I1335" s="14" t="n">
        <x:v>145</x:v>
      </x:c>
      <x:c r="J1335" s="14" t="n">
        <x:v>145</x:v>
      </x:c>
      <x:c r="K1335" t="str">
        <x:v>DEMO / SIMULATED</x:v>
      </x:c>
    </x:row>
    <x:row r="1336">
      <x:c r="A1336" t="str">
        <x:v>JFD-20231227-0755</x:v>
      </x:c>
      <x:c r="B1336" s="11" t="n">
        <x:v>45287.78680555556</x:v>
      </x:c>
      <x:c r="C1336" s="13" t="n">
        <x:v>0.7868055555555555</x:v>
      </x:c>
      <x:c r="D1336" t="str">
        <x:v>Birtamode</x:v>
      </x:c>
      <x:c r="E1336" t="str">
        <x:v>The Underground Cafe &amp; Restaurant</x:v>
      </x:c>
      <x:c r="F1336" t="str">
        <x:v>Bottled Water 1L</x:v>
      </x:c>
      <x:c r="G1336" t="str">
        <x:v>Drink</x:v>
      </x:c>
      <x:c r="H1336" t="n">
        <x:v>4</x:v>
      </x:c>
      <x:c r="I1336" s="14" t="n">
        <x:v>35</x:v>
      </x:c>
      <x:c r="J1336" s="14" t="n">
        <x:v>140</x:v>
      </x:c>
      <x:c r="K1336" t="str">
        <x:v>DEMO / SIMULATED</x:v>
      </x:c>
    </x:row>
    <x:row r="1337">
      <x:c r="A1337" t="str">
        <x:v>JFD-20231227-0755</x:v>
      </x:c>
      <x:c r="B1337" s="11" t="n">
        <x:v>45287.45138888889</x:v>
      </x:c>
      <x:c r="C1337" s="13" t="n">
        <x:v>0.4513888888888889</x:v>
      </x:c>
      <x:c r="D1337" t="str">
        <x:v>Birtamode</x:v>
      </x:c>
      <x:c r="E1337" t="str">
        <x:v>The Underground Cafe &amp; Restaurant</x:v>
      </x:c>
      <x:c r="F1337" t="str">
        <x:v>Coca-Cola 500ml</x:v>
      </x:c>
      <x:c r="G1337" t="str">
        <x:v>Drink</x:v>
      </x:c>
      <x:c r="H1337" t="n">
        <x:v>2</x:v>
      </x:c>
      <x:c r="I1337" s="14" t="n">
        <x:v>80</x:v>
      </x:c>
      <x:c r="J1337" s="14" t="n">
        <x:v>160</x:v>
      </x:c>
      <x:c r="K1337" t="str">
        <x:v>DEMO / SIMULATED</x:v>
      </x:c>
    </x:row>
    <x:row r="1338">
      <x:c r="A1338" t="str">
        <x:v>JFD-20231227-0755</x:v>
      </x:c>
      <x:c r="B1338" s="11" t="n">
        <x:v>45287.683333333334</x:v>
      </x:c>
      <x:c r="C1338" s="13" t="n">
        <x:v>0.6833333333333333</x:v>
      </x:c>
      <x:c r="D1338" t="str">
        <x:v>Birtamode</x:v>
      </x:c>
      <x:c r="E1338" t="str">
        <x:v>The Underground Cafe &amp; Restaurant</x:v>
      </x:c>
      <x:c r="F1338" t="str">
        <x:v>Veg Pakauda</x:v>
      </x:c>
      <x:c r="G1338" t="str">
        <x:v>Food</x:v>
      </x:c>
      <x:c r="H1338" t="n">
        <x:v>2</x:v>
      </x:c>
      <x:c r="I1338" s="14" t="n">
        <x:v>145</x:v>
      </x:c>
      <x:c r="J1338" s="14" t="n">
        <x:v>290</x:v>
      </x:c>
      <x:c r="K1338" t="str">
        <x:v>DEMO / SIMULATED</x:v>
      </x:c>
    </x:row>
    <x:row r="1339">
      <x:c r="A1339" t="str">
        <x:v>JFD-20230325-0756</x:v>
      </x:c>
      <x:c r="B1339" s="11" t="n">
        <x:v>45010.59097222222</x:v>
      </x:c>
      <x:c r="C1339" s="13" t="n">
        <x:v>0.5909722222222222</x:v>
      </x:c>
      <x:c r="D1339" t="str">
        <x:v>Damak</x:v>
      </x:c>
      <x:c r="E1339" t="str">
        <x:v>Late Night Cravings</x:v>
      </x:c>
      <x:c r="F1339" t="str">
        <x:v>Bottled Water 1L</x:v>
      </x:c>
      <x:c r="G1339" t="str">
        <x:v>Drink</x:v>
      </x:c>
      <x:c r="H1339" t="n">
        <x:v>1</x:v>
      </x:c>
      <x:c r="I1339" s="14" t="n">
        <x:v>35</x:v>
      </x:c>
      <x:c r="J1339" s="14" t="n">
        <x:v>35</x:v>
      </x:c>
      <x:c r="K1339" t="str">
        <x:v>DEMO / SIMULATED</x:v>
      </x:c>
    </x:row>
    <x:row r="1340">
      <x:c r="A1340" t="str">
        <x:v>JFD-20230325-0756</x:v>
      </x:c>
      <x:c r="B1340" s="11" t="n">
        <x:v>45010.80347222222</x:v>
      </x:c>
      <x:c r="C1340" s="13" t="n">
        <x:v>0.8034722222222223</x:v>
      </x:c>
      <x:c r="D1340" t="str">
        <x:v>Damak</x:v>
      </x:c>
      <x:c r="E1340" t="str">
        <x:v>Late Night Cravings</x:v>
      </x:c>
      <x:c r="F1340" t="str">
        <x:v>Coca-Cola 500ml</x:v>
      </x:c>
      <x:c r="G1340" t="str">
        <x:v>Drink</x:v>
      </x:c>
      <x:c r="H1340" t="n">
        <x:v>4</x:v>
      </x:c>
      <x:c r="I1340" s="14" t="n">
        <x:v>80</x:v>
      </x:c>
      <x:c r="J1340" s="14" t="n">
        <x:v>320</x:v>
      </x:c>
      <x:c r="K1340" t="str">
        <x:v>DEMO / SIMULATED</x:v>
      </x:c>
    </x:row>
    <x:row r="1341">
      <x:c r="A1341" t="str">
        <x:v>JFD-20260426-0757</x:v>
      </x:c>
      <x:c r="B1341" s="11" t="n">
        <x:v>46138.76111111111</x:v>
      </x:c>
      <x:c r="C1341" s="13" t="n">
        <x:v>0.7611111111111111</x:v>
      </x:c>
      <x:c r="D1341" t="str">
        <x:v>Birtamode</x:v>
      </x:c>
      <x:c r="E1341" t="str">
        <x:v>Pizza Ghar</x:v>
      </x:c>
      <x:c r="F1341" t="str">
        <x:v>Bottled Water 1L</x:v>
      </x:c>
      <x:c r="G1341" t="str">
        <x:v>Drink</x:v>
      </x:c>
      <x:c r="H1341" t="n">
        <x:v>3</x:v>
      </x:c>
      <x:c r="I1341" s="14" t="n">
        <x:v>40</x:v>
      </x:c>
      <x:c r="J1341" s="14" t="n">
        <x:v>120</x:v>
      </x:c>
      <x:c r="K1341" t="str">
        <x:v>DEMO / SIMULATED</x:v>
      </x:c>
    </x:row>
    <x:row r="1342">
      <x:c r="A1342" t="str">
        <x:v>JFD-20260426-0757</x:v>
      </x:c>
      <x:c r="B1342" s="11" t="n">
        <x:v>46138.65902777778</x:v>
      </x:c>
      <x:c r="C1342" s="13" t="n">
        <x:v>0.6590277777777778</x:v>
      </x:c>
      <x:c r="D1342" t="str">
        <x:v>Birtamode</x:v>
      </x:c>
      <x:c r="E1342" t="str">
        <x:v>Pizza Ghar</x:v>
      </x:c>
      <x:c r="F1342" t="str">
        <x:v>Egg Fried Rice</x:v>
      </x:c>
      <x:c r="G1342" t="str">
        <x:v>Food</x:v>
      </x:c>
      <x:c r="H1342" t="n">
        <x:v>2</x:v>
      </x:c>
      <x:c r="I1342" s="14" t="n">
        <x:v>270</x:v>
      </x:c>
      <x:c r="J1342" s="14" t="n">
        <x:v>540</x:v>
      </x:c>
      <x:c r="K1342" t="str">
        <x:v>DEMO / SIMULATED</x:v>
      </x:c>
    </x:row>
    <x:row r="1343">
      <x:c r="A1343" t="str">
        <x:v>JFD-20260426-0757</x:v>
      </x:c>
      <x:c r="B1343" s="11" t="n">
        <x:v>46138.69930555556</x:v>
      </x:c>
      <x:c r="C1343" s="13" t="n">
        <x:v>0.6993055555555555</x:v>
      </x:c>
      <x:c r="D1343" t="str">
        <x:v>Birtamode</x:v>
      </x:c>
      <x:c r="E1343" t="str">
        <x:v>Pizza Ghar</x:v>
      </x:c>
      <x:c r="F1343" t="str">
        <x:v>Coca-Cola 500ml</x:v>
      </x:c>
      <x:c r="G1343" t="str">
        <x:v>Drink</x:v>
      </x:c>
      <x:c r="H1343" t="n">
        <x:v>4</x:v>
      </x:c>
      <x:c r="I1343" s="14" t="n">
        <x:v>100</x:v>
      </x:c>
      <x:c r="J1343" s="14" t="n">
        <x:v>400</x:v>
      </x:c>
      <x:c r="K1343" t="str">
        <x:v>DEMO / SIMULATED</x:v>
      </x:c>
    </x:row>
    <x:row r="1344">
      <x:c r="A1344" t="str">
        <x:v>JFD-20240925-0758</x:v>
      </x:c>
      <x:c r="B1344" s="11" t="n">
        <x:v>45560.68402777778</x:v>
      </x:c>
      <x:c r="C1344" s="13" t="n">
        <x:v>0.6840277777777778</x:v>
      </x:c>
      <x:c r="D1344" t="str">
        <x:v>Damak</x:v>
      </x:c>
      <x:c r="E1344" t="str">
        <x:v>Milan’s Bakery</x:v>
      </x:c>
      <x:c r="F1344" t="str">
        <x:v>Coca-Cola 500ml</x:v>
      </x:c>
      <x:c r="G1344" t="str">
        <x:v>Drink</x:v>
      </x:c>
      <x:c r="H1344" t="n">
        <x:v>2</x:v>
      </x:c>
      <x:c r="I1344" s="14" t="n">
        <x:v>90</x:v>
      </x:c>
      <x:c r="J1344" s="14" t="n">
        <x:v>180</x:v>
      </x:c>
      <x:c r="K1344" t="str">
        <x:v>DEMO / SIMULATED</x:v>
      </x:c>
    </x:row>
    <x:row r="1345">
      <x:c r="A1345" t="str">
        <x:v>JFD-20240925-0758</x:v>
      </x:c>
      <x:c r="B1345" s="11" t="n">
        <x:v>45560.80763888889</x:v>
      </x:c>
      <x:c r="C1345" s="13" t="n">
        <x:v>0.8076388888888889</x:v>
      </x:c>
      <x:c r="D1345" t="str">
        <x:v>Damak</x:v>
      </x:c>
      <x:c r="E1345" t="str">
        <x:v>Milan’s Bakery</x:v>
      </x:c>
      <x:c r="F1345" t="str">
        <x:v>Red Velvet Cake</x:v>
      </x:c>
      <x:c r="G1345" t="str">
        <x:v>Food</x:v>
      </x:c>
      <x:c r="H1345" t="n">
        <x:v>2</x:v>
      </x:c>
      <x:c r="I1345" s="14" t="n">
        <x:v>790</x:v>
      </x:c>
      <x:c r="J1345" s="14" t="n">
        <x:v>1580</x:v>
      </x:c>
      <x:c r="K1345" t="str">
        <x:v>DEMO / SIMULATED</x:v>
      </x:c>
    </x:row>
    <x:row r="1346">
      <x:c r="A1346" t="str">
        <x:v>JFD-20240423-0759</x:v>
      </x:c>
      <x:c r="B1346" s="11" t="n">
        <x:v>45405.9125</x:v>
      </x:c>
      <x:c r="C1346" s="13" t="n">
        <x:v>0.9125</x:v>
      </x:c>
      <x:c r="D1346" t="str">
        <x:v>Birtamode</x:v>
      </x:c>
      <x:c r="E1346" t="str">
        <x:v>The Underground Cafe &amp; Restaurant</x:v>
      </x:c>
      <x:c r="F1346" t="str">
        <x:v>Bottled Water 1L</x:v>
      </x:c>
      <x:c r="G1346" t="str">
        <x:v>Drink</x:v>
      </x:c>
      <x:c r="H1346" t="n">
        <x:v>4</x:v>
      </x:c>
      <x:c r="I1346" s="14" t="n">
        <x:v>35</x:v>
      </x:c>
      <x:c r="J1346" s="14" t="n">
        <x:v>140</x:v>
      </x:c>
      <x:c r="K1346" t="str">
        <x:v>DEMO / SIMULATED</x:v>
      </x:c>
    </x:row>
    <x:row r="1347">
      <x:c r="A1347" t="str">
        <x:v>JFD-20250102-0760</x:v>
      </x:c>
      <x:c r="B1347" s="11" t="n">
        <x:v>45659.56805555556</x:v>
      </x:c>
      <x:c r="C1347" s="13" t="n">
        <x:v>0.5680555555555555</x:v>
      </x:c>
      <x:c r="D1347" t="str">
        <x:v>Birtamode</x:v>
      </x:c>
      <x:c r="E1347" t="str">
        <x:v>Pizza Ghar</x:v>
      </x:c>
      <x:c r="F1347" t="str">
        <x:v>Chicken Fried Rice</x:v>
      </x:c>
      <x:c r="G1347" t="str">
        <x:v>Food</x:v>
      </x:c>
      <x:c r="H1347" t="n">
        <x:v>1</x:v>
      </x:c>
      <x:c r="I1347" s="14" t="n">
        <x:v>280</x:v>
      </x:c>
      <x:c r="J1347" s="14" t="n">
        <x:v>280</x:v>
      </x:c>
      <x:c r="K1347" t="str">
        <x:v>DEMO / SIMULATED</x:v>
      </x:c>
    </x:row>
    <x:row r="1348">
      <x:c r="A1348" t="str">
        <x:v>JFD-20250102-0760</x:v>
      </x:c>
      <x:c r="B1348" s="11" t="n">
        <x:v>45659.48125</x:v>
      </x:c>
      <x:c r="C1348" s="13" t="n">
        <x:v>0.48125</x:v>
      </x:c>
      <x:c r="D1348" t="str">
        <x:v>Birtamode</x:v>
      </x:c>
      <x:c r="E1348" t="str">
        <x:v>Pizza Ghar</x:v>
      </x:c>
      <x:c r="F1348" t="str">
        <x:v>Veg Fried Rice</x:v>
      </x:c>
      <x:c r="G1348" t="str">
        <x:v>Food</x:v>
      </x:c>
      <x:c r="H1348" t="n">
        <x:v>4</x:v>
      </x:c>
      <x:c r="I1348" s="14" t="n">
        <x:v>205</x:v>
      </x:c>
      <x:c r="J1348" s="14" t="n">
        <x:v>820</x:v>
      </x:c>
      <x:c r="K1348" t="str">
        <x:v>DEMO / SIMULATED</x:v>
      </x:c>
    </x:row>
    <x:row r="1349">
      <x:c r="A1349" t="str">
        <x:v>JFD-20260917-0761</x:v>
      </x:c>
      <x:c r="B1349" s="11" t="n">
        <x:v>46282.71111111111</x:v>
      </x:c>
      <x:c r="C1349" s="13" t="n">
        <x:v>0.7111111111111111</x:v>
      </x:c>
      <x:c r="D1349" t="str">
        <x:v>Birtamode</x:v>
      </x:c>
      <x:c r="E1349" t="str">
        <x:v>The Underground Cafe &amp; Restaurant</x:v>
      </x:c>
      <x:c r="F1349" t="str">
        <x:v>Aalu Jeera</x:v>
      </x:c>
      <x:c r="G1349" t="str">
        <x:v>Food</x:v>
      </x:c>
      <x:c r="H1349" t="n">
        <x:v>3</x:v>
      </x:c>
      <x:c r="I1349" s="14" t="n">
        <x:v>155</x:v>
      </x:c>
      <x:c r="J1349" s="14" t="n">
        <x:v>465</x:v>
      </x:c>
      <x:c r="K1349" t="str">
        <x:v>DEMO / SIMULATED</x:v>
      </x:c>
    </x:row>
    <x:row r="1350">
      <x:c r="A1350" t="str">
        <x:v>JFD-20250206-0762</x:v>
      </x:c>
      <x:c r="B1350" s="11" t="n">
        <x:v>45694.899305555555</x:v>
      </x:c>
      <x:c r="C1350" s="13" t="n">
        <x:v>0.8993055555555556</x:v>
      </x:c>
      <x:c r="D1350" t="str">
        <x:v>Damak</x:v>
      </x:c>
      <x:c r="E1350" t="str">
        <x:v>Late Night Cravings</x:v>
      </x:c>
      <x:c r="F1350" t="str">
        <x:v>Veg Fry Rice</x:v>
      </x:c>
      <x:c r="G1350" t="str">
        <x:v>Food</x:v>
      </x:c>
      <x:c r="H1350" t="n">
        <x:v>4</x:v>
      </x:c>
      <x:c r="I1350" s="14" t="n">
        <x:v>150</x:v>
      </x:c>
      <x:c r="J1350" s="14" t="n">
        <x:v>600</x:v>
      </x:c>
      <x:c r="K1350" t="str">
        <x:v>DEMO / SIMULATED</x:v>
      </x:c>
    </x:row>
    <x:row r="1351">
      <x:c r="A1351" t="str">
        <x:v>JFD-20250206-0762</x:v>
      </x:c>
      <x:c r="B1351" s="11" t="n">
        <x:v>45694.70625</x:v>
      </x:c>
      <x:c r="C1351" s="13" t="n">
        <x:v>0.70625</x:v>
      </x:c>
      <x:c r="D1351" t="str">
        <x:v>Damak</x:v>
      </x:c>
      <x:c r="E1351" t="str">
        <x:v>Late Night Cravings</x:v>
      </x:c>
      <x:c r="F1351" t="str">
        <x:v>Mix Fry Rice</x:v>
      </x:c>
      <x:c r="G1351" t="str">
        <x:v>Food</x:v>
      </x:c>
      <x:c r="H1351" t="n">
        <x:v>2</x:v>
      </x:c>
      <x:c r="I1351" s="14" t="n">
        <x:v>265</x:v>
      </x:c>
      <x:c r="J1351" s="14" t="n">
        <x:v>530</x:v>
      </x:c>
      <x:c r="K1351" t="str">
        <x:v>DEMO / SIMULATED</x:v>
      </x:c>
    </x:row>
    <x:row r="1352">
      <x:c r="A1352" t="str">
        <x:v>JFD-20231228-0763</x:v>
      </x:c>
      <x:c r="B1352" s="11" t="n">
        <x:v>45288.83125</x:v>
      </x:c>
      <x:c r="C1352" s="13" t="n">
        <x:v>0.83125</x:v>
      </x:c>
      <x:c r="D1352" t="str">
        <x:v>Birtamode</x:v>
      </x:c>
      <x:c r="E1352" t="str">
        <x:v>The Underground Cafe &amp; Restaurant</x:v>
      </x:c>
      <x:c r="F1352" t="str">
        <x:v>Veg Pakauda</x:v>
      </x:c>
      <x:c r="G1352" t="str">
        <x:v>Food</x:v>
      </x:c>
      <x:c r="H1352" t="n">
        <x:v>2</x:v>
      </x:c>
      <x:c r="I1352" s="14" t="n">
        <x:v>145</x:v>
      </x:c>
      <x:c r="J1352" s="14" t="n">
        <x:v>290</x:v>
      </x:c>
      <x:c r="K1352" t="str">
        <x:v>DEMO / SIMULATED</x:v>
      </x:c>
    </x:row>
    <x:row r="1353">
      <x:c r="A1353" t="str">
        <x:v>JFD-20260102-0764</x:v>
      </x:c>
      <x:c r="B1353" s="11" t="n">
        <x:v>46024.59722222222</x:v>
      </x:c>
      <x:c r="C1353" s="13" t="n">
        <x:v>0.5972222222222222</x:v>
      </x:c>
      <x:c r="D1353" t="str">
        <x:v>Birtamode</x:v>
      </x:c>
      <x:c r="E1353" t="str">
        <x:v>Pizza Ghar</x:v>
      </x:c>
      <x:c r="F1353" t="str">
        <x:v>Egg Fried Rice</x:v>
      </x:c>
      <x:c r="G1353" t="str">
        <x:v>Food</x:v>
      </x:c>
      <x:c r="H1353" t="n">
        <x:v>4</x:v>
      </x:c>
      <x:c r="I1353" s="14" t="n">
        <x:v>270</x:v>
      </x:c>
      <x:c r="J1353" s="14" t="n">
        <x:v>1080</x:v>
      </x:c>
      <x:c r="K1353" t="str">
        <x:v>DEMO / SIMULATED</x:v>
      </x:c>
    </x:row>
    <x:row r="1354">
      <x:c r="A1354" t="str">
        <x:v>JFD-20251029-0765</x:v>
      </x:c>
      <x:c r="B1354" s="11" t="n">
        <x:v>45959.54375</x:v>
      </x:c>
      <x:c r="C1354" s="13" t="n">
        <x:v>0.54375</x:v>
      </x:c>
      <x:c r="D1354" t="str">
        <x:v>Birtamode</x:v>
      </x:c>
      <x:c r="E1354" t="str">
        <x:v>The Underground Cafe &amp; Restaurant</x:v>
      </x:c>
      <x:c r="F1354" t="str">
        <x:v>Veg Pakauda</x:v>
      </x:c>
      <x:c r="G1354" t="str">
        <x:v>Food</x:v>
      </x:c>
      <x:c r="H1354" t="n">
        <x:v>3</x:v>
      </x:c>
      <x:c r="I1354" s="14" t="n">
        <x:v>165</x:v>
      </x:c>
      <x:c r="J1354" s="14" t="n">
        <x:v>495</x:v>
      </x:c>
      <x:c r="K1354" t="str">
        <x:v>DEMO / SIMULATED</x:v>
      </x:c>
    </x:row>
    <x:row r="1355">
      <x:c r="A1355" t="str">
        <x:v>JFD-20251029-0765</x:v>
      </x:c>
      <x:c r="B1355" s="11" t="n">
        <x:v>45959.54027777778</x:v>
      </x:c>
      <x:c r="C1355" s="13" t="n">
        <x:v>0.5402777777777777</x:v>
      </x:c>
      <x:c r="D1355" t="str">
        <x:v>Birtamode</x:v>
      </x:c>
      <x:c r="E1355" t="str">
        <x:v>The Underground Cafe &amp; Restaurant</x:v>
      </x:c>
      <x:c r="F1355" t="str">
        <x:v>Bottled Water 1L</x:v>
      </x:c>
      <x:c r="G1355" t="str">
        <x:v>Drink</x:v>
      </x:c>
      <x:c r="H1355" t="n">
        <x:v>2</x:v>
      </x:c>
      <x:c r="I1355" s="14" t="n">
        <x:v>40</x:v>
      </x:c>
      <x:c r="J1355" s="14" t="n">
        <x:v>80</x:v>
      </x:c>
      <x:c r="K1355" t="str">
        <x:v>DEMO / SIMULATED</x:v>
      </x:c>
    </x:row>
    <x:row r="1356">
      <x:c r="A1356" t="str">
        <x:v>JFD-20241018-0766</x:v>
      </x:c>
      <x:c r="B1356" s="11" t="n">
        <x:v>45583.56597222222</x:v>
      </x:c>
      <x:c r="C1356" s="13" t="n">
        <x:v>0.5659722222222222</x:v>
      </x:c>
      <x:c r="D1356" t="str">
        <x:v>Birtamode</x:v>
      </x:c>
      <x:c r="E1356" t="str">
        <x:v>The Underground Cafe &amp; Restaurant</x:v>
      </x:c>
      <x:c r="F1356" t="str">
        <x:v>Bottled Water 1L</x:v>
      </x:c>
      <x:c r="G1356" t="str">
        <x:v>Drink</x:v>
      </x:c>
      <x:c r="H1356" t="n">
        <x:v>3</x:v>
      </x:c>
      <x:c r="I1356" s="14" t="n">
        <x:v>35</x:v>
      </x:c>
      <x:c r="J1356" s="14" t="n">
        <x:v>105</x:v>
      </x:c>
      <x:c r="K1356" t="str">
        <x:v>DEMO / SIMULATED</x:v>
      </x:c>
    </x:row>
    <x:row r="1357">
      <x:c r="A1357" t="str">
        <x:v>JFD-20241018-0766</x:v>
      </x:c>
      <x:c r="B1357" s="11" t="n">
        <x:v>45583.76597222222</x:v>
      </x:c>
      <x:c r="C1357" s="13" t="n">
        <x:v>0.7659722222222223</x:v>
      </x:c>
      <x:c r="D1357" t="str">
        <x:v>Birtamode</x:v>
      </x:c>
      <x:c r="E1357" t="str">
        <x:v>The Underground Cafe &amp; Restaurant</x:v>
      </x:c>
      <x:c r="F1357" t="str">
        <x:v>Coca-Cola 500ml</x:v>
      </x:c>
      <x:c r="G1357" t="str">
        <x:v>Drink</x:v>
      </x:c>
      <x:c r="H1357" t="n">
        <x:v>1</x:v>
      </x:c>
      <x:c r="I1357" s="14" t="n">
        <x:v>90</x:v>
      </x:c>
      <x:c r="J1357" s="14" t="n">
        <x:v>90</x:v>
      </x:c>
      <x:c r="K1357" t="str">
        <x:v>DEMO / SIMULATED</x:v>
      </x:c>
    </x:row>
    <x:row r="1358">
      <x:c r="A1358" t="str">
        <x:v>JFD-20230730-0767</x:v>
      </x:c>
      <x:c r="B1358" s="11" t="n">
        <x:v>45137.697916666664</x:v>
      </x:c>
      <x:c r="C1358" s="13" t="n">
        <x:v>0.6979166666666666</x:v>
      </x:c>
      <x:c r="D1358" t="str">
        <x:v>Damak</x:v>
      </x:c>
      <x:c r="E1358" t="str">
        <x:v>Milan’s Bakery</x:v>
      </x:c>
      <x:c r="F1358" t="str">
        <x:v>Bottled Water 1L</x:v>
      </x:c>
      <x:c r="G1358" t="str">
        <x:v>Drink</x:v>
      </x:c>
      <x:c r="H1358" t="n">
        <x:v>1</x:v>
      </x:c>
      <x:c r="I1358" s="14" t="n">
        <x:v>35</x:v>
      </x:c>
      <x:c r="J1358" s="14" t="n">
        <x:v>35</x:v>
      </x:c>
      <x:c r="K1358" t="str">
        <x:v>DEMO / SIMULATED</x:v>
      </x:c>
    </x:row>
    <x:row r="1359">
      <x:c r="A1359" t="str">
        <x:v>JFD-20230730-0767</x:v>
      </x:c>
      <x:c r="B1359" s="11" t="n">
        <x:v>45137.544444444444</x:v>
      </x:c>
      <x:c r="C1359" s="13" t="n">
        <x:v>0.5444444444444444</x:v>
      </x:c>
      <x:c r="D1359" t="str">
        <x:v>Damak</x:v>
      </x:c>
      <x:c r="E1359" t="str">
        <x:v>Milan’s Bakery</x:v>
      </x:c>
      <x:c r="F1359" t="str">
        <x:v>Coca-Cola 500ml</x:v>
      </x:c>
      <x:c r="G1359" t="str">
        <x:v>Drink</x:v>
      </x:c>
      <x:c r="H1359" t="n">
        <x:v>3</x:v>
      </x:c>
      <x:c r="I1359" s="14" t="n">
        <x:v>80</x:v>
      </x:c>
      <x:c r="J1359" s="14" t="n">
        <x:v>240</x:v>
      </x:c>
      <x:c r="K1359" t="str">
        <x:v>DEMO / SIMULATED</x:v>
      </x:c>
    </x:row>
    <x:row r="1360">
      <x:c r="A1360" t="str">
        <x:v>JFD-20241112-0768</x:v>
      </x:c>
      <x:c r="B1360" s="11" t="n">
        <x:v>45608.73541666667</x:v>
      </x:c>
      <x:c r="C1360" s="13" t="n">
        <x:v>0.7354166666666667</x:v>
      </x:c>
      <x:c r="D1360" t="str">
        <x:v>Damak</x:v>
      </x:c>
      <x:c r="E1360" t="str">
        <x:v>Milan’s Bakery</x:v>
      </x:c>
      <x:c r="F1360" t="str">
        <x:v>Bottled Water 1L</x:v>
      </x:c>
      <x:c r="G1360" t="str">
        <x:v>Drink</x:v>
      </x:c>
      <x:c r="H1360" t="n">
        <x:v>1</x:v>
      </x:c>
      <x:c r="I1360" s="14" t="n">
        <x:v>35</x:v>
      </x:c>
      <x:c r="J1360" s="14" t="n">
        <x:v>35</x:v>
      </x:c>
      <x:c r="K1360" t="str">
        <x:v>DEMO / SIMULATED</x:v>
      </x:c>
    </x:row>
    <x:row r="1361">
      <x:c r="A1361" t="str">
        <x:v>JFD-20241112-0768</x:v>
      </x:c>
      <x:c r="B1361" s="11" t="n">
        <x:v>45608.67152777778</x:v>
      </x:c>
      <x:c r="C1361" s="13" t="n">
        <x:v>0.6715277777777777</x:v>
      </x:c>
      <x:c r="D1361" t="str">
        <x:v>Damak</x:v>
      </x:c>
      <x:c r="E1361" t="str">
        <x:v>Milan’s Bakery</x:v>
      </x:c>
      <x:c r="F1361" t="str">
        <x:v>Chocolate Cake</x:v>
      </x:c>
      <x:c r="G1361" t="str">
        <x:v>Food</x:v>
      </x:c>
      <x:c r="H1361" t="n">
        <x:v>2</x:v>
      </x:c>
      <x:c r="I1361" s="14" t="n">
        <x:v>310</x:v>
      </x:c>
      <x:c r="J1361" s="14" t="n">
        <x:v>620</x:v>
      </x:c>
      <x:c r="K1361" t="str">
        <x:v>DEMO / SIMULATED</x:v>
      </x:c>
    </x:row>
    <x:row r="1362">
      <x:c r="A1362" t="str">
        <x:v>JFD-20260321-0769</x:v>
      </x:c>
      <x:c r="B1362" s="11" t="n">
        <x:v>46102.529861111114</x:v>
      </x:c>
      <x:c r="C1362" s="13" t="n">
        <x:v>0.5298611111111111</x:v>
      </x:c>
      <x:c r="D1362" t="str">
        <x:v>Birtamode</x:v>
      </x:c>
      <x:c r="E1362" t="str">
        <x:v>The Underground Cafe &amp; Restaurant</x:v>
      </x:c>
      <x:c r="F1362" t="str">
        <x:v>Coca-Cola 500ml</x:v>
      </x:c>
      <x:c r="G1362" t="str">
        <x:v>Drink</x:v>
      </x:c>
      <x:c r="H1362" t="n">
        <x:v>2</x:v>
      </x:c>
      <x:c r="I1362" s="14" t="n">
        <x:v>100</x:v>
      </x:c>
      <x:c r="J1362" s="14" t="n">
        <x:v>200</x:v>
      </x:c>
      <x:c r="K1362" t="str">
        <x:v>DEMO / SIMULATED</x:v>
      </x:c>
    </x:row>
    <x:row r="1363">
      <x:c r="A1363" t="str">
        <x:v>JFD-20231029-0770</x:v>
      </x:c>
      <x:c r="B1363" s="11" t="n">
        <x:v>45228.68125</x:v>
      </x:c>
      <x:c r="C1363" s="13" t="n">
        <x:v>0.68125</x:v>
      </x:c>
      <x:c r="D1363" t="str">
        <x:v>Damak</x:v>
      </x:c>
      <x:c r="E1363" t="str">
        <x:v>Milan’s Bakery</x:v>
      </x:c>
      <x:c r="F1363" t="str">
        <x:v>Bottled Water 1L</x:v>
      </x:c>
      <x:c r="G1363" t="str">
        <x:v>Drink</x:v>
      </x:c>
      <x:c r="H1363" t="n">
        <x:v>3</x:v>
      </x:c>
      <x:c r="I1363" s="14" t="n">
        <x:v>35</x:v>
      </x:c>
      <x:c r="J1363" s="14" t="n">
        <x:v>105</x:v>
      </x:c>
      <x:c r="K1363" t="str">
        <x:v>DEMO / SIMULATED</x:v>
      </x:c>
    </x:row>
    <x:row r="1364">
      <x:c r="A1364" t="str">
        <x:v>JFD-20231029-0770</x:v>
      </x:c>
      <x:c r="B1364" s="11" t="n">
        <x:v>45228.46388888889</x:v>
      </x:c>
      <x:c r="C1364" s="13" t="n">
        <x:v>0.4638888888888889</x:v>
      </x:c>
      <x:c r="D1364" t="str">
        <x:v>Damak</x:v>
      </x:c>
      <x:c r="E1364" t="str">
        <x:v>Milan’s Bakery</x:v>
      </x:c>
      <x:c r="F1364" t="str">
        <x:v>Red Velvet Cake</x:v>
      </x:c>
      <x:c r="G1364" t="str">
        <x:v>Food</x:v>
      </x:c>
      <x:c r="H1364" t="n">
        <x:v>1</x:v>
      </x:c>
      <x:c r="I1364" s="14" t="n">
        <x:v>740</x:v>
      </x:c>
      <x:c r="J1364" s="14" t="n">
        <x:v>740</x:v>
      </x:c>
      <x:c r="K1364" t="str">
        <x:v>DEMO / SIMULATED</x:v>
      </x:c>
    </x:row>
    <x:row r="1365">
      <x:c r="A1365" t="str">
        <x:v>JFD-20231029-0770</x:v>
      </x:c>
      <x:c r="B1365" s="11" t="n">
        <x:v>45228.5375</x:v>
      </x:c>
      <x:c r="C1365" s="13" t="n">
        <x:v>0.5375</x:v>
      </x:c>
      <x:c r="D1365" t="str">
        <x:v>Damak</x:v>
      </x:c>
      <x:c r="E1365" t="str">
        <x:v>Milan’s Bakery</x:v>
      </x:c>
      <x:c r="F1365" t="str">
        <x:v>Chocolate Cake</x:v>
      </x:c>
      <x:c r="G1365" t="str">
        <x:v>Food</x:v>
      </x:c>
      <x:c r="H1365" t="n">
        <x:v>3</x:v>
      </x:c>
      <x:c r="I1365" s="14" t="n">
        <x:v>285</x:v>
      </x:c>
      <x:c r="J1365" s="14" t="n">
        <x:v>855</x:v>
      </x:c>
      <x:c r="K1365" t="str">
        <x:v>DEMO / SIMULATED</x:v>
      </x:c>
    </x:row>
    <x:row r="1366">
      <x:c r="A1366" t="str">
        <x:v>JFD-20250822-0771</x:v>
      </x:c>
      <x:c r="B1366" s="11" t="n">
        <x:v>45891.69305555556</x:v>
      </x:c>
      <x:c r="C1366" s="13" t="n">
        <x:v>0.6930555555555555</x:v>
      </x:c>
      <x:c r="D1366" t="str">
        <x:v>Birtamode</x:v>
      </x:c>
      <x:c r="E1366" t="str">
        <x:v>Pizza Ghar</x:v>
      </x:c>
      <x:c r="F1366" t="str">
        <x:v>Chicken Fried Rice</x:v>
      </x:c>
      <x:c r="G1366" t="str">
        <x:v>Food</x:v>
      </x:c>
      <x:c r="H1366" t="n">
        <x:v>4</x:v>
      </x:c>
      <x:c r="I1366" s="14" t="n">
        <x:v>280</x:v>
      </x:c>
      <x:c r="J1366" s="14" t="n">
        <x:v>1120</x:v>
      </x:c>
      <x:c r="K1366" t="str">
        <x:v>DEMO / SIMULATED</x:v>
      </x:c>
    </x:row>
    <x:row r="1367">
      <x:c r="A1367" t="str">
        <x:v>JFD-20250822-0771</x:v>
      </x:c>
      <x:c r="B1367" s="11" t="n">
        <x:v>45891.67847222222</x:v>
      </x:c>
      <x:c r="C1367" s="13" t="n">
        <x:v>0.6784722222222223</x:v>
      </x:c>
      <x:c r="D1367" t="str">
        <x:v>Birtamode</x:v>
      </x:c>
      <x:c r="E1367" t="str">
        <x:v>Pizza Ghar</x:v>
      </x:c>
      <x:c r="F1367" t="str">
        <x:v>Coca-Cola 500ml</x:v>
      </x:c>
      <x:c r="G1367" t="str">
        <x:v>Drink</x:v>
      </x:c>
      <x:c r="H1367" t="n">
        <x:v>3</x:v>
      </x:c>
      <x:c r="I1367" s="14" t="n">
        <x:v>95</x:v>
      </x:c>
      <x:c r="J1367" s="14" t="n">
        <x:v>285</x:v>
      </x:c>
      <x:c r="K1367" t="str">
        <x:v>DEMO / SIMULATED</x:v>
      </x:c>
    </x:row>
    <x:row r="1368">
      <x:c r="A1368" t="str">
        <x:v>JFD-20260916-0772</x:v>
      </x:c>
      <x:c r="B1368" s="11" t="n">
        <x:v>46281.853472222225</x:v>
      </x:c>
      <x:c r="C1368" s="13" t="n">
        <x:v>0.8534722222222222</x:v>
      </x:c>
      <x:c r="D1368" t="str">
        <x:v>Birtamode</x:v>
      </x:c>
      <x:c r="E1368" t="str">
        <x:v>Pizza Ghar</x:v>
      </x:c>
      <x:c r="F1368" t="str">
        <x:v>Bottled Water 1L</x:v>
      </x:c>
      <x:c r="G1368" t="str">
        <x:v>Drink</x:v>
      </x:c>
      <x:c r="H1368" t="n">
        <x:v>3</x:v>
      </x:c>
      <x:c r="I1368" s="14" t="n">
        <x:v>40</x:v>
      </x:c>
      <x:c r="J1368" s="14" t="n">
        <x:v>120</x:v>
      </x:c>
      <x:c r="K1368" t="str">
        <x:v>DEMO / SIMULATED</x:v>
      </x:c>
    </x:row>
    <x:row r="1369">
      <x:c r="A1369" t="str">
        <x:v>JFD-20260916-0772</x:v>
      </x:c>
      <x:c r="B1369" s="11" t="n">
        <x:v>46281.78680555556</x:v>
      </x:c>
      <x:c r="C1369" s="13" t="n">
        <x:v>0.7868055555555555</x:v>
      </x:c>
      <x:c r="D1369" t="str">
        <x:v>Birtamode</x:v>
      </x:c>
      <x:c r="E1369" t="str">
        <x:v>Pizza Ghar</x:v>
      </x:c>
      <x:c r="F1369" t="str">
        <x:v>Chicken BBQ Feast Pizza</x:v>
      </x:c>
      <x:c r="G1369" t="str">
        <x:v>Food</x:v>
      </x:c>
      <x:c r="H1369" t="n">
        <x:v>2</x:v>
      </x:c>
      <x:c r="I1369" s="14" t="n">
        <x:v>580</x:v>
      </x:c>
      <x:c r="J1369" s="14" t="n">
        <x:v>1160</x:v>
      </x:c>
      <x:c r="K1369" t="str">
        <x:v>DEMO / SIMULATED</x:v>
      </x:c>
    </x:row>
    <x:row r="1370">
      <x:c r="A1370" t="str">
        <x:v>JFD-20260916-0772</x:v>
      </x:c>
      <x:c r="B1370" s="11" t="n">
        <x:v>46281.57847222222</x:v>
      </x:c>
      <x:c r="C1370" s="13" t="n">
        <x:v>0.5784722222222223</x:v>
      </x:c>
      <x:c r="D1370" t="str">
        <x:v>Birtamode</x:v>
      </x:c>
      <x:c r="E1370" t="str">
        <x:v>Pizza Ghar</x:v>
      </x:c>
      <x:c r="F1370" t="str">
        <x:v>Egg Fried Rice</x:v>
      </x:c>
      <x:c r="G1370" t="str">
        <x:v>Food</x:v>
      </x:c>
      <x:c r="H1370" t="n">
        <x:v>3</x:v>
      </x:c>
      <x:c r="I1370" s="14" t="n">
        <x:v>270</x:v>
      </x:c>
      <x:c r="J1370" s="14" t="n">
        <x:v>810</x:v>
      </x:c>
      <x:c r="K1370" t="str">
        <x:v>DEMO / SIMULATED</x:v>
      </x:c>
    </x:row>
    <x:row r="1371">
      <x:c r="A1371" t="str">
        <x:v>JFD-20240629-0773</x:v>
      </x:c>
      <x:c r="B1371" s="11" t="n">
        <x:v>45472.7625</x:v>
      </x:c>
      <x:c r="C1371" s="13" t="n">
        <x:v>0.7625</x:v>
      </x:c>
      <x:c r="D1371" t="str">
        <x:v>Damak</x:v>
      </x:c>
      <x:c r="E1371" t="str">
        <x:v>Late Night Cravings</x:v>
      </x:c>
      <x:c r="F1371" t="str">
        <x:v>Veg Fry Rice</x:v>
      </x:c>
      <x:c r="G1371" t="str">
        <x:v>Food</x:v>
      </x:c>
      <x:c r="H1371" t="n">
        <x:v>3</x:v>
      </x:c>
      <x:c r="I1371" s="14" t="n">
        <x:v>140</x:v>
      </x:c>
      <x:c r="J1371" s="14" t="n">
        <x:v>420</x:v>
      </x:c>
      <x:c r="K1371" t="str">
        <x:v>DEMO / SIMULATED</x:v>
      </x:c>
    </x:row>
    <x:row r="1372">
      <x:c r="A1372" t="str">
        <x:v>JFD-20240629-0773</x:v>
      </x:c>
      <x:c r="B1372" s="11" t="n">
        <x:v>45472.63888888889</x:v>
      </x:c>
      <x:c r="C1372" s="13" t="n">
        <x:v>0.6388888888888888</x:v>
      </x:c>
      <x:c r="D1372" t="str">
        <x:v>Damak</x:v>
      </x:c>
      <x:c r="E1372" t="str">
        <x:v>Late Night Cravings</x:v>
      </x:c>
      <x:c r="F1372" t="str">
        <x:v>Egg Fry Rice</x:v>
      </x:c>
      <x:c r="G1372" t="str">
        <x:v>Food</x:v>
      </x:c>
      <x:c r="H1372" t="n">
        <x:v>1</x:v>
      </x:c>
      <x:c r="I1372" s="14" t="n">
        <x:v>175</x:v>
      </x:c>
      <x:c r="J1372" s="14" t="n">
        <x:v>175</x:v>
      </x:c>
      <x:c r="K1372" t="str">
        <x:v>DEMO / SIMULATED</x:v>
      </x:c>
    </x:row>
    <x:row r="1373">
      <x:c r="A1373" t="str">
        <x:v>JFD-20250407-0774</x:v>
      </x:c>
      <x:c r="B1373" s="11" t="n">
        <x:v>45754.82986111111</x:v>
      </x:c>
      <x:c r="C1373" s="13" t="n">
        <x:v>0.8298611111111112</x:v>
      </x:c>
      <x:c r="D1373" t="str">
        <x:v>Birtamode</x:v>
      </x:c>
      <x:c r="E1373" t="str">
        <x:v>Pizza Ghar</x:v>
      </x:c>
      <x:c r="F1373" t="str">
        <x:v>Chicken Fried Rice</x:v>
      </x:c>
      <x:c r="G1373" t="str">
        <x:v>Food</x:v>
      </x:c>
      <x:c r="H1373" t="n">
        <x:v>4</x:v>
      </x:c>
      <x:c r="I1373" s="14" t="n">
        <x:v>280</x:v>
      </x:c>
      <x:c r="J1373" s="14" t="n">
        <x:v>1120</x:v>
      </x:c>
      <x:c r="K1373" t="str">
        <x:v>DEMO / SIMULATED</x:v>
      </x:c>
    </x:row>
    <x:row r="1374">
      <x:c r="A1374" t="str">
        <x:v>JFD-20250320-0775</x:v>
      </x:c>
      <x:c r="B1374" s="11" t="n">
        <x:v>45736.47986111111</x:v>
      </x:c>
      <x:c r="C1374" s="13" t="n">
        <x:v>0.4798611111111111</x:v>
      </x:c>
      <x:c r="D1374" t="str">
        <x:v>Birtamode</x:v>
      </x:c>
      <x:c r="E1374" t="str">
        <x:v>The Underground Cafe &amp; Restaurant</x:v>
      </x:c>
      <x:c r="F1374" t="str">
        <x:v>Veg Pakauda</x:v>
      </x:c>
      <x:c r="G1374" t="str">
        <x:v>Food</x:v>
      </x:c>
      <x:c r="H1374" t="n">
        <x:v>4</x:v>
      </x:c>
      <x:c r="I1374" s="14" t="n">
        <x:v>165</x:v>
      </x:c>
      <x:c r="J1374" s="14" t="n">
        <x:v>660</x:v>
      </x:c>
      <x:c r="K1374" t="str">
        <x:v>DEMO / SIMULATED</x:v>
      </x:c>
    </x:row>
    <x:row r="1375">
      <x:c r="A1375" t="str">
        <x:v>JFD-20250320-0775</x:v>
      </x:c>
      <x:c r="B1375" s="11" t="n">
        <x:v>45736.75833333333</x:v>
      </x:c>
      <x:c r="C1375" s="13" t="n">
        <x:v>0.7583333333333333</x:v>
      </x:c>
      <x:c r="D1375" t="str">
        <x:v>Birtamode</x:v>
      </x:c>
      <x:c r="E1375" t="str">
        <x:v>The Underground Cafe &amp; Restaurant</x:v>
      </x:c>
      <x:c r="F1375" t="str">
        <x:v>Bottled Water 1L</x:v>
      </x:c>
      <x:c r="G1375" t="str">
        <x:v>Drink</x:v>
      </x:c>
      <x:c r="H1375" t="n">
        <x:v>2</x:v>
      </x:c>
      <x:c r="I1375" s="14" t="n">
        <x:v>40</x:v>
      </x:c>
      <x:c r="J1375" s="14" t="n">
        <x:v>80</x:v>
      </x:c>
      <x:c r="K1375" t="str">
        <x:v>DEMO / SIMULATED</x:v>
      </x:c>
    </x:row>
    <x:row r="1376">
      <x:c r="A1376" t="str">
        <x:v>JFD-20251017-0776</x:v>
      </x:c>
      <x:c r="B1376" s="11" t="n">
        <x:v>45947.572916666664</x:v>
      </x:c>
      <x:c r="C1376" s="13" t="n">
        <x:v>0.5729166666666666</x:v>
      </x:c>
      <x:c r="D1376" t="str">
        <x:v>Birtamode</x:v>
      </x:c>
      <x:c r="E1376" t="str">
        <x:v>The Underground Cafe &amp; Restaurant</x:v>
      </x:c>
      <x:c r="F1376" t="str">
        <x:v>Bottled Water 1L</x:v>
      </x:c>
      <x:c r="G1376" t="str">
        <x:v>Drink</x:v>
      </x:c>
      <x:c r="H1376" t="n">
        <x:v>3</x:v>
      </x:c>
      <x:c r="I1376" s="14" t="n">
        <x:v>40</x:v>
      </x:c>
      <x:c r="J1376" s="14" t="n">
        <x:v>120</x:v>
      </x:c>
      <x:c r="K1376" t="str">
        <x:v>DEMO / SIMULATED</x:v>
      </x:c>
    </x:row>
    <x:row r="1377">
      <x:c r="A1377" t="str">
        <x:v>JFD-20251017-0776</x:v>
      </x:c>
      <x:c r="B1377" s="11" t="n">
        <x:v>45947.86041666667</x:v>
      </x:c>
      <x:c r="C1377" s="13" t="n">
        <x:v>0.8604166666666667</x:v>
      </x:c>
      <x:c r="D1377" t="str">
        <x:v>Birtamode</x:v>
      </x:c>
      <x:c r="E1377" t="str">
        <x:v>The Underground Cafe &amp; Restaurant</x:v>
      </x:c>
      <x:c r="F1377" t="str">
        <x:v>Paneer Pakauda</x:v>
      </x:c>
      <x:c r="G1377" t="str">
        <x:v>Food</x:v>
      </x:c>
      <x:c r="H1377" t="n">
        <x:v>4</x:v>
      </x:c>
      <x:c r="I1377" s="14" t="n">
        <x:v>210</x:v>
      </x:c>
      <x:c r="J1377" s="14" t="n">
        <x:v>840</x:v>
      </x:c>
      <x:c r="K1377" t="str">
        <x:v>DEMO / SIMULATED</x:v>
      </x:c>
    </x:row>
    <x:row r="1378">
      <x:c r="A1378" t="str">
        <x:v>JFD-20260324-0777</x:v>
      </x:c>
      <x:c r="B1378" s="11" t="n">
        <x:v>46105.77638888889</x:v>
      </x:c>
      <x:c r="C1378" s="13" t="n">
        <x:v>0.7763888888888889</x:v>
      </x:c>
      <x:c r="D1378" t="str">
        <x:v>Damak</x:v>
      </x:c>
      <x:c r="E1378" t="str">
        <x:v>Late Night Cravings</x:v>
      </x:c>
      <x:c r="F1378" t="str">
        <x:v>Egg Fry Rice</x:v>
      </x:c>
      <x:c r="G1378" t="str">
        <x:v>Food</x:v>
      </x:c>
      <x:c r="H1378" t="n">
        <x:v>2</x:v>
      </x:c>
      <x:c r="I1378" s="14" t="n">
        <x:v>200</x:v>
      </x:c>
      <x:c r="J1378" s="14" t="n">
        <x:v>400</x:v>
      </x:c>
      <x:c r="K1378" t="str">
        <x:v>DEMO / SIMULATED</x:v>
      </x:c>
    </x:row>
    <x:row r="1379">
      <x:c r="A1379" t="str">
        <x:v>JFD-20260324-0777</x:v>
      </x:c>
      <x:c r="B1379" s="11" t="n">
        <x:v>46105.75</x:v>
      </x:c>
      <x:c r="C1379" s="13" t="n">
        <x:v>0.75</x:v>
      </x:c>
      <x:c r="D1379" t="str">
        <x:v>Damak</x:v>
      </x:c>
      <x:c r="E1379" t="str">
        <x:v>Late Night Cravings</x:v>
      </x:c>
      <x:c r="F1379" t="str">
        <x:v>Coca-Cola 500ml</x:v>
      </x:c>
      <x:c r="G1379" t="str">
        <x:v>Drink</x:v>
      </x:c>
      <x:c r="H1379" t="n">
        <x:v>1</x:v>
      </x:c>
      <x:c r="I1379" s="14" t="n">
        <x:v>100</x:v>
      </x:c>
      <x:c r="J1379" s="14" t="n">
        <x:v>100</x:v>
      </x:c>
      <x:c r="K1379" t="str">
        <x:v>DEMO / SIMULATED</x:v>
      </x:c>
    </x:row>
    <x:row r="1380">
      <x:c r="A1380" t="str">
        <x:v>JFD-20260708-0778</x:v>
      </x:c>
      <x:c r="B1380" s="11" t="n">
        <x:v>46211.83194444444</x:v>
      </x:c>
      <x:c r="C1380" s="13" t="n">
        <x:v>0.8319444444444445</x:v>
      </x:c>
      <x:c r="D1380" t="str">
        <x:v>Damak</x:v>
      </x:c>
      <x:c r="E1380" t="str">
        <x:v>Milan’s Bakery</x:v>
      </x:c>
      <x:c r="F1380" t="str">
        <x:v>Chocolate Cake</x:v>
      </x:c>
      <x:c r="G1380" t="str">
        <x:v>Food</x:v>
      </x:c>
      <x:c r="H1380" t="n">
        <x:v>1</x:v>
      </x:c>
      <x:c r="I1380" s="14" t="n">
        <x:v>350</x:v>
      </x:c>
      <x:c r="J1380" s="14" t="n">
        <x:v>350</x:v>
      </x:c>
      <x:c r="K1380" t="str">
        <x:v>DEMO / SIMULATED</x:v>
      </x:c>
    </x:row>
    <x:row r="1381">
      <x:c r="A1381" t="str">
        <x:v>JFD-20260708-0778</x:v>
      </x:c>
      <x:c r="B1381" s="11" t="n">
        <x:v>46211.83125</x:v>
      </x:c>
      <x:c r="C1381" s="13" t="n">
        <x:v>0.83125</x:v>
      </x:c>
      <x:c r="D1381" t="str">
        <x:v>Damak</x:v>
      </x:c>
      <x:c r="E1381" t="str">
        <x:v>Milan’s Bakery</x:v>
      </x:c>
      <x:c r="F1381" t="str">
        <x:v>Bottled Water 1L</x:v>
      </x:c>
      <x:c r="G1381" t="str">
        <x:v>Drink</x:v>
      </x:c>
      <x:c r="H1381" t="n">
        <x:v>4</x:v>
      </x:c>
      <x:c r="I1381" s="14" t="n">
        <x:v>40</x:v>
      </x:c>
      <x:c r="J1381" s="14" t="n">
        <x:v>160</x:v>
      </x:c>
      <x:c r="K1381" t="str">
        <x:v>DEMO / SIMULATED</x:v>
      </x:c>
    </x:row>
    <x:row r="1382">
      <x:c r="A1382" t="str">
        <x:v>JFD-20260708-0778</x:v>
      </x:c>
      <x:c r="B1382" s="11" t="n">
        <x:v>46211.63055555556</x:v>
      </x:c>
      <x:c r="C1382" s="13" t="n">
        <x:v>0.6305555555555555</x:v>
      </x:c>
      <x:c r="D1382" t="str">
        <x:v>Damak</x:v>
      </x:c>
      <x:c r="E1382" t="str">
        <x:v>Milan’s Bakery</x:v>
      </x:c>
      <x:c r="F1382" t="str">
        <x:v>Vanilla Cake</x:v>
      </x:c>
      <x:c r="G1382" t="str">
        <x:v>Food</x:v>
      </x:c>
      <x:c r="H1382" t="n">
        <x:v>2</x:v>
      </x:c>
      <x:c r="I1382" s="14" t="n">
        <x:v>300</x:v>
      </x:c>
      <x:c r="J1382" s="14" t="n">
        <x:v>600</x:v>
      </x:c>
      <x:c r="K1382" t="str">
        <x:v>DEMO / SIMULATED</x:v>
      </x:c>
    </x:row>
    <x:row r="1383">
      <x:c r="A1383" t="str">
        <x:v>JFD-20250421-0779</x:v>
      </x:c>
      <x:c r="B1383" s="11" t="n">
        <x:v>45768.78402777778</x:v>
      </x:c>
      <x:c r="C1383" s="13" t="n">
        <x:v>0.7840277777777778</x:v>
      </x:c>
      <x:c r="D1383" t="str">
        <x:v>Damak</x:v>
      </x:c>
      <x:c r="E1383" t="str">
        <x:v>Milan’s Bakery</x:v>
      </x:c>
      <x:c r="F1383" t="str">
        <x:v>Bottled Water 1L</x:v>
      </x:c>
      <x:c r="G1383" t="str">
        <x:v>Drink</x:v>
      </x:c>
      <x:c r="H1383" t="n">
        <x:v>1</x:v>
      </x:c>
      <x:c r="I1383" s="14" t="n">
        <x:v>40</x:v>
      </x:c>
      <x:c r="J1383" s="14" t="n">
        <x:v>40</x:v>
      </x:c>
      <x:c r="K1383" t="str">
        <x:v>DEMO / SIMULATED</x:v>
      </x:c>
    </x:row>
    <x:row r="1384">
      <x:c r="A1384" t="str">
        <x:v>JFD-20260107-0780</x:v>
      </x:c>
      <x:c r="B1384" s="11" t="n">
        <x:v>46029.51736111111</x:v>
      </x:c>
      <x:c r="C1384" s="13" t="n">
        <x:v>0.5173611111111112</x:v>
      </x:c>
      <x:c r="D1384" t="str">
        <x:v>Birtamode</x:v>
      </x:c>
      <x:c r="E1384" t="str">
        <x:v>The Underground Cafe &amp; Restaurant</x:v>
      </x:c>
      <x:c r="F1384" t="str">
        <x:v>Bottled Water 1L</x:v>
      </x:c>
      <x:c r="G1384" t="str">
        <x:v>Drink</x:v>
      </x:c>
      <x:c r="H1384" t="n">
        <x:v>1</x:v>
      </x:c>
      <x:c r="I1384" s="14" t="n">
        <x:v>40</x:v>
      </x:c>
      <x:c r="J1384" s="14" t="n">
        <x:v>40</x:v>
      </x:c>
      <x:c r="K1384" t="str">
        <x:v>DEMO / SIMULATED</x:v>
      </x:c>
    </x:row>
    <x:row r="1385">
      <x:c r="A1385" t="str">
        <x:v>JFD-20260107-0780</x:v>
      </x:c>
      <x:c r="B1385" s="11" t="n">
        <x:v>46029.78194444445</x:v>
      </x:c>
      <x:c r="C1385" s="13" t="n">
        <x:v>0.7819444444444444</x:v>
      </x:c>
      <x:c r="D1385" t="str">
        <x:v>Birtamode</x:v>
      </x:c>
      <x:c r="E1385" t="str">
        <x:v>The Underground Cafe &amp; Restaurant</x:v>
      </x:c>
      <x:c r="F1385" t="str">
        <x:v>Aalu Jeera</x:v>
      </x:c>
      <x:c r="G1385" t="str">
        <x:v>Food</x:v>
      </x:c>
      <x:c r="H1385" t="n">
        <x:v>2</x:v>
      </x:c>
      <x:c r="I1385" s="14" t="n">
        <x:v>155</x:v>
      </x:c>
      <x:c r="J1385" s="14" t="n">
        <x:v>310</x:v>
      </x:c>
      <x:c r="K1385" t="str">
        <x:v>DEMO / SIMULATED</x:v>
      </x:c>
    </x:row>
    <x:row r="1386">
      <x:c r="A1386" t="str">
        <x:v>JFD-20250613-0781</x:v>
      </x:c>
      <x:c r="B1386" s="11" t="n">
        <x:v>45821.85902777778</x:v>
      </x:c>
      <x:c r="C1386" s="13" t="n">
        <x:v>0.8590277777777777</x:v>
      </x:c>
      <x:c r="D1386" t="str">
        <x:v>Damak</x:v>
      </x:c>
      <x:c r="E1386" t="str">
        <x:v>Milan’s Bakery</x:v>
      </x:c>
      <x:c r="F1386" t="str">
        <x:v>Chocolate Cake</x:v>
      </x:c>
      <x:c r="G1386" t="str">
        <x:v>Food</x:v>
      </x:c>
      <x:c r="H1386" t="n">
        <x:v>1</x:v>
      </x:c>
      <x:c r="I1386" s="14" t="n">
        <x:v>330</x:v>
      </x:c>
      <x:c r="J1386" s="14" t="n">
        <x:v>330</x:v>
      </x:c>
      <x:c r="K1386" t="str">
        <x:v>DEMO / SIMULATED</x:v>
      </x:c>
    </x:row>
    <x:row r="1387">
      <x:c r="A1387" t="str">
        <x:v>JFD-20250613-0781</x:v>
      </x:c>
      <x:c r="B1387" s="11" t="n">
        <x:v>45821.688888888886</x:v>
      </x:c>
      <x:c r="C1387" s="13" t="n">
        <x:v>0.6888888888888889</x:v>
      </x:c>
      <x:c r="D1387" t="str">
        <x:v>Damak</x:v>
      </x:c>
      <x:c r="E1387" t="str">
        <x:v>Milan’s Bakery</x:v>
      </x:c>
      <x:c r="F1387" t="str">
        <x:v>Red Velvet Cake</x:v>
      </x:c>
      <x:c r="G1387" t="str">
        <x:v>Food</x:v>
      </x:c>
      <x:c r="H1387" t="n">
        <x:v>2</x:v>
      </x:c>
      <x:c r="I1387" s="14" t="n">
        <x:v>845</x:v>
      </x:c>
      <x:c r="J1387" s="14" t="n">
        <x:v>1690</x:v>
      </x:c>
      <x:c r="K1387" t="str">
        <x:v>DEMO / SIMULATED</x:v>
      </x:c>
    </x:row>
    <x:row r="1388">
      <x:c r="A1388" t="str">
        <x:v>JFD-20250613-0781</x:v>
      </x:c>
      <x:c r="B1388" s="11" t="n">
        <x:v>45821.80416666667</x:v>
      </x:c>
      <x:c r="C1388" s="13" t="n">
        <x:v>0.8041666666666667</x:v>
      </x:c>
      <x:c r="D1388" t="str">
        <x:v>Damak</x:v>
      </x:c>
      <x:c r="E1388" t="str">
        <x:v>Milan’s Bakery</x:v>
      </x:c>
      <x:c r="F1388" t="str">
        <x:v>Bottled Water 1L</x:v>
      </x:c>
      <x:c r="G1388" t="str">
        <x:v>Drink</x:v>
      </x:c>
      <x:c r="H1388" t="n">
        <x:v>4</x:v>
      </x:c>
      <x:c r="I1388" s="14" t="n">
        <x:v>40</x:v>
      </x:c>
      <x:c r="J1388" s="14" t="n">
        <x:v>160</x:v>
      </x:c>
      <x:c r="K1388" t="str">
        <x:v>DEMO / SIMULATED</x:v>
      </x:c>
    </x:row>
    <x:row r="1389">
      <x:c r="A1389" t="str">
        <x:v>JFD-20260518-0782</x:v>
      </x:c>
      <x:c r="B1389" s="11" t="n">
        <x:v>46160.836805555555</x:v>
      </x:c>
      <x:c r="C1389" s="13" t="n">
        <x:v>0.8368055555555556</x:v>
      </x:c>
      <x:c r="D1389" t="str">
        <x:v>Damak</x:v>
      </x:c>
      <x:c r="E1389" t="str">
        <x:v>Late Night Cravings</x:v>
      </x:c>
      <x:c r="F1389" t="str">
        <x:v>Mix Fry Rice</x:v>
      </x:c>
      <x:c r="G1389" t="str">
        <x:v>Food</x:v>
      </x:c>
      <x:c r="H1389" t="n">
        <x:v>2</x:v>
      </x:c>
      <x:c r="I1389" s="14" t="n">
        <x:v>280</x:v>
      </x:c>
      <x:c r="J1389" s="14" t="n">
        <x:v>560</x:v>
      </x:c>
      <x:c r="K1389" t="str">
        <x:v>DEMO / SIMULATED</x:v>
      </x:c>
    </x:row>
    <x:row r="1390">
      <x:c r="A1390" t="str">
        <x:v>JFD-20251111-0783</x:v>
      </x:c>
      <x:c r="B1390" s="11" t="n">
        <x:v>45972.80972222222</x:v>
      </x:c>
      <x:c r="C1390" s="13" t="n">
        <x:v>0.8097222222222222</x:v>
      </x:c>
      <x:c r="D1390" t="str">
        <x:v>Damak</x:v>
      </x:c>
      <x:c r="E1390" t="str">
        <x:v>Late Night Cravings</x:v>
      </x:c>
      <x:c r="F1390" t="str">
        <x:v>Mix Fry Rice</x:v>
      </x:c>
      <x:c r="G1390" t="str">
        <x:v>Food</x:v>
      </x:c>
      <x:c r="H1390" t="n">
        <x:v>2</x:v>
      </x:c>
      <x:c r="I1390" s="14" t="n">
        <x:v>265</x:v>
      </x:c>
      <x:c r="J1390" s="14" t="n">
        <x:v>530</x:v>
      </x:c>
      <x:c r="K1390" t="str">
        <x:v>DEMO / SIMULATED</x:v>
      </x:c>
    </x:row>
    <x:row r="1391">
      <x:c r="A1391" t="str">
        <x:v>JFD-20250622-0784</x:v>
      </x:c>
      <x:c r="B1391" s="11" t="n">
        <x:v>45830.53680555556</x:v>
      </x:c>
      <x:c r="C1391" s="13" t="n">
        <x:v>0.5368055555555555</x:v>
      </x:c>
      <x:c r="D1391" t="str">
        <x:v>Damak</x:v>
      </x:c>
      <x:c r="E1391" t="str">
        <x:v>Late Night Cravings</x:v>
      </x:c>
      <x:c r="F1391" t="str">
        <x:v>Bottled Water 1L</x:v>
      </x:c>
      <x:c r="G1391" t="str">
        <x:v>Drink</x:v>
      </x:c>
      <x:c r="H1391" t="n">
        <x:v>1</x:v>
      </x:c>
      <x:c r="I1391" s="14" t="n">
        <x:v>40</x:v>
      </x:c>
      <x:c r="J1391" s="14" t="n">
        <x:v>40</x:v>
      </x:c>
      <x:c r="K1391" t="str">
        <x:v>DEMO / SIMULATED</x:v>
      </x:c>
    </x:row>
    <x:row r="1392">
      <x:c r="A1392" t="str">
        <x:v>JFD-20240125-0785</x:v>
      </x:c>
      <x:c r="B1392" s="11" t="n">
        <x:v>45316.81319444445</x:v>
      </x:c>
      <x:c r="C1392" s="13" t="n">
        <x:v>0.8131944444444444</x:v>
      </x:c>
      <x:c r="D1392" t="str">
        <x:v>Birtamode</x:v>
      </x:c>
      <x:c r="E1392" t="str">
        <x:v>The Underground Cafe &amp; Restaurant</x:v>
      </x:c>
      <x:c r="F1392" t="str">
        <x:v>Coca-Cola 500ml</x:v>
      </x:c>
      <x:c r="G1392" t="str">
        <x:v>Drink</x:v>
      </x:c>
      <x:c r="H1392" t="n">
        <x:v>1</x:v>
      </x:c>
      <x:c r="I1392" s="14" t="n">
        <x:v>90</x:v>
      </x:c>
      <x:c r="J1392" s="14" t="n">
        <x:v>90</x:v>
      </x:c>
      <x:c r="K1392" t="str">
        <x:v>DEMO / SIMULATED</x:v>
      </x:c>
    </x:row>
    <x:row r="1393">
      <x:c r="A1393" t="str">
        <x:v>JFD-20240125-0785</x:v>
      </x:c>
      <x:c r="B1393" s="11" t="n">
        <x:v>45316.41805555556</x:v>
      </x:c>
      <x:c r="C1393" s="13" t="n">
        <x:v>0.41805555555555557</x:v>
      </x:c>
      <x:c r="D1393" t="str">
        <x:v>Birtamode</x:v>
      </x:c>
      <x:c r="E1393" t="str">
        <x:v>The Underground Cafe &amp; Restaurant</x:v>
      </x:c>
      <x:c r="F1393" t="str">
        <x:v>Veg Pakauda</x:v>
      </x:c>
      <x:c r="G1393" t="str">
        <x:v>Food</x:v>
      </x:c>
      <x:c r="H1393" t="n">
        <x:v>1</x:v>
      </x:c>
      <x:c r="I1393" s="14" t="n">
        <x:v>155</x:v>
      </x:c>
      <x:c r="J1393" s="14" t="n">
        <x:v>155</x:v>
      </x:c>
      <x:c r="K1393" t="str">
        <x:v>DEMO / SIMULATED</x:v>
      </x:c>
    </x:row>
    <x:row r="1394">
      <x:c r="A1394" t="str">
        <x:v>JFD-20240125-0785</x:v>
      </x:c>
      <x:c r="B1394" s="11" t="n">
        <x:v>45316.47152777778</x:v>
      </x:c>
      <x:c r="C1394" s="13" t="n">
        <x:v>0.47152777777777777</x:v>
      </x:c>
      <x:c r="D1394" t="str">
        <x:v>Birtamode</x:v>
      </x:c>
      <x:c r="E1394" t="str">
        <x:v>The Underground Cafe &amp; Restaurant</x:v>
      </x:c>
      <x:c r="F1394" t="str">
        <x:v>Paneer Pakauda</x:v>
      </x:c>
      <x:c r="G1394" t="str">
        <x:v>Food</x:v>
      </x:c>
      <x:c r="H1394" t="n">
        <x:v>3</x:v>
      </x:c>
      <x:c r="I1394" s="14" t="n">
        <x:v>200</x:v>
      </x:c>
      <x:c r="J1394" s="14" t="n">
        <x:v>600</x:v>
      </x:c>
      <x:c r="K1394" t="str">
        <x:v>DEMO / SIMULATED</x:v>
      </x:c>
    </x:row>
    <x:row r="1395">
      <x:c r="A1395" t="str">
        <x:v>JFD-20230506-0786</x:v>
      </x:c>
      <x:c r="B1395" s="11" t="n">
        <x:v>45052.6875</x:v>
      </x:c>
      <x:c r="C1395" s="13" t="n">
        <x:v>0.6875</x:v>
      </x:c>
      <x:c r="D1395" t="str">
        <x:v>Damak</x:v>
      </x:c>
      <x:c r="E1395" t="str">
        <x:v>Milan’s Bakery</x:v>
      </x:c>
      <x:c r="F1395" t="str">
        <x:v>Bottled Water 1L</x:v>
      </x:c>
      <x:c r="G1395" t="str">
        <x:v>Drink</x:v>
      </x:c>
      <x:c r="H1395" t="n">
        <x:v>3</x:v>
      </x:c>
      <x:c r="I1395" s="14" t="n">
        <x:v>35</x:v>
      </x:c>
      <x:c r="J1395" s="14" t="n">
        <x:v>105</x:v>
      </x:c>
      <x:c r="K1395" t="str">
        <x:v>DEMO / SIMULATED</x:v>
      </x:c>
    </x:row>
    <x:row r="1396">
      <x:c r="A1396" t="str">
        <x:v>JFD-20260102-0787</x:v>
      </x:c>
      <x:c r="B1396" s="11" t="n">
        <x:v>46024.79861111111</x:v>
      </x:c>
      <x:c r="C1396" s="13" t="n">
        <x:v>0.7986111111111112</x:v>
      </x:c>
      <x:c r="D1396" t="str">
        <x:v>Birtamode</x:v>
      </x:c>
      <x:c r="E1396" t="str">
        <x:v>The Underground Cafe &amp; Restaurant</x:v>
      </x:c>
      <x:c r="F1396" t="str">
        <x:v>Bottled Water 1L</x:v>
      </x:c>
      <x:c r="G1396" t="str">
        <x:v>Drink</x:v>
      </x:c>
      <x:c r="H1396" t="n">
        <x:v>1</x:v>
      </x:c>
      <x:c r="I1396" s="14" t="n">
        <x:v>40</x:v>
      </x:c>
      <x:c r="J1396" s="14" t="n">
        <x:v>40</x:v>
      </x:c>
      <x:c r="K1396" t="str">
        <x:v>DEMO / SIMULATED</x:v>
      </x:c>
    </x:row>
    <x:row r="1397">
      <x:c r="A1397" t="str">
        <x:v>JFD-20240923-0788</x:v>
      </x:c>
      <x:c r="B1397" s="11" t="n">
        <x:v>45558.725694444445</x:v>
      </x:c>
      <x:c r="C1397" s="13" t="n">
        <x:v>0.7256944444444444</x:v>
      </x:c>
      <x:c r="D1397" t="str">
        <x:v>Damak</x:v>
      </x:c>
      <x:c r="E1397" t="str">
        <x:v>Late Night Cravings</x:v>
      </x:c>
      <x:c r="F1397" t="str">
        <x:v>Veg Fry Rice</x:v>
      </x:c>
      <x:c r="G1397" t="str">
        <x:v>Food</x:v>
      </x:c>
      <x:c r="H1397" t="n">
        <x:v>4</x:v>
      </x:c>
      <x:c r="I1397" s="14" t="n">
        <x:v>140</x:v>
      </x:c>
      <x:c r="J1397" s="14" t="n">
        <x:v>560</x:v>
      </x:c>
      <x:c r="K1397" t="str">
        <x:v>DEMO / SIMULATED</x:v>
      </x:c>
    </x:row>
    <x:row r="1398">
      <x:c r="A1398" t="str">
        <x:v>JFD-20241002-0789</x:v>
      </x:c>
      <x:c r="B1398" s="11" t="n">
        <x:v>45567.46875</x:v>
      </x:c>
      <x:c r="C1398" s="13" t="n">
        <x:v>0.46875</x:v>
      </x:c>
      <x:c r="D1398" t="str">
        <x:v>Damak</x:v>
      </x:c>
      <x:c r="E1398" t="str">
        <x:v>Milan’s Bakery</x:v>
      </x:c>
      <x:c r="F1398" t="str">
        <x:v>Chocolate Cake</x:v>
      </x:c>
      <x:c r="G1398" t="str">
        <x:v>Food</x:v>
      </x:c>
      <x:c r="H1398" t="n">
        <x:v>1</x:v>
      </x:c>
      <x:c r="I1398" s="14" t="n">
        <x:v>310</x:v>
      </x:c>
      <x:c r="J1398" s="14" t="n">
        <x:v>310</x:v>
      </x:c>
      <x:c r="K1398" t="str">
        <x:v>DEMO / SIMULATED</x:v>
      </x:c>
    </x:row>
    <x:row r="1399">
      <x:c r="A1399" t="str">
        <x:v>JFD-20240624-0790</x:v>
      </x:c>
      <x:c r="B1399" s="11" t="n">
        <x:v>45467.54375</x:v>
      </x:c>
      <x:c r="C1399" s="13" t="n">
        <x:v>0.54375</x:v>
      </x:c>
      <x:c r="D1399" t="str">
        <x:v>Birtamode</x:v>
      </x:c>
      <x:c r="E1399" t="str">
        <x:v>The Underground Cafe &amp; Restaurant</x:v>
      </x:c>
      <x:c r="F1399" t="str">
        <x:v>Bottled Water 1L</x:v>
      </x:c>
      <x:c r="G1399" t="str">
        <x:v>Drink</x:v>
      </x:c>
      <x:c r="H1399" t="n">
        <x:v>1</x:v>
      </x:c>
      <x:c r="I1399" s="14" t="n">
        <x:v>35</x:v>
      </x:c>
      <x:c r="J1399" s="14" t="n">
        <x:v>35</x:v>
      </x:c>
      <x:c r="K1399" t="str">
        <x:v>DEMO / SIMULATED</x:v>
      </x:c>
    </x:row>
    <x:row r="1400">
      <x:c r="A1400" t="str">
        <x:v>JFD-20240624-0790</x:v>
      </x:c>
      <x:c r="B1400" s="11" t="n">
        <x:v>45467.78333333333</x:v>
      </x:c>
      <x:c r="C1400" s="13" t="n">
        <x:v>0.7833333333333333</x:v>
      </x:c>
      <x:c r="D1400" t="str">
        <x:v>Birtamode</x:v>
      </x:c>
      <x:c r="E1400" t="str">
        <x:v>The Underground Cafe &amp; Restaurant</x:v>
      </x:c>
      <x:c r="F1400" t="str">
        <x:v>Veg Pakauda</x:v>
      </x:c>
      <x:c r="G1400" t="str">
        <x:v>Food</x:v>
      </x:c>
      <x:c r="H1400" t="n">
        <x:v>3</x:v>
      </x:c>
      <x:c r="I1400" s="14" t="n">
        <x:v>155</x:v>
      </x:c>
      <x:c r="J1400" s="14" t="n">
        <x:v>465</x:v>
      </x:c>
      <x:c r="K1400" t="str">
        <x:v>DEMO / SIMULATED</x:v>
      </x:c>
    </x:row>
    <x:row r="1401">
      <x:c r="A1401" t="str">
        <x:v>JFD-20230129-0791</x:v>
      </x:c>
      <x:c r="B1401" s="11" t="n">
        <x:v>44955.59375</x:v>
      </x:c>
      <x:c r="C1401" s="13" t="n">
        <x:v>0.59375</x:v>
      </x:c>
      <x:c r="D1401" t="str">
        <x:v>Birtamode</x:v>
      </x:c>
      <x:c r="E1401" t="str">
        <x:v>The Underground Cafe &amp; Restaurant</x:v>
      </x:c>
      <x:c r="F1401" t="str">
        <x:v>Aalu Jeera</x:v>
      </x:c>
      <x:c r="G1401" t="str">
        <x:v>Food</x:v>
      </x:c>
      <x:c r="H1401" t="n">
        <x:v>3</x:v>
      </x:c>
      <x:c r="I1401" s="14" t="n">
        <x:v>125</x:v>
      </x:c>
      <x:c r="J1401" s="14" t="n">
        <x:v>375</x:v>
      </x:c>
      <x:c r="K1401" t="str">
        <x:v>DEMO / SIMULATED</x:v>
      </x:c>
    </x:row>
    <x:row r="1402">
      <x:c r="A1402" t="str">
        <x:v>JFD-20230129-0791</x:v>
      </x:c>
      <x:c r="B1402" s="11" t="n">
        <x:v>44955.450694444444</x:v>
      </x:c>
      <x:c r="C1402" s="13" t="n">
        <x:v>0.45069444444444445</x:v>
      </x:c>
      <x:c r="D1402" t="str">
        <x:v>Birtamode</x:v>
      </x:c>
      <x:c r="E1402" t="str">
        <x:v>The Underground Cafe &amp; Restaurant</x:v>
      </x:c>
      <x:c r="F1402" t="str">
        <x:v>Coca-Cola 500ml</x:v>
      </x:c>
      <x:c r="G1402" t="str">
        <x:v>Drink</x:v>
      </x:c>
      <x:c r="H1402" t="n">
        <x:v>2</x:v>
      </x:c>
      <x:c r="I1402" s="14" t="n">
        <x:v>80</x:v>
      </x:c>
      <x:c r="J1402" s="14" t="n">
        <x:v>160</x:v>
      </x:c>
      <x:c r="K1402" t="str">
        <x:v>DEMO / SIMULATED</x:v>
      </x:c>
    </x:row>
    <x:row r="1403">
      <x:c r="A1403" t="str">
        <x:v>JFD-20260913-0792</x:v>
      </x:c>
      <x:c r="B1403" s="11" t="n">
        <x:v>46278.67986111111</x:v>
      </x:c>
      <x:c r="C1403" s="13" t="n">
        <x:v>0.6798611111111111</x:v>
      </x:c>
      <x:c r="D1403" t="str">
        <x:v>Damak</x:v>
      </x:c>
      <x:c r="E1403" t="str">
        <x:v>Late Night Cravings</x:v>
      </x:c>
      <x:c r="F1403" t="str">
        <x:v>Coca-Cola 500ml</x:v>
      </x:c>
      <x:c r="G1403" t="str">
        <x:v>Drink</x:v>
      </x:c>
      <x:c r="H1403" t="n">
        <x:v>2</x:v>
      </x:c>
      <x:c r="I1403" s="14" t="n">
        <x:v>100</x:v>
      </x:c>
      <x:c r="J1403" s="14" t="n">
        <x:v>200</x:v>
      </x:c>
      <x:c r="K1403" t="str">
        <x:v>DEMO / SIMULATED</x:v>
      </x:c>
    </x:row>
    <x:row r="1404">
      <x:c r="A1404" t="str">
        <x:v>JFD-20260913-0792</x:v>
      </x:c>
      <x:c r="B1404" s="11" t="n">
        <x:v>46278.60833333333</x:v>
      </x:c>
      <x:c r="C1404" s="13" t="n">
        <x:v>0.6083333333333333</x:v>
      </x:c>
      <x:c r="D1404" t="str">
        <x:v>Damak</x:v>
      </x:c>
      <x:c r="E1404" t="str">
        <x:v>Late Night Cravings</x:v>
      </x:c>
      <x:c r="F1404" t="str">
        <x:v>Egg Fry Rice</x:v>
      </x:c>
      <x:c r="G1404" t="str">
        <x:v>Food</x:v>
      </x:c>
      <x:c r="H1404" t="n">
        <x:v>2</x:v>
      </x:c>
      <x:c r="I1404" s="14" t="n">
        <x:v>200</x:v>
      </x:c>
      <x:c r="J1404" s="14" t="n">
        <x:v>400</x:v>
      </x:c>
      <x:c r="K1404" t="str">
        <x:v>DEMO / SIMULATED</x:v>
      </x:c>
    </x:row>
    <x:row r="1405">
      <x:c r="A1405" t="str">
        <x:v>JFD-20250202-0793</x:v>
      </x:c>
      <x:c r="B1405" s="11" t="n">
        <x:v>45690.88333333333</x:v>
      </x:c>
      <x:c r="C1405" s="13" t="n">
        <x:v>0.8833333333333333</x:v>
      </x:c>
      <x:c r="D1405" t="str">
        <x:v>Birtamode</x:v>
      </x:c>
      <x:c r="E1405" t="str">
        <x:v>Pizza Ghar</x:v>
      </x:c>
      <x:c r="F1405" t="str">
        <x:v>Chicken Fried Rice</x:v>
      </x:c>
      <x:c r="G1405" t="str">
        <x:v>Food</x:v>
      </x:c>
      <x:c r="H1405" t="n">
        <x:v>4</x:v>
      </x:c>
      <x:c r="I1405" s="14" t="n">
        <x:v>280</x:v>
      </x:c>
      <x:c r="J1405" s="14" t="n">
        <x:v>1120</x:v>
      </x:c>
      <x:c r="K1405" t="str">
        <x:v>DEMO / SIMULATED</x:v>
      </x:c>
    </x:row>
    <x:row r="1406">
      <x:c r="A1406" t="str">
        <x:v>JFD-20230131-0794</x:v>
      </x:c>
      <x:c r="B1406" s="11" t="n">
        <x:v>44957.77569444444</x:v>
      </x:c>
      <x:c r="C1406" s="13" t="n">
        <x:v>0.7756944444444445</x:v>
      </x:c>
      <x:c r="D1406" t="str">
        <x:v>Damak</x:v>
      </x:c>
      <x:c r="E1406" t="str">
        <x:v>Milan’s Bakery</x:v>
      </x:c>
      <x:c r="F1406" t="str">
        <x:v>Black Forest Cake</x:v>
      </x:c>
      <x:c r="G1406" t="str">
        <x:v>Food</x:v>
      </x:c>
      <x:c r="H1406" t="n">
        <x:v>1</x:v>
      </x:c>
      <x:c r="I1406" s="14" t="n">
        <x:v>245</x:v>
      </x:c>
      <x:c r="J1406" s="14" t="n">
        <x:v>245</x:v>
      </x:c>
      <x:c r="K1406" t="str">
        <x:v>DEMO / SIMULATED</x:v>
      </x:c>
    </x:row>
    <x:row r="1407">
      <x:c r="A1407" t="str">
        <x:v>JFD-20230131-0794</x:v>
      </x:c>
      <x:c r="B1407" s="11" t="n">
        <x:v>44957.53680555556</x:v>
      </x:c>
      <x:c r="C1407" s="13" t="n">
        <x:v>0.5368055555555555</x:v>
      </x:c>
      <x:c r="D1407" t="str">
        <x:v>Damak</x:v>
      </x:c>
      <x:c r="E1407" t="str">
        <x:v>Milan’s Bakery</x:v>
      </x:c>
      <x:c r="F1407" t="str">
        <x:v>Chocolate Cake</x:v>
      </x:c>
      <x:c r="G1407" t="str">
        <x:v>Food</x:v>
      </x:c>
      <x:c r="H1407" t="n">
        <x:v>2</x:v>
      </x:c>
      <x:c r="I1407" s="14" t="n">
        <x:v>285</x:v>
      </x:c>
      <x:c r="J1407" s="14" t="n">
        <x:v>570</x:v>
      </x:c>
      <x:c r="K1407" t="str">
        <x:v>DEMO / SIMULATED</x:v>
      </x:c>
    </x:row>
    <x:row r="1408">
      <x:c r="A1408" t="str">
        <x:v>JFD-20240130-0795</x:v>
      </x:c>
      <x:c r="B1408" s="11" t="n">
        <x:v>45321.904861111114</x:v>
      </x:c>
      <x:c r="C1408" s="13" t="n">
        <x:v>0.9048611111111111</x:v>
      </x:c>
      <x:c r="D1408" t="str">
        <x:v>Birtamode</x:v>
      </x:c>
      <x:c r="E1408" t="str">
        <x:v>Pizza Ghar</x:v>
      </x:c>
      <x:c r="F1408" t="str">
        <x:v>Coca-Cola 500ml</x:v>
      </x:c>
      <x:c r="G1408" t="str">
        <x:v>Drink</x:v>
      </x:c>
      <x:c r="H1408" t="n">
        <x:v>1</x:v>
      </x:c>
      <x:c r="I1408" s="14" t="n">
        <x:v>90</x:v>
      </x:c>
      <x:c r="J1408" s="14" t="n">
        <x:v>90</x:v>
      </x:c>
      <x:c r="K1408" t="str">
        <x:v>DEMO / SIMULATED</x:v>
      </x:c>
    </x:row>
    <x:row r="1409">
      <x:c r="A1409" t="str">
        <x:v>JFD-20240130-0795</x:v>
      </x:c>
      <x:c r="B1409" s="11" t="n">
        <x:v>45321.4875</x:v>
      </x:c>
      <x:c r="C1409" s="13" t="n">
        <x:v>0.4875</x:v>
      </x:c>
      <x:c r="D1409" t="str">
        <x:v>Birtamode</x:v>
      </x:c>
      <x:c r="E1409" t="str">
        <x:v>Pizza Ghar</x:v>
      </x:c>
      <x:c r="F1409" t="str">
        <x:v>Chicken Fried Rice</x:v>
      </x:c>
      <x:c r="G1409" t="str">
        <x:v>Food</x:v>
      </x:c>
      <x:c r="H1409" t="n">
        <x:v>1</x:v>
      </x:c>
      <x:c r="I1409" s="14" t="n">
        <x:v>265</x:v>
      </x:c>
      <x:c r="J1409" s="14" t="n">
        <x:v>265</x:v>
      </x:c>
      <x:c r="K1409" t="str">
        <x:v>DEMO / SIMULATED</x:v>
      </x:c>
    </x:row>
    <x:row r="1410">
      <x:c r="A1410" t="str">
        <x:v>JFD-20240130-0795</x:v>
      </x:c>
      <x:c r="B1410" s="11" t="n">
        <x:v>45321.69097222222</x:v>
      </x:c>
      <x:c r="C1410" s="13" t="n">
        <x:v>0.6909722222222222</x:v>
      </x:c>
      <x:c r="D1410" t="str">
        <x:v>Birtamode</x:v>
      </x:c>
      <x:c r="E1410" t="str">
        <x:v>Pizza Ghar</x:v>
      </x:c>
      <x:c r="F1410" t="str">
        <x:v>Veg Fried Rice</x:v>
      </x:c>
      <x:c r="G1410" t="str">
        <x:v>Food</x:v>
      </x:c>
      <x:c r="H1410" t="n">
        <x:v>2</x:v>
      </x:c>
      <x:c r="I1410" s="14" t="n">
        <x:v>195</x:v>
      </x:c>
      <x:c r="J1410" s="14" t="n">
        <x:v>390</x:v>
      </x:c>
      <x:c r="K1410" t="str">
        <x:v>DEMO / SIMULATED</x:v>
      </x:c>
    </x:row>
    <x:row r="1411">
      <x:c r="A1411" t="str">
        <x:v>JFD-20260322-0796</x:v>
      </x:c>
      <x:c r="B1411" s="11" t="n">
        <x:v>46103.75208333333</x:v>
      </x:c>
      <x:c r="C1411" s="13" t="n">
        <x:v>0.7520833333333333</x:v>
      </x:c>
      <x:c r="D1411" t="str">
        <x:v>Birtamode</x:v>
      </x:c>
      <x:c r="E1411" t="str">
        <x:v>Pizza Ghar</x:v>
      </x:c>
      <x:c r="F1411" t="str">
        <x:v>Bottled Water 1L</x:v>
      </x:c>
      <x:c r="G1411" t="str">
        <x:v>Drink</x:v>
      </x:c>
      <x:c r="H1411" t="n">
        <x:v>1</x:v>
      </x:c>
      <x:c r="I1411" s="14" t="n">
        <x:v>40</x:v>
      </x:c>
      <x:c r="J1411" s="14" t="n">
        <x:v>40</x:v>
      </x:c>
      <x:c r="K1411" t="str">
        <x:v>DEMO / SIMULATED</x:v>
      </x:c>
    </x:row>
    <x:row r="1412">
      <x:c r="A1412" t="str">
        <x:v>JFD-20240320-0797</x:v>
      </x:c>
      <x:c r="B1412" s="11" t="n">
        <x:v>45371.80902777778</x:v>
      </x:c>
      <x:c r="C1412" s="13" t="n">
        <x:v>0.8090277777777778</x:v>
      </x:c>
      <x:c r="D1412" t="str">
        <x:v>Damak</x:v>
      </x:c>
      <x:c r="E1412" t="str">
        <x:v>Late Night Cravings</x:v>
      </x:c>
      <x:c r="F1412" t="str">
        <x:v>Coca-Cola 500ml</x:v>
      </x:c>
      <x:c r="G1412" t="str">
        <x:v>Drink</x:v>
      </x:c>
      <x:c r="H1412" t="n">
        <x:v>3</x:v>
      </x:c>
      <x:c r="I1412" s="14" t="n">
        <x:v>90</x:v>
      </x:c>
      <x:c r="J1412" s="14" t="n">
        <x:v>270</x:v>
      </x:c>
      <x:c r="K1412" t="str">
        <x:v>DEMO / SIMULATED</x:v>
      </x:c>
    </x:row>
    <x:row r="1413">
      <x:c r="A1413" t="str">
        <x:v>JFD-20240320-0797</x:v>
      </x:c>
      <x:c r="B1413" s="11" t="n">
        <x:v>45371.72986111111</x:v>
      </x:c>
      <x:c r="C1413" s="13" t="n">
        <x:v>0.7298611111111111</x:v>
      </x:c>
      <x:c r="D1413" t="str">
        <x:v>Damak</x:v>
      </x:c>
      <x:c r="E1413" t="str">
        <x:v>Late Night Cravings</x:v>
      </x:c>
      <x:c r="F1413" t="str">
        <x:v>Veg Fry Rice</x:v>
      </x:c>
      <x:c r="G1413" t="str">
        <x:v>Food</x:v>
      </x:c>
      <x:c r="H1413" t="n">
        <x:v>4</x:v>
      </x:c>
      <x:c r="I1413" s="14" t="n">
        <x:v>140</x:v>
      </x:c>
      <x:c r="J1413" s="14" t="n">
        <x:v>560</x:v>
      </x:c>
      <x:c r="K1413" t="str">
        <x:v>DEMO / SIMULATED</x:v>
      </x:c>
    </x:row>
    <x:row r="1414">
      <x:c r="A1414" t="str">
        <x:v>JFD-20240320-0797</x:v>
      </x:c>
      <x:c r="B1414" s="11" t="n">
        <x:v>45371.790972222225</x:v>
      </x:c>
      <x:c r="C1414" s="13" t="n">
        <x:v>0.7909722222222222</x:v>
      </x:c>
      <x:c r="D1414" t="str">
        <x:v>Damak</x:v>
      </x:c>
      <x:c r="E1414" t="str">
        <x:v>Late Night Cravings</x:v>
      </x:c>
      <x:c r="F1414" t="str">
        <x:v>Bottled Water 1L</x:v>
      </x:c>
      <x:c r="G1414" t="str">
        <x:v>Drink</x:v>
      </x:c>
      <x:c r="H1414" t="n">
        <x:v>4</x:v>
      </x:c>
      <x:c r="I1414" s="14" t="n">
        <x:v>35</x:v>
      </x:c>
      <x:c r="J1414" s="14" t="n">
        <x:v>140</x:v>
      </x:c>
      <x:c r="K1414" t="str">
        <x:v>DEMO / SIMULATED</x:v>
      </x:c>
    </x:row>
    <x:row r="1415">
      <x:c r="A1415" t="str">
        <x:v>JFD-20250618-0798</x:v>
      </x:c>
      <x:c r="B1415" s="11" t="n">
        <x:v>45826.82013888889</x:v>
      </x:c>
      <x:c r="C1415" s="13" t="n">
        <x:v>0.8201388888888889</x:v>
      </x:c>
      <x:c r="D1415" t="str">
        <x:v>Birtamode</x:v>
      </x:c>
      <x:c r="E1415" t="str">
        <x:v>The Underground Cafe &amp; Restaurant</x:v>
      </x:c>
      <x:c r="F1415" t="str">
        <x:v>Veg Pakauda</x:v>
      </x:c>
      <x:c r="G1415" t="str">
        <x:v>Food</x:v>
      </x:c>
      <x:c r="H1415" t="n">
        <x:v>3</x:v>
      </x:c>
      <x:c r="I1415" s="14" t="n">
        <x:v>165</x:v>
      </x:c>
      <x:c r="J1415" s="14" t="n">
        <x:v>495</x:v>
      </x:c>
      <x:c r="K1415" t="str">
        <x:v>DEMO / SIMULATED</x:v>
      </x:c>
    </x:row>
    <x:row r="1416">
      <x:c r="A1416" t="str">
        <x:v>JFD-20230428-0799</x:v>
      </x:c>
      <x:c r="B1416" s="11" t="n">
        <x:v>45044.49791666667</x:v>
      </x:c>
      <x:c r="C1416" s="13" t="n">
        <x:v>0.4979166666666667</x:v>
      </x:c>
      <x:c r="D1416" t="str">
        <x:v>Damak</x:v>
      </x:c>
      <x:c r="E1416" t="str">
        <x:v>Late Night Cravings</x:v>
      </x:c>
      <x:c r="F1416" t="str">
        <x:v>Bottled Water 1L</x:v>
      </x:c>
      <x:c r="G1416" t="str">
        <x:v>Drink</x:v>
      </x:c>
      <x:c r="H1416" t="n">
        <x:v>3</x:v>
      </x:c>
      <x:c r="I1416" s="14" t="n">
        <x:v>35</x:v>
      </x:c>
      <x:c r="J1416" s="14" t="n">
        <x:v>105</x:v>
      </x:c>
      <x:c r="K1416" t="str">
        <x:v>DEMO / SIMULATED</x:v>
      </x:c>
    </x:row>
    <x:row r="1417">
      <x:c r="A1417" t="str">
        <x:v>JFD-20230428-0799</x:v>
      </x:c>
      <x:c r="B1417" s="11" t="n">
        <x:v>45044.57361111111</x:v>
      </x:c>
      <x:c r="C1417" s="13" t="n">
        <x:v>0.5736111111111111</x:v>
      </x:c>
      <x:c r="D1417" t="str">
        <x:v>Damak</x:v>
      </x:c>
      <x:c r="E1417" t="str">
        <x:v>Late Night Cravings</x:v>
      </x:c>
      <x:c r="F1417" t="str">
        <x:v>Mix Fry Rice</x:v>
      </x:c>
      <x:c r="G1417" t="str">
        <x:v>Food</x:v>
      </x:c>
      <x:c r="H1417" t="n">
        <x:v>3</x:v>
      </x:c>
      <x:c r="I1417" s="14" t="n">
        <x:v>230</x:v>
      </x:c>
      <x:c r="J1417" s="14" t="n">
        <x:v>690</x:v>
      </x:c>
      <x:c r="K1417" t="str">
        <x:v>DEMO / SIMULATED</x:v>
      </x:c>
    </x:row>
    <x:row r="1418">
      <x:c r="A1418" t="str">
        <x:v>JFD-20260607-0800</x:v>
      </x:c>
      <x:c r="B1418" s="11" t="n">
        <x:v>46180.55694444444</x:v>
      </x:c>
      <x:c r="C1418" s="13" t="n">
        <x:v>0.5569444444444445</x:v>
      </x:c>
      <x:c r="D1418" t="str">
        <x:v>Birtamode</x:v>
      </x:c>
      <x:c r="E1418" t="str">
        <x:v>Pizza Ghar</x:v>
      </x:c>
      <x:c r="F1418" t="str">
        <x:v>Chicken Fried Rice</x:v>
      </x:c>
      <x:c r="G1418" t="str">
        <x:v>Food</x:v>
      </x:c>
      <x:c r="H1418" t="n">
        <x:v>4</x:v>
      </x:c>
      <x:c r="I1418" s="14" t="n">
        <x:v>300</x:v>
      </x:c>
      <x:c r="J1418" s="14" t="n">
        <x:v>1200</x:v>
      </x:c>
      <x:c r="K1418" t="str">
        <x:v>DEMO / SIMULATED</x:v>
      </x:c>
    </x:row>
    <x:row r="1419">
      <x:c r="A1419" t="str">
        <x:v>JFD-20260607-0800</x:v>
      </x:c>
      <x:c r="B1419" s="11" t="n">
        <x:v>46180.64861111111</x:v>
      </x:c>
      <x:c r="C1419" s="13" t="n">
        <x:v>0.6486111111111111</x:v>
      </x:c>
      <x:c r="D1419" t="str">
        <x:v>Birtamode</x:v>
      </x:c>
      <x:c r="E1419" t="str">
        <x:v>Pizza Ghar</x:v>
      </x:c>
      <x:c r="F1419" t="str">
        <x:v>Egg Fried Rice</x:v>
      </x:c>
      <x:c r="G1419" t="str">
        <x:v>Food</x:v>
      </x:c>
      <x:c r="H1419" t="n">
        <x:v>3</x:v>
      </x:c>
      <x:c r="I1419" s="14" t="n">
        <x:v>270</x:v>
      </x:c>
      <x:c r="J1419" s="14" t="n">
        <x:v>810</x:v>
      </x:c>
      <x:c r="K1419" t="str">
        <x:v>DEMO / SIMULATED</x:v>
      </x:c>
    </x:row>
    <x:row r="1420">
      <x:c r="A1420" t="str">
        <x:v>JFD-20240229-0801</x:v>
      </x:c>
      <x:c r="B1420" s="11" t="n">
        <x:v>45351.59027777778</x:v>
      </x:c>
      <x:c r="C1420" s="13" t="n">
        <x:v>0.5902777777777778</x:v>
      </x:c>
      <x:c r="D1420" t="str">
        <x:v>Damak</x:v>
      </x:c>
      <x:c r="E1420" t="str">
        <x:v>Milan’s Bakery</x:v>
      </x:c>
      <x:c r="F1420" t="str">
        <x:v>Chocolate Cake</x:v>
      </x:c>
      <x:c r="G1420" t="str">
        <x:v>Food</x:v>
      </x:c>
      <x:c r="H1420" t="n">
        <x:v>3</x:v>
      </x:c>
      <x:c r="I1420" s="14" t="n">
        <x:v>310</x:v>
      </x:c>
      <x:c r="J1420" s="14" t="n">
        <x:v>930</x:v>
      </x:c>
      <x:c r="K1420" t="str">
        <x:v>DEMO / SIMULATED</x:v>
      </x:c>
    </x:row>
    <x:row r="1421">
      <x:c r="A1421" t="str">
        <x:v>JFD-20240428-0802</x:v>
      </x:c>
      <x:c r="B1421" s="11" t="n">
        <x:v>45410.49097222222</x:v>
      </x:c>
      <x:c r="C1421" s="13" t="n">
        <x:v>0.4909722222222222</x:v>
      </x:c>
      <x:c r="D1421" t="str">
        <x:v>Birtamode</x:v>
      </x:c>
      <x:c r="E1421" t="str">
        <x:v>Pizza Ghar</x:v>
      </x:c>
      <x:c r="F1421" t="str">
        <x:v>Coca-Cola 500ml</x:v>
      </x:c>
      <x:c r="G1421" t="str">
        <x:v>Drink</x:v>
      </x:c>
      <x:c r="H1421" t="n">
        <x:v>3</x:v>
      </x:c>
      <x:c r="I1421" s="14" t="n">
        <x:v>90</x:v>
      </x:c>
      <x:c r="J1421" s="14" t="n">
        <x:v>270</x:v>
      </x:c>
      <x:c r="K1421" t="str">
        <x:v>DEMO / SIMULATED</x:v>
      </x:c>
    </x:row>
    <x:row r="1422">
      <x:c r="A1422" t="str">
        <x:v>JFD-20260719-0803</x:v>
      </x:c>
      <x:c r="B1422" s="11" t="n">
        <x:v>46222.479166666664</x:v>
      </x:c>
      <x:c r="C1422" s="13" t="n">
        <x:v>0.4791666666666667</x:v>
      </x:c>
      <x:c r="D1422" t="str">
        <x:v>Birtamode</x:v>
      </x:c>
      <x:c r="E1422" t="str">
        <x:v>Pizza Ghar</x:v>
      </x:c>
      <x:c r="F1422" t="str">
        <x:v>Bottled Water 1L</x:v>
      </x:c>
      <x:c r="G1422" t="str">
        <x:v>Drink</x:v>
      </x:c>
      <x:c r="H1422" t="n">
        <x:v>3</x:v>
      </x:c>
      <x:c r="I1422" s="14" t="n">
        <x:v>40</x:v>
      </x:c>
      <x:c r="J1422" s="14" t="n">
        <x:v>120</x:v>
      </x:c>
      <x:c r="K1422" t="str">
        <x:v>DEMO / SIMULATED</x:v>
      </x:c>
    </x:row>
    <x:row r="1423">
      <x:c r="A1423" t="str">
        <x:v>JFD-20230501-0804</x:v>
      </x:c>
      <x:c r="B1423" s="11" t="n">
        <x:v>45047.59444444445</x:v>
      </x:c>
      <x:c r="C1423" s="13" t="n">
        <x:v>0.5944444444444444</x:v>
      </x:c>
      <x:c r="D1423" t="str">
        <x:v>Damak</x:v>
      </x:c>
      <x:c r="E1423" t="str">
        <x:v>Late Night Cravings</x:v>
      </x:c>
      <x:c r="F1423" t="str">
        <x:v>Mix Fry Rice</x:v>
      </x:c>
      <x:c r="G1423" t="str">
        <x:v>Food</x:v>
      </x:c>
      <x:c r="H1423" t="n">
        <x:v>3</x:v>
      </x:c>
      <x:c r="I1423" s="14" t="n">
        <x:v>230</x:v>
      </x:c>
      <x:c r="J1423" s="14" t="n">
        <x:v>690</x:v>
      </x:c>
      <x:c r="K1423" t="str">
        <x:v>DEMO / SIMULATED</x:v>
      </x:c>
    </x:row>
    <x:row r="1424">
      <x:c r="A1424" t="str">
        <x:v>JFD-20230501-0804</x:v>
      </x:c>
      <x:c r="B1424" s="11" t="n">
        <x:v>45047.89166666667</x:v>
      </x:c>
      <x:c r="C1424" s="13" t="n">
        <x:v>0.8916666666666667</x:v>
      </x:c>
      <x:c r="D1424" t="str">
        <x:v>Damak</x:v>
      </x:c>
      <x:c r="E1424" t="str">
        <x:v>Late Night Cravings</x:v>
      </x:c>
      <x:c r="F1424" t="str">
        <x:v>Chicken Fry Rice</x:v>
      </x:c>
      <x:c r="G1424" t="str">
        <x:v>Food</x:v>
      </x:c>
      <x:c r="H1424" t="n">
        <x:v>1</x:v>
      </x:c>
      <x:c r="I1424" s="14" t="n">
        <x:v>180</x:v>
      </x:c>
      <x:c r="J1424" s="14" t="n">
        <x:v>180</x:v>
      </x:c>
      <x:c r="K1424" t="str">
        <x:v>DEMO / SIMULATED</x:v>
      </x:c>
    </x:row>
    <x:row r="1425">
      <x:c r="A1425" t="str">
        <x:v>JFD-20260930-0805</x:v>
      </x:c>
      <x:c r="B1425" s="11" t="n">
        <x:v>46295.71388888889</x:v>
      </x:c>
      <x:c r="C1425" s="13" t="n">
        <x:v>0.7138888888888889</x:v>
      </x:c>
      <x:c r="D1425" t="str">
        <x:v>Damak</x:v>
      </x:c>
      <x:c r="E1425" t="str">
        <x:v>Late Night Cravings</x:v>
      </x:c>
      <x:c r="F1425" t="str">
        <x:v>Mix Fry Rice</x:v>
      </x:c>
      <x:c r="G1425" t="str">
        <x:v>Food</x:v>
      </x:c>
      <x:c r="H1425" t="n">
        <x:v>1</x:v>
      </x:c>
      <x:c r="I1425" s="14" t="n">
        <x:v>280</x:v>
      </x:c>
      <x:c r="J1425" s="14" t="n">
        <x:v>280</x:v>
      </x:c>
      <x:c r="K1425" t="str">
        <x:v>DEMO / SIMULATED</x:v>
      </x:c>
    </x:row>
    <x:row r="1426">
      <x:c r="A1426" t="str">
        <x:v>JFD-20240716-0806</x:v>
      </x:c>
      <x:c r="B1426" s="11" t="n">
        <x:v>45489.68541666667</x:v>
      </x:c>
      <x:c r="C1426" s="13" t="n">
        <x:v>0.6854166666666667</x:v>
      </x:c>
      <x:c r="D1426" t="str">
        <x:v>Birtamode</x:v>
      </x:c>
      <x:c r="E1426" t="str">
        <x:v>The Underground Cafe &amp; Restaurant</x:v>
      </x:c>
      <x:c r="F1426" t="str">
        <x:v>Coca-Cola 500ml</x:v>
      </x:c>
      <x:c r="G1426" t="str">
        <x:v>Drink</x:v>
      </x:c>
      <x:c r="H1426" t="n">
        <x:v>3</x:v>
      </x:c>
      <x:c r="I1426" s="14" t="n">
        <x:v>90</x:v>
      </x:c>
      <x:c r="J1426" s="14" t="n">
        <x:v>270</x:v>
      </x:c>
      <x:c r="K1426" t="str">
        <x:v>DEMO / SIMULATED</x:v>
      </x:c>
    </x:row>
    <x:row r="1427">
      <x:c r="A1427" t="str">
        <x:v>JFD-20230622-0807</x:v>
      </x:c>
      <x:c r="B1427" s="11" t="n">
        <x:v>45099.907638888886</x:v>
      </x:c>
      <x:c r="C1427" s="13" t="n">
        <x:v>0.9076388888888889</x:v>
      </x:c>
      <x:c r="D1427" t="str">
        <x:v>Damak</x:v>
      </x:c>
      <x:c r="E1427" t="str">
        <x:v>Milan’s Bakery</x:v>
      </x:c>
      <x:c r="F1427" t="str">
        <x:v>Black Forest Cake</x:v>
      </x:c>
      <x:c r="G1427" t="str">
        <x:v>Food</x:v>
      </x:c>
      <x:c r="H1427" t="n">
        <x:v>2</x:v>
      </x:c>
      <x:c r="I1427" s="14" t="n">
        <x:v>245</x:v>
      </x:c>
      <x:c r="J1427" s="14" t="n">
        <x:v>490</x:v>
      </x:c>
      <x:c r="K1427" t="str">
        <x:v>DEMO / SIMULATED</x:v>
      </x:c>
    </x:row>
    <x:row r="1428">
      <x:c r="A1428" t="str">
        <x:v>JFD-20260103-0808</x:v>
      </x:c>
      <x:c r="B1428" s="11" t="n">
        <x:v>46025.43680555555</x:v>
      </x:c>
      <x:c r="C1428" s="13" t="n">
        <x:v>0.43680555555555556</x:v>
      </x:c>
      <x:c r="D1428" t="str">
        <x:v>Birtamode</x:v>
      </x:c>
      <x:c r="E1428" t="str">
        <x:v>The Underground Cafe &amp; Restaurant</x:v>
      </x:c>
      <x:c r="F1428" t="str">
        <x:v>Veg Pakauda</x:v>
      </x:c>
      <x:c r="G1428" t="str">
        <x:v>Food</x:v>
      </x:c>
      <x:c r="H1428" t="n">
        <x:v>3</x:v>
      </x:c>
      <x:c r="I1428" s="14" t="n">
        <x:v>175</x:v>
      </x:c>
      <x:c r="J1428" s="14" t="n">
        <x:v>525</x:v>
      </x:c>
      <x:c r="K1428" t="str">
        <x:v>DEMO / SIMULATED</x:v>
      </x:c>
    </x:row>
    <x:row r="1429">
      <x:c r="A1429" t="str">
        <x:v>JFD-20230323-0809</x:v>
      </x:c>
      <x:c r="B1429" s="11" t="n">
        <x:v>45008.813888888886</x:v>
      </x:c>
      <x:c r="C1429" s="13" t="n">
        <x:v>0.8138888888888889</x:v>
      </x:c>
      <x:c r="D1429" t="str">
        <x:v>Damak</x:v>
      </x:c>
      <x:c r="E1429" t="str">
        <x:v>Late Night Cravings</x:v>
      </x:c>
      <x:c r="F1429" t="str">
        <x:v>Mix Fry Rice</x:v>
      </x:c>
      <x:c r="G1429" t="str">
        <x:v>Food</x:v>
      </x:c>
      <x:c r="H1429" t="n">
        <x:v>1</x:v>
      </x:c>
      <x:c r="I1429" s="14" t="n">
        <x:v>230</x:v>
      </x:c>
      <x:c r="J1429" s="14" t="n">
        <x:v>230</x:v>
      </x:c>
      <x:c r="K1429" t="str">
        <x:v>DEMO / SIMULATED</x:v>
      </x:c>
    </x:row>
    <x:row r="1430">
      <x:c r="A1430" t="str">
        <x:v>JFD-20230323-0809</x:v>
      </x:c>
      <x:c r="B1430" s="11" t="n">
        <x:v>45008.52222222222</x:v>
      </x:c>
      <x:c r="C1430" s="13" t="n">
        <x:v>0.5222222222222223</x:v>
      </x:c>
      <x:c r="D1430" t="str">
        <x:v>Damak</x:v>
      </x:c>
      <x:c r="E1430" t="str">
        <x:v>Late Night Cravings</x:v>
      </x:c>
      <x:c r="F1430" t="str">
        <x:v>Chicken Fry Rice</x:v>
      </x:c>
      <x:c r="G1430" t="str">
        <x:v>Food</x:v>
      </x:c>
      <x:c r="H1430" t="n">
        <x:v>3</x:v>
      </x:c>
      <x:c r="I1430" s="14" t="n">
        <x:v>180</x:v>
      </x:c>
      <x:c r="J1430" s="14" t="n">
        <x:v>540</x:v>
      </x:c>
      <x:c r="K1430" t="str">
        <x:v>DEMO / SIMULATED</x:v>
      </x:c>
    </x:row>
    <x:row r="1431">
      <x:c r="A1431" t="str">
        <x:v>JFD-20230819-0810</x:v>
      </x:c>
      <x:c r="B1431" s="11" t="n">
        <x:v>45157.481944444444</x:v>
      </x:c>
      <x:c r="C1431" s="13" t="n">
        <x:v>0.48194444444444445</x:v>
      </x:c>
      <x:c r="D1431" t="str">
        <x:v>Birtamode</x:v>
      </x:c>
      <x:c r="E1431" t="str">
        <x:v>Pizza Ghar</x:v>
      </x:c>
      <x:c r="F1431" t="str">
        <x:v>Egg Fried Rice</x:v>
      </x:c>
      <x:c r="G1431" t="str">
        <x:v>Food</x:v>
      </x:c>
      <x:c r="H1431" t="n">
        <x:v>3</x:v>
      </x:c>
      <x:c r="I1431" s="14" t="n">
        <x:v>220</x:v>
      </x:c>
      <x:c r="J1431" s="14" t="n">
        <x:v>660</x:v>
      </x:c>
      <x:c r="K1431" t="str">
        <x:v>DEMO / SIMULATED</x:v>
      </x:c>
    </x:row>
    <x:row r="1432">
      <x:c r="A1432" t="str">
        <x:v>JFD-20230819-0810</x:v>
      </x:c>
      <x:c r="B1432" s="11" t="n">
        <x:v>45157.42361111111</x:v>
      </x:c>
      <x:c r="C1432" s="13" t="n">
        <x:v>0.4236111111111111</x:v>
      </x:c>
      <x:c r="D1432" t="str">
        <x:v>Birtamode</x:v>
      </x:c>
      <x:c r="E1432" t="str">
        <x:v>Pizza Ghar</x:v>
      </x:c>
      <x:c r="F1432" t="str">
        <x:v>Bottled Water 1L</x:v>
      </x:c>
      <x:c r="G1432" t="str">
        <x:v>Drink</x:v>
      </x:c>
      <x:c r="H1432" t="n">
        <x:v>4</x:v>
      </x:c>
      <x:c r="I1432" s="14" t="n">
        <x:v>35</x:v>
      </x:c>
      <x:c r="J1432" s="14" t="n">
        <x:v>140</x:v>
      </x:c>
      <x:c r="K1432" t="str">
        <x:v>DEMO / SIMULATED</x:v>
      </x:c>
    </x:row>
    <x:row r="1433">
      <x:c r="A1433" t="str">
        <x:v>JFD-20240818-0811</x:v>
      </x:c>
      <x:c r="B1433" s="11" t="n">
        <x:v>45522.44930555556</x:v>
      </x:c>
      <x:c r="C1433" s="13" t="n">
        <x:v>0.44930555555555557</x:v>
      </x:c>
      <x:c r="D1433" t="str">
        <x:v>Damak</x:v>
      </x:c>
      <x:c r="E1433" t="str">
        <x:v>Late Night Cravings</x:v>
      </x:c>
      <x:c r="F1433" t="str">
        <x:v>Mix Fry Rice</x:v>
      </x:c>
      <x:c r="G1433" t="str">
        <x:v>Food</x:v>
      </x:c>
      <x:c r="H1433" t="n">
        <x:v>2</x:v>
      </x:c>
      <x:c r="I1433" s="14" t="n">
        <x:v>245</x:v>
      </x:c>
      <x:c r="J1433" s="14" t="n">
        <x:v>490</x:v>
      </x:c>
      <x:c r="K1433" t="str">
        <x:v>DEMO / SIMULATED</x:v>
      </x:c>
    </x:row>
    <x:row r="1434">
      <x:c r="A1434" t="str">
        <x:v>JFD-20230417-0812</x:v>
      </x:c>
      <x:c r="B1434" s="11" t="n">
        <x:v>45033.89791666667</x:v>
      </x:c>
      <x:c r="C1434" s="13" t="n">
        <x:v>0.8979166666666667</x:v>
      </x:c>
      <x:c r="D1434" t="str">
        <x:v>Birtamode</x:v>
      </x:c>
      <x:c r="E1434" t="str">
        <x:v>Pizza Ghar</x:v>
      </x:c>
      <x:c r="F1434" t="str">
        <x:v>Veg Fried Rice</x:v>
      </x:c>
      <x:c r="G1434" t="str">
        <x:v>Food</x:v>
      </x:c>
      <x:c r="H1434" t="n">
        <x:v>3</x:v>
      </x:c>
      <x:c r="I1434" s="14" t="n">
        <x:v>180</x:v>
      </x:c>
      <x:c r="J1434" s="14" t="n">
        <x:v>540</x:v>
      </x:c>
      <x:c r="K1434" t="str">
        <x:v>DEMO / SIMULATED</x:v>
      </x:c>
    </x:row>
    <x:row r="1435">
      <x:c r="A1435" t="str">
        <x:v>JFD-20251018-0813</x:v>
      </x:c>
      <x:c r="B1435" s="11" t="n">
        <x:v>45948.61388888889</x:v>
      </x:c>
      <x:c r="C1435" s="13" t="n">
        <x:v>0.6138888888888889</x:v>
      </x:c>
      <x:c r="D1435" t="str">
        <x:v>Birtamode</x:v>
      </x:c>
      <x:c r="E1435" t="str">
        <x:v>The Underground Cafe &amp; Restaurant</x:v>
      </x:c>
      <x:c r="F1435" t="str">
        <x:v>Bottled Water 1L</x:v>
      </x:c>
      <x:c r="G1435" t="str">
        <x:v>Drink</x:v>
      </x:c>
      <x:c r="H1435" t="n">
        <x:v>1</x:v>
      </x:c>
      <x:c r="I1435" s="14" t="n">
        <x:v>40</x:v>
      </x:c>
      <x:c r="J1435" s="14" t="n">
        <x:v>40</x:v>
      </x:c>
      <x:c r="K1435" t="str">
        <x:v>DEMO / SIMULATED</x:v>
      </x:c>
    </x:row>
    <x:row r="1436">
      <x:c r="A1436" t="str">
        <x:v>JFD-20240222-0814</x:v>
      </x:c>
      <x:c r="B1436" s="11" t="n">
        <x:v>45344.80486111111</x:v>
      </x:c>
      <x:c r="C1436" s="13" t="n">
        <x:v>0.8048611111111111</x:v>
      </x:c>
      <x:c r="D1436" t="str">
        <x:v>Birtamode</x:v>
      </x:c>
      <x:c r="E1436" t="str">
        <x:v>The Underground Cafe &amp; Restaurant</x:v>
      </x:c>
      <x:c r="F1436" t="str">
        <x:v>Aalu Jeera</x:v>
      </x:c>
      <x:c r="G1436" t="str">
        <x:v>Food</x:v>
      </x:c>
      <x:c r="H1436" t="n">
        <x:v>2</x:v>
      </x:c>
      <x:c r="I1436" s="14" t="n">
        <x:v>135</x:v>
      </x:c>
      <x:c r="J1436" s="14" t="n">
        <x:v>270</x:v>
      </x:c>
      <x:c r="K1436" t="str">
        <x:v>DEMO / SIMULATED</x:v>
      </x:c>
    </x:row>
    <x:row r="1437">
      <x:c r="A1437" t="str">
        <x:v>JFD-20240222-0814</x:v>
      </x:c>
      <x:c r="B1437" s="11" t="n">
        <x:v>45344.572916666664</x:v>
      </x:c>
      <x:c r="C1437" s="13" t="n">
        <x:v>0.5729166666666666</x:v>
      </x:c>
      <x:c r="D1437" t="str">
        <x:v>Birtamode</x:v>
      </x:c>
      <x:c r="E1437" t="str">
        <x:v>The Underground Cafe &amp; Restaurant</x:v>
      </x:c>
      <x:c r="F1437" t="str">
        <x:v>Bottled Water 1L</x:v>
      </x:c>
      <x:c r="G1437" t="str">
        <x:v>Drink</x:v>
      </x:c>
      <x:c r="H1437" t="n">
        <x:v>1</x:v>
      </x:c>
      <x:c r="I1437" s="14" t="n">
        <x:v>35</x:v>
      </x:c>
      <x:c r="J1437" s="14" t="n">
        <x:v>35</x:v>
      </x:c>
      <x:c r="K1437" t="str">
        <x:v>DEMO / SIMULATED</x:v>
      </x:c>
    </x:row>
    <x:row r="1438">
      <x:c r="A1438" t="str">
        <x:v>JFD-20231007-0815</x:v>
      </x:c>
      <x:c r="B1438" s="11" t="n">
        <x:v>45206.629166666666</x:v>
      </x:c>
      <x:c r="C1438" s="13" t="n">
        <x:v>0.6291666666666667</x:v>
      </x:c>
      <x:c r="D1438" t="str">
        <x:v>Damak</x:v>
      </x:c>
      <x:c r="E1438" t="str">
        <x:v>Late Night Cravings</x:v>
      </x:c>
      <x:c r="F1438" t="str">
        <x:v>Coca-Cola 500ml</x:v>
      </x:c>
      <x:c r="G1438" t="str">
        <x:v>Drink</x:v>
      </x:c>
      <x:c r="H1438" t="n">
        <x:v>4</x:v>
      </x:c>
      <x:c r="I1438" s="14" t="n">
        <x:v>80</x:v>
      </x:c>
      <x:c r="J1438" s="14" t="n">
        <x:v>320</x:v>
      </x:c>
      <x:c r="K1438" t="str">
        <x:v>DEMO / SIMULATED</x:v>
      </x:c>
    </x:row>
    <x:row r="1439">
      <x:c r="A1439" t="str">
        <x:v>JFD-20231007-0815</x:v>
      </x:c>
      <x:c r="B1439" s="11" t="n">
        <x:v>45206.80069444444</x:v>
      </x:c>
      <x:c r="C1439" s="13" t="n">
        <x:v>0.8006944444444445</x:v>
      </x:c>
      <x:c r="D1439" t="str">
        <x:v>Damak</x:v>
      </x:c>
      <x:c r="E1439" t="str">
        <x:v>Late Night Cravings</x:v>
      </x:c>
      <x:c r="F1439" t="str">
        <x:v>Bottled Water 1L</x:v>
      </x:c>
      <x:c r="G1439" t="str">
        <x:v>Drink</x:v>
      </x:c>
      <x:c r="H1439" t="n">
        <x:v>4</x:v>
      </x:c>
      <x:c r="I1439" s="14" t="n">
        <x:v>35</x:v>
      </x:c>
      <x:c r="J1439" s="14" t="n">
        <x:v>140</x:v>
      </x:c>
      <x:c r="K1439" t="str">
        <x:v>DEMO / SIMULATED</x:v>
      </x:c>
    </x:row>
    <x:row r="1440">
      <x:c r="A1440" t="str">
        <x:v>JFD-20240102-0816</x:v>
      </x:c>
      <x:c r="B1440" s="11" t="n">
        <x:v>45293.83541666667</x:v>
      </x:c>
      <x:c r="C1440" s="13" t="n">
        <x:v>0.8354166666666667</x:v>
      </x:c>
      <x:c r="D1440" t="str">
        <x:v>Damak</x:v>
      </x:c>
      <x:c r="E1440" t="str">
        <x:v>Milan’s Bakery</x:v>
      </x:c>
      <x:c r="F1440" t="str">
        <x:v>Black Forest Cake</x:v>
      </x:c>
      <x:c r="G1440" t="str">
        <x:v>Food</x:v>
      </x:c>
      <x:c r="H1440" t="n">
        <x:v>2</x:v>
      </x:c>
      <x:c r="I1440" s="14" t="n">
        <x:v>265</x:v>
      </x:c>
      <x:c r="J1440" s="14" t="n">
        <x:v>530</x:v>
      </x:c>
      <x:c r="K1440" t="str">
        <x:v>DEMO / SIMULATED</x:v>
      </x:c>
    </x:row>
    <x:row r="1441">
      <x:c r="A1441" t="str">
        <x:v>JFD-20260728-0817</x:v>
      </x:c>
      <x:c r="B1441" s="11" t="n">
        <x:v>46231.71805555555</x:v>
      </x:c>
      <x:c r="C1441" s="13" t="n">
        <x:v>0.7180555555555556</x:v>
      </x:c>
      <x:c r="D1441" t="str">
        <x:v>Birtamode</x:v>
      </x:c>
      <x:c r="E1441" t="str">
        <x:v>Pizza Ghar</x:v>
      </x:c>
      <x:c r="F1441" t="str">
        <x:v>Coca-Cola 500ml</x:v>
      </x:c>
      <x:c r="G1441" t="str">
        <x:v>Drink</x:v>
      </x:c>
      <x:c r="H1441" t="n">
        <x:v>4</x:v>
      </x:c>
      <x:c r="I1441" s="14" t="n">
        <x:v>100</x:v>
      </x:c>
      <x:c r="J1441" s="14" t="n">
        <x:v>400</x:v>
      </x:c>
      <x:c r="K1441" t="str">
        <x:v>DEMO / SIMULATED</x:v>
      </x:c>
    </x:row>
    <x:row r="1442">
      <x:c r="A1442" t="str">
        <x:v>JFD-20230115-0818</x:v>
      </x:c>
      <x:c r="B1442" s="11" t="n">
        <x:v>44941.64236111111</x:v>
      </x:c>
      <x:c r="C1442" s="13" t="n">
        <x:v>0.6423611111111112</x:v>
      </x:c>
      <x:c r="D1442" t="str">
        <x:v>Birtamode</x:v>
      </x:c>
      <x:c r="E1442" t="str">
        <x:v>Pizza Ghar</x:v>
      </x:c>
      <x:c r="F1442" t="str">
        <x:v>Coca-Cola 500ml</x:v>
      </x:c>
      <x:c r="G1442" t="str">
        <x:v>Drink</x:v>
      </x:c>
      <x:c r="H1442" t="n">
        <x:v>2</x:v>
      </x:c>
      <x:c r="I1442" s="14" t="n">
        <x:v>80</x:v>
      </x:c>
      <x:c r="J1442" s="14" t="n">
        <x:v>160</x:v>
      </x:c>
      <x:c r="K1442" t="str">
        <x:v>DEMO / SIMULATED</x:v>
      </x:c>
    </x:row>
    <x:row r="1443">
      <x:c r="A1443" t="str">
        <x:v>JFD-20260615-0819</x:v>
      </x:c>
      <x:c r="B1443" s="11" t="n">
        <x:v>46188.51388888889</x:v>
      </x:c>
      <x:c r="C1443" s="13" t="n">
        <x:v>0.5138888888888888</x:v>
      </x:c>
      <x:c r="D1443" t="str">
        <x:v>Birtamode</x:v>
      </x:c>
      <x:c r="E1443" t="str">
        <x:v>The Underground Cafe &amp; Restaurant</x:v>
      </x:c>
      <x:c r="F1443" t="str">
        <x:v>Coca-Cola 500ml</x:v>
      </x:c>
      <x:c r="G1443" t="str">
        <x:v>Drink</x:v>
      </x:c>
      <x:c r="H1443" t="n">
        <x:v>2</x:v>
      </x:c>
      <x:c r="I1443" s="14" t="n">
        <x:v>100</x:v>
      </x:c>
      <x:c r="J1443" s="14" t="n">
        <x:v>200</x:v>
      </x:c>
      <x:c r="K1443" t="str">
        <x:v>DEMO / SIMULATED</x:v>
      </x:c>
    </x:row>
    <x:row r="1444">
      <x:c r="A1444" t="str">
        <x:v>JFD-20260615-0819</x:v>
      </x:c>
      <x:c r="B1444" s="11" t="n">
        <x:v>46188.83263888889</x:v>
      </x:c>
      <x:c r="C1444" s="13" t="n">
        <x:v>0.8326388888888889</x:v>
      </x:c>
      <x:c r="D1444" t="str">
        <x:v>Birtamode</x:v>
      </x:c>
      <x:c r="E1444" t="str">
        <x:v>The Underground Cafe &amp; Restaurant</x:v>
      </x:c>
      <x:c r="F1444" t="str">
        <x:v>Paneer Pakauda</x:v>
      </x:c>
      <x:c r="G1444" t="str">
        <x:v>Food</x:v>
      </x:c>
      <x:c r="H1444" t="n">
        <x:v>1</x:v>
      </x:c>
      <x:c r="I1444" s="14" t="n">
        <x:v>225</x:v>
      </x:c>
      <x:c r="J1444" s="14" t="n">
        <x:v>225</x:v>
      </x:c>
      <x:c r="K1444" t="str">
        <x:v>DEMO / SIMULATED</x:v>
      </x:c>
    </x:row>
    <x:row r="1445">
      <x:c r="A1445" t="str">
        <x:v>JFD-20240101-0820</x:v>
      </x:c>
      <x:c r="B1445" s="11" t="n">
        <x:v>45292.42638888889</x:v>
      </x:c>
      <x:c r="C1445" s="13" t="n">
        <x:v>0.4263888888888889</x:v>
      </x:c>
      <x:c r="D1445" t="str">
        <x:v>Damak</x:v>
      </x:c>
      <x:c r="E1445" t="str">
        <x:v>Milan’s Bakery</x:v>
      </x:c>
      <x:c r="F1445" t="str">
        <x:v>Bottled Water 1L</x:v>
      </x:c>
      <x:c r="G1445" t="str">
        <x:v>Drink</x:v>
      </x:c>
      <x:c r="H1445" t="n">
        <x:v>4</x:v>
      </x:c>
      <x:c r="I1445" s="14" t="n">
        <x:v>35</x:v>
      </x:c>
      <x:c r="J1445" s="14" t="n">
        <x:v>140</x:v>
      </x:c>
      <x:c r="K1445" t="str">
        <x:v>DEMO / SIMULATED</x:v>
      </x:c>
    </x:row>
    <x:row r="1446">
      <x:c r="A1446" t="str">
        <x:v>JFD-20240101-0820</x:v>
      </x:c>
      <x:c r="B1446" s="11" t="n">
        <x:v>45292.77361111111</x:v>
      </x:c>
      <x:c r="C1446" s="13" t="n">
        <x:v>0.7736111111111111</x:v>
      </x:c>
      <x:c r="D1446" t="str">
        <x:v>Damak</x:v>
      </x:c>
      <x:c r="E1446" t="str">
        <x:v>Milan’s Bakery</x:v>
      </x:c>
      <x:c r="F1446" t="str">
        <x:v>Red Velvet Cake</x:v>
      </x:c>
      <x:c r="G1446" t="str">
        <x:v>Food</x:v>
      </x:c>
      <x:c r="H1446" t="n">
        <x:v>3</x:v>
      </x:c>
      <x:c r="I1446" s="14" t="n">
        <x:v>790</x:v>
      </x:c>
      <x:c r="J1446" s="14" t="n">
        <x:v>2370</x:v>
      </x:c>
      <x:c r="K1446" t="str">
        <x:v>DEMO / SIMULATED</x:v>
      </x:c>
    </x:row>
    <x:row r="1447">
      <x:c r="A1447" t="str">
        <x:v>JFD-20240621-0821</x:v>
      </x:c>
      <x:c r="B1447" s="11" t="n">
        <x:v>45464.586805555555</x:v>
      </x:c>
      <x:c r="C1447" s="13" t="n">
        <x:v>0.5868055555555556</x:v>
      </x:c>
      <x:c r="D1447" t="str">
        <x:v>Damak</x:v>
      </x:c>
      <x:c r="E1447" t="str">
        <x:v>Milan’s Bakery</x:v>
      </x:c>
      <x:c r="F1447" t="str">
        <x:v>Chocolate Cake</x:v>
      </x:c>
      <x:c r="G1447" t="str">
        <x:v>Food</x:v>
      </x:c>
      <x:c r="H1447" t="n">
        <x:v>1</x:v>
      </x:c>
      <x:c r="I1447" s="14" t="n">
        <x:v>310</x:v>
      </x:c>
      <x:c r="J1447" s="14" t="n">
        <x:v>310</x:v>
      </x:c>
      <x:c r="K1447" t="str">
        <x:v>DEMO / SIMULATED</x:v>
      </x:c>
    </x:row>
    <x:row r="1448">
      <x:c r="A1448" t="str">
        <x:v>JFD-20240621-0821</x:v>
      </x:c>
      <x:c r="B1448" s="11" t="n">
        <x:v>45464.62708333333</x:v>
      </x:c>
      <x:c r="C1448" s="13" t="n">
        <x:v>0.6270833333333333</x:v>
      </x:c>
      <x:c r="D1448" t="str">
        <x:v>Damak</x:v>
      </x:c>
      <x:c r="E1448" t="str">
        <x:v>Milan’s Bakery</x:v>
      </x:c>
      <x:c r="F1448" t="str">
        <x:v>Black Forest Cake</x:v>
      </x:c>
      <x:c r="G1448" t="str">
        <x:v>Food</x:v>
      </x:c>
      <x:c r="H1448" t="n">
        <x:v>3</x:v>
      </x:c>
      <x:c r="I1448" s="14" t="n">
        <x:v>265</x:v>
      </x:c>
      <x:c r="J1448" s="14" t="n">
        <x:v>795</x:v>
      </x:c>
      <x:c r="K1448" t="str">
        <x:v>DEMO / SIMULATED</x:v>
      </x:c>
    </x:row>
    <x:row r="1449">
      <x:c r="A1449" t="str">
        <x:v>JFD-20260418-0822</x:v>
      </x:c>
      <x:c r="B1449" s="11" t="n">
        <x:v>46130.81458333333</x:v>
      </x:c>
      <x:c r="C1449" s="13" t="n">
        <x:v>0.8145833333333333</x:v>
      </x:c>
      <x:c r="D1449" t="str">
        <x:v>Birtamode</x:v>
      </x:c>
      <x:c r="E1449" t="str">
        <x:v>The Underground Cafe &amp; Restaurant</x:v>
      </x:c>
      <x:c r="F1449" t="str">
        <x:v>Paneer Pakauda</x:v>
      </x:c>
      <x:c r="G1449" t="str">
        <x:v>Food</x:v>
      </x:c>
      <x:c r="H1449" t="n">
        <x:v>4</x:v>
      </x:c>
      <x:c r="I1449" s="14" t="n">
        <x:v>225</x:v>
      </x:c>
      <x:c r="J1449" s="14" t="n">
        <x:v>900</x:v>
      </x:c>
      <x:c r="K1449" t="str">
        <x:v>DEMO / SIMULATED</x:v>
      </x:c>
    </x:row>
    <x:row r="1450">
      <x:c r="A1450" t="str">
        <x:v>JFD-20260418-0822</x:v>
      </x:c>
      <x:c r="B1450" s="11" t="n">
        <x:v>46130.46041666667</x:v>
      </x:c>
      <x:c r="C1450" s="13" t="n">
        <x:v>0.46041666666666664</x:v>
      </x:c>
      <x:c r="D1450" t="str">
        <x:v>Birtamode</x:v>
      </x:c>
      <x:c r="E1450" t="str">
        <x:v>The Underground Cafe &amp; Restaurant</x:v>
      </x:c>
      <x:c r="F1450" t="str">
        <x:v>Bottled Water 1L</x:v>
      </x:c>
      <x:c r="G1450" t="str">
        <x:v>Drink</x:v>
      </x:c>
      <x:c r="H1450" t="n">
        <x:v>4</x:v>
      </x:c>
      <x:c r="I1450" s="14" t="n">
        <x:v>40</x:v>
      </x:c>
      <x:c r="J1450" s="14" t="n">
        <x:v>160</x:v>
      </x:c>
      <x:c r="K1450" t="str">
        <x:v>DEMO / SIMULATED</x:v>
      </x:c>
    </x:row>
    <x:row r="1451">
      <x:c r="A1451" t="str">
        <x:v>JFD-20240909-0823</x:v>
      </x:c>
      <x:c r="B1451" s="11" t="n">
        <x:v>45544.80069444444</x:v>
      </x:c>
      <x:c r="C1451" s="13" t="n">
        <x:v>0.8006944444444445</x:v>
      </x:c>
      <x:c r="D1451" t="str">
        <x:v>Damak</x:v>
      </x:c>
      <x:c r="E1451" t="str">
        <x:v>Late Night Cravings</x:v>
      </x:c>
      <x:c r="F1451" t="str">
        <x:v>Chicken Fry Rice</x:v>
      </x:c>
      <x:c r="G1451" t="str">
        <x:v>Food</x:v>
      </x:c>
      <x:c r="H1451" t="n">
        <x:v>2</x:v>
      </x:c>
      <x:c r="I1451" s="14" t="n">
        <x:v>195</x:v>
      </x:c>
      <x:c r="J1451" s="14" t="n">
        <x:v>390</x:v>
      </x:c>
      <x:c r="K1451" t="str">
        <x:v>DEMO / SIMULATED</x:v>
      </x:c>
    </x:row>
    <x:row r="1452">
      <x:c r="A1452" t="str">
        <x:v>JFD-20240909-0823</x:v>
      </x:c>
      <x:c r="B1452" s="11" t="n">
        <x:v>45544.77291666667</x:v>
      </x:c>
      <x:c r="C1452" s="13" t="n">
        <x:v>0.7729166666666667</x:v>
      </x:c>
      <x:c r="D1452" t="str">
        <x:v>Damak</x:v>
      </x:c>
      <x:c r="E1452" t="str">
        <x:v>Late Night Cravings</x:v>
      </x:c>
      <x:c r="F1452" t="str">
        <x:v>Mix Fry Rice</x:v>
      </x:c>
      <x:c r="G1452" t="str">
        <x:v>Food</x:v>
      </x:c>
      <x:c r="H1452" t="n">
        <x:v>1</x:v>
      </x:c>
      <x:c r="I1452" s="14" t="n">
        <x:v>245</x:v>
      </x:c>
      <x:c r="J1452" s="14" t="n">
        <x:v>245</x:v>
      </x:c>
      <x:c r="K1452" t="str">
        <x:v>DEMO / SIMULATED</x:v>
      </x:c>
    </x:row>
    <x:row r="1453">
      <x:c r="A1453" t="str">
        <x:v>JFD-20260627-0824</x:v>
      </x:c>
      <x:c r="B1453" s="11" t="n">
        <x:v>46200.50902777778</x:v>
      </x:c>
      <x:c r="C1453" s="13" t="n">
        <x:v>0.5090277777777777</x:v>
      </x:c>
      <x:c r="D1453" t="str">
        <x:v>Birtamode</x:v>
      </x:c>
      <x:c r="E1453" t="str">
        <x:v>The Underground Cafe &amp; Restaurant</x:v>
      </x:c>
      <x:c r="F1453" t="str">
        <x:v>Veg Pakauda</x:v>
      </x:c>
      <x:c r="G1453" t="str">
        <x:v>Food</x:v>
      </x:c>
      <x:c r="H1453" t="n">
        <x:v>3</x:v>
      </x:c>
      <x:c r="I1453" s="14" t="n">
        <x:v>175</x:v>
      </x:c>
      <x:c r="J1453" s="14" t="n">
        <x:v>525</x:v>
      </x:c>
      <x:c r="K1453" t="str">
        <x:v>DEMO / SIMULATED</x:v>
      </x:c>
    </x:row>
    <x:row r="1454">
      <x:c r="A1454" t="str">
        <x:v>JFD-20250812-0825</x:v>
      </x:c>
      <x:c r="B1454" s="11" t="n">
        <x:v>45881.63680555556</x:v>
      </x:c>
      <x:c r="C1454" s="13" t="n">
        <x:v>0.6368055555555555</x:v>
      </x:c>
      <x:c r="D1454" t="str">
        <x:v>Damak</x:v>
      </x:c>
      <x:c r="E1454" t="str">
        <x:v>Milan’s Bakery</x:v>
      </x:c>
      <x:c r="F1454" t="str">
        <x:v>Coca-Cola 500ml</x:v>
      </x:c>
      <x:c r="G1454" t="str">
        <x:v>Drink</x:v>
      </x:c>
      <x:c r="H1454" t="n">
        <x:v>1</x:v>
      </x:c>
      <x:c r="I1454" s="14" t="n">
        <x:v>95</x:v>
      </x:c>
      <x:c r="J1454" s="14" t="n">
        <x:v>95</x:v>
      </x:c>
      <x:c r="K1454" t="str">
        <x:v>DEMO / SIMULATED</x:v>
      </x:c>
    </x:row>
    <x:row r="1455">
      <x:c r="A1455" t="str">
        <x:v>JFD-20250812-0825</x:v>
      </x:c>
      <x:c r="B1455" s="11" t="n">
        <x:v>45881.51388888889</x:v>
      </x:c>
      <x:c r="C1455" s="13" t="n">
        <x:v>0.5138888888888888</x:v>
      </x:c>
      <x:c r="D1455" t="str">
        <x:v>Damak</x:v>
      </x:c>
      <x:c r="E1455" t="str">
        <x:v>Milan’s Bakery</x:v>
      </x:c>
      <x:c r="F1455" t="str">
        <x:v>Bottled Water 1L</x:v>
      </x:c>
      <x:c r="G1455" t="str">
        <x:v>Drink</x:v>
      </x:c>
      <x:c r="H1455" t="n">
        <x:v>1</x:v>
      </x:c>
      <x:c r="I1455" s="14" t="n">
        <x:v>40</x:v>
      </x:c>
      <x:c r="J1455" s="14" t="n">
        <x:v>40</x:v>
      </x:c>
      <x:c r="K1455" t="str">
        <x:v>DEMO / SIMULATED</x:v>
      </x:c>
    </x:row>
    <x:row r="1456">
      <x:c r="A1456" t="str">
        <x:v>JFD-20241204-0826</x:v>
      </x:c>
      <x:c r="B1456" s="11" t="n">
        <x:v>45630.51527777778</x:v>
      </x:c>
      <x:c r="C1456" s="13" t="n">
        <x:v>0.5152777777777777</x:v>
      </x:c>
      <x:c r="D1456" t="str">
        <x:v>Birtamode</x:v>
      </x:c>
      <x:c r="E1456" t="str">
        <x:v>Pizza Ghar</x:v>
      </x:c>
      <x:c r="F1456" t="str">
        <x:v>Bottled Water 1L</x:v>
      </x:c>
      <x:c r="G1456" t="str">
        <x:v>Drink</x:v>
      </x:c>
      <x:c r="H1456" t="n">
        <x:v>2</x:v>
      </x:c>
      <x:c r="I1456" s="14" t="n">
        <x:v>35</x:v>
      </x:c>
      <x:c r="J1456" s="14" t="n">
        <x:v>70</x:v>
      </x:c>
      <x:c r="K1456" t="str">
        <x:v>DEMO / SIMULATED</x:v>
      </x:c>
    </x:row>
    <x:row r="1457">
      <x:c r="A1457" t="str">
        <x:v>JFD-20241204-0826</x:v>
      </x:c>
      <x:c r="B1457" s="11" t="n">
        <x:v>45630.70208333333</x:v>
      </x:c>
      <x:c r="C1457" s="13" t="n">
        <x:v>0.7020833333333333</x:v>
      </x:c>
      <x:c r="D1457" t="str">
        <x:v>Birtamode</x:v>
      </x:c>
      <x:c r="E1457" t="str">
        <x:v>Pizza Ghar</x:v>
      </x:c>
      <x:c r="F1457" t="str">
        <x:v>Egg Fried Rice</x:v>
      </x:c>
      <x:c r="G1457" t="str">
        <x:v>Food</x:v>
      </x:c>
      <x:c r="H1457" t="n">
        <x:v>1</x:v>
      </x:c>
      <x:c r="I1457" s="14" t="n">
        <x:v>240</x:v>
      </x:c>
      <x:c r="J1457" s="14" t="n">
        <x:v>240</x:v>
      </x:c>
      <x:c r="K1457" t="str">
        <x:v>DEMO / SIMULATED</x:v>
      </x:c>
    </x:row>
    <x:row r="1458">
      <x:c r="A1458" t="str">
        <x:v>JFD-20241028-0827</x:v>
      </x:c>
      <x:c r="B1458" s="11" t="n">
        <x:v>45593.649305555555</x:v>
      </x:c>
      <x:c r="C1458" s="13" t="n">
        <x:v>0.6493055555555556</x:v>
      </x:c>
      <x:c r="D1458" t="str">
        <x:v>Damak</x:v>
      </x:c>
      <x:c r="E1458" t="str">
        <x:v>Late Night Cravings</x:v>
      </x:c>
      <x:c r="F1458" t="str">
        <x:v>Egg Fry Rice</x:v>
      </x:c>
      <x:c r="G1458" t="str">
        <x:v>Food</x:v>
      </x:c>
      <x:c r="H1458" t="n">
        <x:v>1</x:v>
      </x:c>
      <x:c r="I1458" s="14" t="n">
        <x:v>175</x:v>
      </x:c>
      <x:c r="J1458" s="14" t="n">
        <x:v>175</x:v>
      </x:c>
      <x:c r="K1458" t="str">
        <x:v>DEMO / SIMULATED</x:v>
      </x:c>
    </x:row>
    <x:row r="1459">
      <x:c r="A1459" t="str">
        <x:v>JFD-20241028-0827</x:v>
      </x:c>
      <x:c r="B1459" s="11" t="n">
        <x:v>45593.66805555556</x:v>
      </x:c>
      <x:c r="C1459" s="13" t="n">
        <x:v>0.6680555555555555</x:v>
      </x:c>
      <x:c r="D1459" t="str">
        <x:v>Damak</x:v>
      </x:c>
      <x:c r="E1459" t="str">
        <x:v>Late Night Cravings</x:v>
      </x:c>
      <x:c r="F1459" t="str">
        <x:v>Coca-Cola 500ml</x:v>
      </x:c>
      <x:c r="G1459" t="str">
        <x:v>Drink</x:v>
      </x:c>
      <x:c r="H1459" t="n">
        <x:v>4</x:v>
      </x:c>
      <x:c r="I1459" s="14" t="n">
        <x:v>90</x:v>
      </x:c>
      <x:c r="J1459" s="14" t="n">
        <x:v>360</x:v>
      </x:c>
      <x:c r="K1459" t="str">
        <x:v>DEMO / SIMULATED</x:v>
      </x:c>
    </x:row>
    <x:row r="1460">
      <x:c r="A1460" t="str">
        <x:v>JFD-20241028-0827</x:v>
      </x:c>
      <x:c r="B1460" s="11" t="n">
        <x:v>45593.490277777775</x:v>
      </x:c>
      <x:c r="C1460" s="13" t="n">
        <x:v>0.49027777777777776</x:v>
      </x:c>
      <x:c r="D1460" t="str">
        <x:v>Damak</x:v>
      </x:c>
      <x:c r="E1460" t="str">
        <x:v>Late Night Cravings</x:v>
      </x:c>
      <x:c r="F1460" t="str">
        <x:v>Chicken Fry Rice</x:v>
      </x:c>
      <x:c r="G1460" t="str">
        <x:v>Food</x:v>
      </x:c>
      <x:c r="H1460" t="n">
        <x:v>1</x:v>
      </x:c>
      <x:c r="I1460" s="14" t="n">
        <x:v>195</x:v>
      </x:c>
      <x:c r="J1460" s="14" t="n">
        <x:v>195</x:v>
      </x:c>
      <x:c r="K1460" t="str">
        <x:v>DEMO / SIMULATED</x:v>
      </x:c>
    </x:row>
    <x:row r="1461">
      <x:c r="A1461" t="str">
        <x:v>JFD-20260110-0828</x:v>
      </x:c>
      <x:c r="B1461" s="11" t="n">
        <x:v>46032.42291666667</x:v>
      </x:c>
      <x:c r="C1461" s="13" t="n">
        <x:v>0.42291666666666666</x:v>
      </x:c>
      <x:c r="D1461" t="str">
        <x:v>Damak</x:v>
      </x:c>
      <x:c r="E1461" t="str">
        <x:v>Milan’s Bakery</x:v>
      </x:c>
      <x:c r="F1461" t="str">
        <x:v>Coca-Cola 500ml</x:v>
      </x:c>
      <x:c r="G1461" t="str">
        <x:v>Drink</x:v>
      </x:c>
      <x:c r="H1461" t="n">
        <x:v>4</x:v>
      </x:c>
      <x:c r="I1461" s="14" t="n">
        <x:v>100</x:v>
      </x:c>
      <x:c r="J1461" s="14" t="n">
        <x:v>400</x:v>
      </x:c>
      <x:c r="K1461" t="str">
        <x:v>DEMO / SIMULATED</x:v>
      </x:c>
    </x:row>
    <x:row r="1462">
      <x:c r="A1462" t="str">
        <x:v>JFD-20231013-0829</x:v>
      </x:c>
      <x:c r="B1462" s="11" t="n">
        <x:v>45212.808333333334</x:v>
      </x:c>
      <x:c r="C1462" s="13" t="n">
        <x:v>0.8083333333333333</x:v>
      </x:c>
      <x:c r="D1462" t="str">
        <x:v>Birtamode</x:v>
      </x:c>
      <x:c r="E1462" t="str">
        <x:v>Pizza Ghar</x:v>
      </x:c>
      <x:c r="F1462" t="str">
        <x:v>Veg Fried Rice</x:v>
      </x:c>
      <x:c r="G1462" t="str">
        <x:v>Food</x:v>
      </x:c>
      <x:c r="H1462" t="n">
        <x:v>3</x:v>
      </x:c>
      <x:c r="I1462" s="14" t="n">
        <x:v>180</x:v>
      </x:c>
      <x:c r="J1462" s="14" t="n">
        <x:v>540</x:v>
      </x:c>
      <x:c r="K1462" t="str">
        <x:v>DEMO / SIMULATED</x:v>
      </x:c>
    </x:row>
    <x:row r="1463">
      <x:c r="A1463" t="str">
        <x:v>JFD-20231013-0829</x:v>
      </x:c>
      <x:c r="B1463" s="11" t="n">
        <x:v>45212.625</x:v>
      </x:c>
      <x:c r="C1463" s="13" t="n">
        <x:v>0.625</x:v>
      </x:c>
      <x:c r="D1463" t="str">
        <x:v>Birtamode</x:v>
      </x:c>
      <x:c r="E1463" t="str">
        <x:v>Pizza Ghar</x:v>
      </x:c>
      <x:c r="F1463" t="str">
        <x:v>Egg Fried Rice</x:v>
      </x:c>
      <x:c r="G1463" t="str">
        <x:v>Food</x:v>
      </x:c>
      <x:c r="H1463" t="n">
        <x:v>3</x:v>
      </x:c>
      <x:c r="I1463" s="14" t="n">
        <x:v>220</x:v>
      </x:c>
      <x:c r="J1463" s="14" t="n">
        <x:v>660</x:v>
      </x:c>
      <x:c r="K1463" t="str">
        <x:v>DEMO / SIMULATED</x:v>
      </x:c>
    </x:row>
    <x:row r="1464">
      <x:c r="A1464" t="str">
        <x:v>JFD-20240720-0830</x:v>
      </x:c>
      <x:c r="B1464" s="11" t="n">
        <x:v>45493.88402777778</x:v>
      </x:c>
      <x:c r="C1464" s="13" t="n">
        <x:v>0.8840277777777777</x:v>
      </x:c>
      <x:c r="D1464" t="str">
        <x:v>Damak</x:v>
      </x:c>
      <x:c r="E1464" t="str">
        <x:v>Milan’s Bakery</x:v>
      </x:c>
      <x:c r="F1464" t="str">
        <x:v>Red Velvet Cake</x:v>
      </x:c>
      <x:c r="G1464" t="str">
        <x:v>Food</x:v>
      </x:c>
      <x:c r="H1464" t="n">
        <x:v>2</x:v>
      </x:c>
      <x:c r="I1464" s="14" t="n">
        <x:v>790</x:v>
      </x:c>
      <x:c r="J1464" s="14" t="n">
        <x:v>1580</x:v>
      </x:c>
      <x:c r="K1464" t="str">
        <x:v>DEMO / SIMULATED</x:v>
      </x:c>
    </x:row>
    <x:row r="1465">
      <x:c r="A1465" t="str">
        <x:v>JFD-20250430-0831</x:v>
      </x:c>
      <x:c r="B1465" s="11" t="n">
        <x:v>45777.62777777778</x:v>
      </x:c>
      <x:c r="C1465" s="13" t="n">
        <x:v>0.6277777777777778</x:v>
      </x:c>
      <x:c r="D1465" t="str">
        <x:v>Birtamode</x:v>
      </x:c>
      <x:c r="E1465" t="str">
        <x:v>The Underground Cafe &amp; Restaurant</x:v>
      </x:c>
      <x:c r="F1465" t="str">
        <x:v>Paneer Pakauda</x:v>
      </x:c>
      <x:c r="G1465" t="str">
        <x:v>Food</x:v>
      </x:c>
      <x:c r="H1465" t="n">
        <x:v>4</x:v>
      </x:c>
      <x:c r="I1465" s="14" t="n">
        <x:v>210</x:v>
      </x:c>
      <x:c r="J1465" s="14" t="n">
        <x:v>840</x:v>
      </x:c>
      <x:c r="K1465" t="str">
        <x:v>DEMO / SIMULATED</x:v>
      </x:c>
    </x:row>
    <x:row r="1466">
      <x:c r="A1466" t="str">
        <x:v>JFD-20261005-0832</x:v>
      </x:c>
      <x:c r="B1466" s="11" t="n">
        <x:v>46300.54375</x:v>
      </x:c>
      <x:c r="C1466" s="13" t="n">
        <x:v>0.54375</x:v>
      </x:c>
      <x:c r="D1466" t="str">
        <x:v>Birtamode</x:v>
      </x:c>
      <x:c r="E1466" t="str">
        <x:v>Pizza Ghar</x:v>
      </x:c>
      <x:c r="F1466" t="str">
        <x:v>Coca-Cola 500ml</x:v>
      </x:c>
      <x:c r="G1466" t="str">
        <x:v>Drink</x:v>
      </x:c>
      <x:c r="H1466" t="n">
        <x:v>1</x:v>
      </x:c>
      <x:c r="I1466" s="14" t="n">
        <x:v>100</x:v>
      </x:c>
      <x:c r="J1466" s="14" t="n">
        <x:v>100</x:v>
      </x:c>
      <x:c r="K1466" t="str">
        <x:v>DEMO / SIMULATED</x:v>
      </x:c>
    </x:row>
    <x:row r="1467">
      <x:c r="A1467" t="str">
        <x:v>JFD-20261005-0832</x:v>
      </x:c>
      <x:c r="B1467" s="11" t="n">
        <x:v>46300.493055555555</x:v>
      </x:c>
      <x:c r="C1467" s="13" t="n">
        <x:v>0.4930555555555556</x:v>
      </x:c>
      <x:c r="D1467" t="str">
        <x:v>Birtamode</x:v>
      </x:c>
      <x:c r="E1467" t="str">
        <x:v>Pizza Ghar</x:v>
      </x:c>
      <x:c r="F1467" t="str">
        <x:v>Chicken BBQ Feast Pizza</x:v>
      </x:c>
      <x:c r="G1467" t="str">
        <x:v>Food</x:v>
      </x:c>
      <x:c r="H1467" t="n">
        <x:v>4</x:v>
      </x:c>
      <x:c r="I1467" s="14" t="n">
        <x:v>580</x:v>
      </x:c>
      <x:c r="J1467" s="14" t="n">
        <x:v>2320</x:v>
      </x:c>
      <x:c r="K1467" t="str">
        <x:v>DEMO / SIMULATED</x:v>
      </x:c>
    </x:row>
    <x:row r="1468">
      <x:c r="A1468" t="str">
        <x:v>JFD-20250807-0833</x:v>
      </x:c>
      <x:c r="B1468" s="11" t="n">
        <x:v>45876.80763888889</x:v>
      </x:c>
      <x:c r="C1468" s="13" t="n">
        <x:v>0.8076388888888889</x:v>
      </x:c>
      <x:c r="D1468" t="str">
        <x:v>Birtamode</x:v>
      </x:c>
      <x:c r="E1468" t="str">
        <x:v>Pizza Ghar</x:v>
      </x:c>
      <x:c r="F1468" t="str">
        <x:v>Chicken Fried Rice</x:v>
      </x:c>
      <x:c r="G1468" t="str">
        <x:v>Food</x:v>
      </x:c>
      <x:c r="H1468" t="n">
        <x:v>1</x:v>
      </x:c>
      <x:c r="I1468" s="14" t="n">
        <x:v>280</x:v>
      </x:c>
      <x:c r="J1468" s="14" t="n">
        <x:v>280</x:v>
      </x:c>
      <x:c r="K1468" t="str">
        <x:v>DEMO / SIMULATED</x:v>
      </x:c>
    </x:row>
    <x:row r="1469">
      <x:c r="A1469" t="str">
        <x:v>JFD-20260814-0834</x:v>
      </x:c>
      <x:c r="B1469" s="11" t="n">
        <x:v>46248.49652777778</x:v>
      </x:c>
      <x:c r="C1469" s="13" t="n">
        <x:v>0.4965277777777778</x:v>
      </x:c>
      <x:c r="D1469" t="str">
        <x:v>Birtamode</x:v>
      </x:c>
      <x:c r="E1469" t="str">
        <x:v>The Underground Cafe &amp; Restaurant</x:v>
      </x:c>
      <x:c r="F1469" t="str">
        <x:v>Aalu Jeera</x:v>
      </x:c>
      <x:c r="G1469" t="str">
        <x:v>Food</x:v>
      </x:c>
      <x:c r="H1469" t="n">
        <x:v>2</x:v>
      </x:c>
      <x:c r="I1469" s="14" t="n">
        <x:v>155</x:v>
      </x:c>
      <x:c r="J1469" s="14" t="n">
        <x:v>310</x:v>
      </x:c>
      <x:c r="K1469" t="str">
        <x:v>DEMO / SIMULATED</x:v>
      </x:c>
    </x:row>
    <x:row r="1470">
      <x:c r="A1470" t="str">
        <x:v>JFD-20260814-0834</x:v>
      </x:c>
      <x:c r="B1470" s="11" t="n">
        <x:v>46248.665972222225</x:v>
      </x:c>
      <x:c r="C1470" s="13" t="n">
        <x:v>0.6659722222222222</x:v>
      </x:c>
      <x:c r="D1470" t="str">
        <x:v>Birtamode</x:v>
      </x:c>
      <x:c r="E1470" t="str">
        <x:v>The Underground Cafe &amp; Restaurant</x:v>
      </x:c>
      <x:c r="F1470" t="str">
        <x:v>Coca-Cola 500ml</x:v>
      </x:c>
      <x:c r="G1470" t="str">
        <x:v>Drink</x:v>
      </x:c>
      <x:c r="H1470" t="n">
        <x:v>3</x:v>
      </x:c>
      <x:c r="I1470" s="14" t="n">
        <x:v>100</x:v>
      </x:c>
      <x:c r="J1470" s="14" t="n">
        <x:v>300</x:v>
      </x:c>
      <x:c r="K1470" t="str">
        <x:v>DEMO / SIMULATED</x:v>
      </x:c>
    </x:row>
    <x:row r="1471">
      <x:c r="A1471" t="str">
        <x:v>JFD-20250226-0835</x:v>
      </x:c>
      <x:c r="B1471" s="11" t="n">
        <x:v>45714.6</x:v>
      </x:c>
      <x:c r="C1471" s="13" t="n">
        <x:v>0.6</x:v>
      </x:c>
      <x:c r="D1471" t="str">
        <x:v>Birtamode</x:v>
      </x:c>
      <x:c r="E1471" t="str">
        <x:v>Pizza Ghar</x:v>
      </x:c>
      <x:c r="F1471" t="str">
        <x:v>Chicken Fried Rice</x:v>
      </x:c>
      <x:c r="G1471" t="str">
        <x:v>Food</x:v>
      </x:c>
      <x:c r="H1471" t="n">
        <x:v>4</x:v>
      </x:c>
      <x:c r="I1471" s="14" t="n">
        <x:v>280</x:v>
      </x:c>
      <x:c r="J1471" s="14" t="n">
        <x:v>1120</x:v>
      </x:c>
      <x:c r="K1471" t="str">
        <x:v>DEMO / SIMULATED</x:v>
      </x:c>
    </x:row>
    <x:row r="1472">
      <x:c r="A1472" t="str">
        <x:v>JFD-20240528-0836</x:v>
      </x:c>
      <x:c r="B1472" s="11" t="n">
        <x:v>45440.770833333336</x:v>
      </x:c>
      <x:c r="C1472" s="13" t="n">
        <x:v>0.7708333333333334</x:v>
      </x:c>
      <x:c r="D1472" t="str">
        <x:v>Damak</x:v>
      </x:c>
      <x:c r="E1472" t="str">
        <x:v>Late Night Cravings</x:v>
      </x:c>
      <x:c r="F1472" t="str">
        <x:v>Veg Fry Rice</x:v>
      </x:c>
      <x:c r="G1472" t="str">
        <x:v>Food</x:v>
      </x:c>
      <x:c r="H1472" t="n">
        <x:v>2</x:v>
      </x:c>
      <x:c r="I1472" s="14" t="n">
        <x:v>140</x:v>
      </x:c>
      <x:c r="J1472" s="14" t="n">
        <x:v>280</x:v>
      </x:c>
      <x:c r="K1472" t="str">
        <x:v>DEMO / SIMULATED</x:v>
      </x:c>
    </x:row>
    <x:row r="1473">
      <x:c r="A1473" t="str">
        <x:v>JFD-20240528-0836</x:v>
      </x:c>
      <x:c r="B1473" s="11" t="n">
        <x:v>45440.65902777778</x:v>
      </x:c>
      <x:c r="C1473" s="13" t="n">
        <x:v>0.6590277777777778</x:v>
      </x:c>
      <x:c r="D1473" t="str">
        <x:v>Damak</x:v>
      </x:c>
      <x:c r="E1473" t="str">
        <x:v>Late Night Cravings</x:v>
      </x:c>
      <x:c r="F1473" t="str">
        <x:v>Coca-Cola 500ml</x:v>
      </x:c>
      <x:c r="G1473" t="str">
        <x:v>Drink</x:v>
      </x:c>
      <x:c r="H1473" t="n">
        <x:v>1</x:v>
      </x:c>
      <x:c r="I1473" s="14" t="n">
        <x:v>90</x:v>
      </x:c>
      <x:c r="J1473" s="14" t="n">
        <x:v>90</x:v>
      </x:c>
      <x:c r="K1473" t="str">
        <x:v>DEMO / SIMULATED</x:v>
      </x:c>
    </x:row>
    <x:row r="1474">
      <x:c r="A1474" t="str">
        <x:v>JFD-20230304-0837</x:v>
      </x:c>
      <x:c r="B1474" s="11" t="n">
        <x:v>44989.850694444445</x:v>
      </x:c>
      <x:c r="C1474" s="13" t="n">
        <x:v>0.8506944444444444</x:v>
      </x:c>
      <x:c r="D1474" t="str">
        <x:v>Damak</x:v>
      </x:c>
      <x:c r="E1474" t="str">
        <x:v>Milan’s Bakery</x:v>
      </x:c>
      <x:c r="F1474" t="str">
        <x:v>Coca-Cola 500ml</x:v>
      </x:c>
      <x:c r="G1474" t="str">
        <x:v>Drink</x:v>
      </x:c>
      <x:c r="H1474" t="n">
        <x:v>1</x:v>
      </x:c>
      <x:c r="I1474" s="14" t="n">
        <x:v>80</x:v>
      </x:c>
      <x:c r="J1474" s="14" t="n">
        <x:v>80</x:v>
      </x:c>
      <x:c r="K1474" t="str">
        <x:v>DEMO / SIMULATED</x:v>
      </x:c>
    </x:row>
    <x:row r="1475">
      <x:c r="A1475" t="str">
        <x:v>JFD-20230304-0837</x:v>
      </x:c>
      <x:c r="B1475" s="11" t="n">
        <x:v>44989.654861111114</x:v>
      </x:c>
      <x:c r="C1475" s="13" t="n">
        <x:v>0.6548611111111111</x:v>
      </x:c>
      <x:c r="D1475" t="str">
        <x:v>Damak</x:v>
      </x:c>
      <x:c r="E1475" t="str">
        <x:v>Milan’s Bakery</x:v>
      </x:c>
      <x:c r="F1475" t="str">
        <x:v>Vanilla Cake</x:v>
      </x:c>
      <x:c r="G1475" t="str">
        <x:v>Food</x:v>
      </x:c>
      <x:c r="H1475" t="n">
        <x:v>4</x:v>
      </x:c>
      <x:c r="I1475" s="14" t="n">
        <x:v>245</x:v>
      </x:c>
      <x:c r="J1475" s="14" t="n">
        <x:v>980</x:v>
      </x:c>
      <x:c r="K1475" t="str">
        <x:v>DEMO / SIMULATED</x:v>
      </x:c>
    </x:row>
    <x:row r="1476">
      <x:c r="A1476" t="str">
        <x:v>JFD-20250914-0838</x:v>
      </x:c>
      <x:c r="B1476" s="11" t="n">
        <x:v>45914.84861111111</x:v>
      </x:c>
      <x:c r="C1476" s="13" t="n">
        <x:v>0.8486111111111111</x:v>
      </x:c>
      <x:c r="D1476" t="str">
        <x:v>Damak</x:v>
      </x:c>
      <x:c r="E1476" t="str">
        <x:v>Milan’s Bakery</x:v>
      </x:c>
      <x:c r="F1476" t="str">
        <x:v>Coca-Cola 500ml</x:v>
      </x:c>
      <x:c r="G1476" t="str">
        <x:v>Drink</x:v>
      </x:c>
      <x:c r="H1476" t="n">
        <x:v>2</x:v>
      </x:c>
      <x:c r="I1476" s="14" t="n">
        <x:v>95</x:v>
      </x:c>
      <x:c r="J1476" s="14" t="n">
        <x:v>190</x:v>
      </x:c>
      <x:c r="K1476" t="str">
        <x:v>DEMO / SIMULATED</x:v>
      </x:c>
    </x:row>
    <x:row r="1477">
      <x:c r="A1477" t="str">
        <x:v>JFD-20260719-0839</x:v>
      </x:c>
      <x:c r="B1477" s="11" t="n">
        <x:v>46222.81527777778</x:v>
      </x:c>
      <x:c r="C1477" s="13" t="n">
        <x:v>0.8152777777777778</x:v>
      </x:c>
      <x:c r="D1477" t="str">
        <x:v>Birtamode</x:v>
      </x:c>
      <x:c r="E1477" t="str">
        <x:v>Pizza Ghar</x:v>
      </x:c>
      <x:c r="F1477" t="str">
        <x:v>Coca-Cola 500ml</x:v>
      </x:c>
      <x:c r="G1477" t="str">
        <x:v>Drink</x:v>
      </x:c>
      <x:c r="H1477" t="n">
        <x:v>4</x:v>
      </x:c>
      <x:c r="I1477" s="14" t="n">
        <x:v>100</x:v>
      </x:c>
      <x:c r="J1477" s="14" t="n">
        <x:v>400</x:v>
      </x:c>
      <x:c r="K1477" t="str">
        <x:v>DEMO / SIMULATED</x:v>
      </x:c>
    </x:row>
    <x:row r="1478">
      <x:c r="A1478" t="str">
        <x:v>JFD-20260719-0839</x:v>
      </x:c>
      <x:c r="B1478" s="11" t="n">
        <x:v>46222.864583333336</x:v>
      </x:c>
      <x:c r="C1478" s="13" t="n">
        <x:v>0.8645833333333334</x:v>
      </x:c>
      <x:c r="D1478" t="str">
        <x:v>Birtamode</x:v>
      </x:c>
      <x:c r="E1478" t="str">
        <x:v>Pizza Ghar</x:v>
      </x:c>
      <x:c r="F1478" t="str">
        <x:v>Chicken Fried Rice</x:v>
      </x:c>
      <x:c r="G1478" t="str">
        <x:v>Food</x:v>
      </x:c>
      <x:c r="H1478" t="n">
        <x:v>2</x:v>
      </x:c>
      <x:c r="I1478" s="14" t="n">
        <x:v>300</x:v>
      </x:c>
      <x:c r="J1478" s="14" t="n">
        <x:v>600</x:v>
      </x:c>
      <x:c r="K1478" t="str">
        <x:v>DEMO / SIMULATED</x:v>
      </x:c>
    </x:row>
    <x:row r="1479">
      <x:c r="A1479" t="str">
        <x:v>JFD-20230724-0840</x:v>
      </x:c>
      <x:c r="B1479" s="11" t="n">
        <x:v>45131.51875</x:v>
      </x:c>
      <x:c r="C1479" s="13" t="n">
        <x:v>0.51875</x:v>
      </x:c>
      <x:c r="D1479" t="str">
        <x:v>Damak</x:v>
      </x:c>
      <x:c r="E1479" t="str">
        <x:v>Milan’s Bakery</x:v>
      </x:c>
      <x:c r="F1479" t="str">
        <x:v>Black Forest Cake</x:v>
      </x:c>
      <x:c r="G1479" t="str">
        <x:v>Food</x:v>
      </x:c>
      <x:c r="H1479" t="n">
        <x:v>4</x:v>
      </x:c>
      <x:c r="I1479" s="14" t="n">
        <x:v>245</x:v>
      </x:c>
      <x:c r="J1479" s="14" t="n">
        <x:v>980</x:v>
      </x:c>
      <x:c r="K1479" t="str">
        <x:v>DEMO / SIMULATED</x:v>
      </x:c>
    </x:row>
    <x:row r="1480">
      <x:c r="A1480" t="str">
        <x:v>JFD-20230724-0840</x:v>
      </x:c>
      <x:c r="B1480" s="11" t="n">
        <x:v>45131.50069444445</x:v>
      </x:c>
      <x:c r="C1480" s="13" t="n">
        <x:v>0.5006944444444444</x:v>
      </x:c>
      <x:c r="D1480" t="str">
        <x:v>Damak</x:v>
      </x:c>
      <x:c r="E1480" t="str">
        <x:v>Milan’s Bakery</x:v>
      </x:c>
      <x:c r="F1480" t="str">
        <x:v>Vanilla Cake</x:v>
      </x:c>
      <x:c r="G1480" t="str">
        <x:v>Food</x:v>
      </x:c>
      <x:c r="H1480" t="n">
        <x:v>4</x:v>
      </x:c>
      <x:c r="I1480" s="14" t="n">
        <x:v>245</x:v>
      </x:c>
      <x:c r="J1480" s="14" t="n">
        <x:v>980</x:v>
      </x:c>
      <x:c r="K1480" t="str">
        <x:v>DEMO / SIMULATED</x:v>
      </x:c>
    </x:row>
    <x:row r="1481">
      <x:c r="A1481" t="str">
        <x:v>JFD-20231227-0841</x:v>
      </x:c>
      <x:c r="B1481" s="11" t="n">
        <x:v>45287.625</x:v>
      </x:c>
      <x:c r="C1481" s="13" t="n">
        <x:v>0.625</x:v>
      </x:c>
      <x:c r="D1481" t="str">
        <x:v>Birtamode</x:v>
      </x:c>
      <x:c r="E1481" t="str">
        <x:v>The Underground Cafe &amp; Restaurant</x:v>
      </x:c>
      <x:c r="F1481" t="str">
        <x:v>Bottled Water 1L</x:v>
      </x:c>
      <x:c r="G1481" t="str">
        <x:v>Drink</x:v>
      </x:c>
      <x:c r="H1481" t="n">
        <x:v>4</x:v>
      </x:c>
      <x:c r="I1481" s="14" t="n">
        <x:v>35</x:v>
      </x:c>
      <x:c r="J1481" s="14" t="n">
        <x:v>140</x:v>
      </x:c>
      <x:c r="K1481" t="str">
        <x:v>DEMO / SIMULATED</x:v>
      </x:c>
    </x:row>
    <x:row r="1482">
      <x:c r="A1482" t="str">
        <x:v>JFD-20250707-0842</x:v>
      </x:c>
      <x:c r="B1482" s="11" t="n">
        <x:v>45845.425</x:v>
      </x:c>
      <x:c r="C1482" s="13" t="n">
        <x:v>0.425</x:v>
      </x:c>
      <x:c r="D1482" t="str">
        <x:v>Damak</x:v>
      </x:c>
      <x:c r="E1482" t="str">
        <x:v>Milan’s Bakery</x:v>
      </x:c>
      <x:c r="F1482" t="str">
        <x:v>Chocolate Cake</x:v>
      </x:c>
      <x:c r="G1482" t="str">
        <x:v>Food</x:v>
      </x:c>
      <x:c r="H1482" t="n">
        <x:v>2</x:v>
      </x:c>
      <x:c r="I1482" s="14" t="n">
        <x:v>330</x:v>
      </x:c>
      <x:c r="J1482" s="14" t="n">
        <x:v>660</x:v>
      </x:c>
      <x:c r="K1482" t="str">
        <x:v>DEMO / SIMULATED</x:v>
      </x:c>
    </x:row>
    <x:row r="1483">
      <x:c r="A1483" t="str">
        <x:v>JFD-20250707-0842</x:v>
      </x:c>
      <x:c r="B1483" s="11" t="n">
        <x:v>45845.9125</x:v>
      </x:c>
      <x:c r="C1483" s="13" t="n">
        <x:v>0.9125</x:v>
      </x:c>
      <x:c r="D1483" t="str">
        <x:v>Damak</x:v>
      </x:c>
      <x:c r="E1483" t="str">
        <x:v>Milan’s Bakery</x:v>
      </x:c>
      <x:c r="F1483" t="str">
        <x:v>Bottled Water 1L</x:v>
      </x:c>
      <x:c r="G1483" t="str">
        <x:v>Drink</x:v>
      </x:c>
      <x:c r="H1483" t="n">
        <x:v>2</x:v>
      </x:c>
      <x:c r="I1483" s="14" t="n">
        <x:v>40</x:v>
      </x:c>
      <x:c r="J1483" s="14" t="n">
        <x:v>80</x:v>
      </x:c>
      <x:c r="K1483" t="str">
        <x:v>DEMO / SIMULATED</x:v>
      </x:c>
    </x:row>
    <x:row r="1484">
      <x:c r="A1484" t="str">
        <x:v>JFD-20230513-0843</x:v>
      </x:c>
      <x:c r="B1484" s="11" t="n">
        <x:v>45059.85486111111</x:v>
      </x:c>
      <x:c r="C1484" s="13" t="n">
        <x:v>0.8548611111111111</x:v>
      </x:c>
      <x:c r="D1484" t="str">
        <x:v>Damak</x:v>
      </x:c>
      <x:c r="E1484" t="str">
        <x:v>Milan’s Bakery</x:v>
      </x:c>
      <x:c r="F1484" t="str">
        <x:v>Red Velvet Cake</x:v>
      </x:c>
      <x:c r="G1484" t="str">
        <x:v>Food</x:v>
      </x:c>
      <x:c r="H1484" t="n">
        <x:v>4</x:v>
      </x:c>
      <x:c r="I1484" s="14" t="n">
        <x:v>740</x:v>
      </x:c>
      <x:c r="J1484" s="14" t="n">
        <x:v>2960</x:v>
      </x:c>
      <x:c r="K1484" t="str">
        <x:v>DEMO / SIMULATED</x:v>
      </x:c>
    </x:row>
    <x:row r="1485">
      <x:c r="A1485" t="str">
        <x:v>JFD-20230513-0843</x:v>
      </x:c>
      <x:c r="B1485" s="11" t="n">
        <x:v>45059.69861111111</x:v>
      </x:c>
      <x:c r="C1485" s="13" t="n">
        <x:v>0.6986111111111111</x:v>
      </x:c>
      <x:c r="D1485" t="str">
        <x:v>Damak</x:v>
      </x:c>
      <x:c r="E1485" t="str">
        <x:v>Milan’s Bakery</x:v>
      </x:c>
      <x:c r="F1485" t="str">
        <x:v>Coca-Cola 500ml</x:v>
      </x:c>
      <x:c r="G1485" t="str">
        <x:v>Drink</x:v>
      </x:c>
      <x:c r="H1485" t="n">
        <x:v>2</x:v>
      </x:c>
      <x:c r="I1485" s="14" t="n">
        <x:v>80</x:v>
      </x:c>
      <x:c r="J1485" s="14" t="n">
        <x:v>160</x:v>
      </x:c>
      <x:c r="K1485" t="str">
        <x:v>DEMO / SIMULATED</x:v>
      </x:c>
    </x:row>
    <x:row r="1486">
      <x:c r="A1486" t="str">
        <x:v>JFD-20250403-0844</x:v>
      </x:c>
      <x:c r="B1486" s="11" t="n">
        <x:v>45750.71041666667</x:v>
      </x:c>
      <x:c r="C1486" s="13" t="n">
        <x:v>0.7104166666666667</x:v>
      </x:c>
      <x:c r="D1486" t="str">
        <x:v>Birtamode</x:v>
      </x:c>
      <x:c r="E1486" t="str">
        <x:v>The Underground Cafe &amp; Restaurant</x:v>
      </x:c>
      <x:c r="F1486" t="str">
        <x:v>Paneer Pakauda</x:v>
      </x:c>
      <x:c r="G1486" t="str">
        <x:v>Food</x:v>
      </x:c>
      <x:c r="H1486" t="n">
        <x:v>2</x:v>
      </x:c>
      <x:c r="I1486" s="14" t="n">
        <x:v>210</x:v>
      </x:c>
      <x:c r="J1486" s="14" t="n">
        <x:v>420</x:v>
      </x:c>
      <x:c r="K1486" t="str">
        <x:v>DEMO / SIMULATED</x:v>
      </x:c>
    </x:row>
    <x:row r="1487">
      <x:c r="A1487" t="str">
        <x:v>JFD-20250403-0844</x:v>
      </x:c>
      <x:c r="B1487" s="11" t="n">
        <x:v>45750.65347222222</x:v>
      </x:c>
      <x:c r="C1487" s="13" t="n">
        <x:v>0.6534722222222222</x:v>
      </x:c>
      <x:c r="D1487" t="str">
        <x:v>Birtamode</x:v>
      </x:c>
      <x:c r="E1487" t="str">
        <x:v>The Underground Cafe &amp; Restaurant</x:v>
      </x:c>
      <x:c r="F1487" t="str">
        <x:v>Bottled Water 1L</x:v>
      </x:c>
      <x:c r="G1487" t="str">
        <x:v>Drink</x:v>
      </x:c>
      <x:c r="H1487" t="n">
        <x:v>3</x:v>
      </x:c>
      <x:c r="I1487" s="14" t="n">
        <x:v>40</x:v>
      </x:c>
      <x:c r="J1487" s="14" t="n">
        <x:v>120</x:v>
      </x:c>
      <x:c r="K1487" t="str">
        <x:v>DEMO / SIMULATED</x:v>
      </x:c>
    </x:row>
    <x:row r="1488">
      <x:c r="A1488" t="str">
        <x:v>JFD-20260730-0845</x:v>
      </x:c>
      <x:c r="B1488" s="11" t="n">
        <x:v>46233.552777777775</x:v>
      </x:c>
      <x:c r="C1488" s="13" t="n">
        <x:v>0.5527777777777778</x:v>
      </x:c>
      <x:c r="D1488" t="str">
        <x:v>Damak</x:v>
      </x:c>
      <x:c r="E1488" t="str">
        <x:v>Milan’s Bakery</x:v>
      </x:c>
      <x:c r="F1488" t="str">
        <x:v>Bottled Water 1L</x:v>
      </x:c>
      <x:c r="G1488" t="str">
        <x:v>Drink</x:v>
      </x:c>
      <x:c r="H1488" t="n">
        <x:v>1</x:v>
      </x:c>
      <x:c r="I1488" s="14" t="n">
        <x:v>40</x:v>
      </x:c>
      <x:c r="J1488" s="14" t="n">
        <x:v>40</x:v>
      </x:c>
      <x:c r="K1488" t="str">
        <x:v>DEMO / SIMULATED</x:v>
      </x:c>
    </x:row>
    <x:row r="1489">
      <x:c r="A1489" t="str">
        <x:v>JFD-20230911-0846</x:v>
      </x:c>
      <x:c r="B1489" s="11" t="n">
        <x:v>45180.75277777778</x:v>
      </x:c>
      <x:c r="C1489" s="13" t="n">
        <x:v>0.7527777777777778</x:v>
      </x:c>
      <x:c r="D1489" t="str">
        <x:v>Damak</x:v>
      </x:c>
      <x:c r="E1489" t="str">
        <x:v>Milan’s Bakery</x:v>
      </x:c>
      <x:c r="F1489" t="str">
        <x:v>Black Forest Cake</x:v>
      </x:c>
      <x:c r="G1489" t="str">
        <x:v>Food</x:v>
      </x:c>
      <x:c r="H1489" t="n">
        <x:v>3</x:v>
      </x:c>
      <x:c r="I1489" s="14" t="n">
        <x:v>245</x:v>
      </x:c>
      <x:c r="J1489" s="14" t="n">
        <x:v>735</x:v>
      </x:c>
      <x:c r="K1489" t="str">
        <x:v>DEMO / SIMULATED</x:v>
      </x:c>
    </x:row>
    <x:row r="1490">
      <x:c r="A1490" t="str">
        <x:v>JFD-20230911-0846</x:v>
      </x:c>
      <x:c r="B1490" s="11" t="n">
        <x:v>45180.45416666667</x:v>
      </x:c>
      <x:c r="C1490" s="13" t="n">
        <x:v>0.45416666666666666</x:v>
      </x:c>
      <x:c r="D1490" t="str">
        <x:v>Damak</x:v>
      </x:c>
      <x:c r="E1490" t="str">
        <x:v>Milan’s Bakery</x:v>
      </x:c>
      <x:c r="F1490" t="str">
        <x:v>Red Velvet Cake</x:v>
      </x:c>
      <x:c r="G1490" t="str">
        <x:v>Food</x:v>
      </x:c>
      <x:c r="H1490" t="n">
        <x:v>4</x:v>
      </x:c>
      <x:c r="I1490" s="14" t="n">
        <x:v>740</x:v>
      </x:c>
      <x:c r="J1490" s="14" t="n">
        <x:v>2960</x:v>
      </x:c>
      <x:c r="K1490" t="str">
        <x:v>DEMO / SIMULATED</x:v>
      </x:c>
    </x:row>
    <x:row r="1491">
      <x:c r="A1491" t="str">
        <x:v>JFD-20230911-0846</x:v>
      </x:c>
      <x:c r="B1491" s="11" t="n">
        <x:v>45180.45277777778</x:v>
      </x:c>
      <x:c r="C1491" s="13" t="n">
        <x:v>0.4527777777777778</x:v>
      </x:c>
      <x:c r="D1491" t="str">
        <x:v>Damak</x:v>
      </x:c>
      <x:c r="E1491" t="str">
        <x:v>Milan’s Bakery</x:v>
      </x:c>
      <x:c r="F1491" t="str">
        <x:v>Bottled Water 1L</x:v>
      </x:c>
      <x:c r="G1491" t="str">
        <x:v>Drink</x:v>
      </x:c>
      <x:c r="H1491" t="n">
        <x:v>3</x:v>
      </x:c>
      <x:c r="I1491" s="14" t="n">
        <x:v>35</x:v>
      </x:c>
      <x:c r="J1491" s="14" t="n">
        <x:v>105</x:v>
      </x:c>
      <x:c r="K1491" t="str">
        <x:v>DEMO / SIMULATED</x:v>
      </x:c>
    </x:row>
    <x:row r="1492">
      <x:c r="A1492" t="str">
        <x:v>JFD-20260105-0847</x:v>
      </x:c>
      <x:c r="B1492" s="11" t="n">
        <x:v>46027.691666666666</x:v>
      </x:c>
      <x:c r="C1492" s="13" t="n">
        <x:v>0.6916666666666667</x:v>
      </x:c>
      <x:c r="D1492" t="str">
        <x:v>Damak</x:v>
      </x:c>
      <x:c r="E1492" t="str">
        <x:v>Late Night Cravings</x:v>
      </x:c>
      <x:c r="F1492" t="str">
        <x:v>Egg Fry Rice</x:v>
      </x:c>
      <x:c r="G1492" t="str">
        <x:v>Food</x:v>
      </x:c>
      <x:c r="H1492" t="n">
        <x:v>2</x:v>
      </x:c>
      <x:c r="I1492" s="14" t="n">
        <x:v>200</x:v>
      </x:c>
      <x:c r="J1492" s="14" t="n">
        <x:v>400</x:v>
      </x:c>
      <x:c r="K1492" t="str">
        <x:v>DEMO / SIMULATED</x:v>
      </x:c>
    </x:row>
    <x:row r="1493">
      <x:c r="A1493" t="str">
        <x:v>JFD-20260105-0847</x:v>
      </x:c>
      <x:c r="B1493" s="11" t="n">
        <x:v>46027.68680555555</x:v>
      </x:c>
      <x:c r="C1493" s="13" t="n">
        <x:v>0.6868055555555556</x:v>
      </x:c>
      <x:c r="D1493" t="str">
        <x:v>Damak</x:v>
      </x:c>
      <x:c r="E1493" t="str">
        <x:v>Late Night Cravings</x:v>
      </x:c>
      <x:c r="F1493" t="str">
        <x:v>Coca-Cola 500ml</x:v>
      </x:c>
      <x:c r="G1493" t="str">
        <x:v>Drink</x:v>
      </x:c>
      <x:c r="H1493" t="n">
        <x:v>1</x:v>
      </x:c>
      <x:c r="I1493" s="14" t="n">
        <x:v>100</x:v>
      </x:c>
      <x:c r="J1493" s="14" t="n">
        <x:v>100</x:v>
      </x:c>
      <x:c r="K1493" t="str">
        <x:v>DEMO / SIMULATED</x:v>
      </x:c>
    </x:row>
    <x:row r="1494">
      <x:c r="A1494" t="str">
        <x:v>JFD-20230328-0848</x:v>
      </x:c>
      <x:c r="B1494" s="11" t="n">
        <x:v>45013.524305555555</x:v>
      </x:c>
      <x:c r="C1494" s="13" t="n">
        <x:v>0.5243055555555556</x:v>
      </x:c>
      <x:c r="D1494" t="str">
        <x:v>Birtamode</x:v>
      </x:c>
      <x:c r="E1494" t="str">
        <x:v>The Underground Cafe &amp; Restaurant</x:v>
      </x:c>
      <x:c r="F1494" t="str">
        <x:v>Bottled Water 1L</x:v>
      </x:c>
      <x:c r="G1494" t="str">
        <x:v>Drink</x:v>
      </x:c>
      <x:c r="H1494" t="n">
        <x:v>1</x:v>
      </x:c>
      <x:c r="I1494" s="14" t="n">
        <x:v>35</x:v>
      </x:c>
      <x:c r="J1494" s="14" t="n">
        <x:v>35</x:v>
      </x:c>
      <x:c r="K1494" t="str">
        <x:v>DEMO / SIMULATED</x:v>
      </x:c>
    </x:row>
    <x:row r="1495">
      <x:c r="A1495" t="str">
        <x:v>JFD-20230328-0848</x:v>
      </x:c>
      <x:c r="B1495" s="11" t="n">
        <x:v>45013.88958333333</x:v>
      </x:c>
      <x:c r="C1495" s="13" t="n">
        <x:v>0.8895833333333333</x:v>
      </x:c>
      <x:c r="D1495" t="str">
        <x:v>Birtamode</x:v>
      </x:c>
      <x:c r="E1495" t="str">
        <x:v>The Underground Cafe &amp; Restaurant</x:v>
      </x:c>
      <x:c r="F1495" t="str">
        <x:v>Coca-Cola 500ml</x:v>
      </x:c>
      <x:c r="G1495" t="str">
        <x:v>Drink</x:v>
      </x:c>
      <x:c r="H1495" t="n">
        <x:v>4</x:v>
      </x:c>
      <x:c r="I1495" s="14" t="n">
        <x:v>80</x:v>
      </x:c>
      <x:c r="J1495" s="14" t="n">
        <x:v>320</x:v>
      </x:c>
      <x:c r="K1495" t="str">
        <x:v>DEMO / SIMULATED</x:v>
      </x:c>
    </x:row>
    <x:row r="1496">
      <x:c r="A1496" t="str">
        <x:v>JFD-20240525-0849</x:v>
      </x:c>
      <x:c r="B1496" s="11" t="n">
        <x:v>45437.700694444444</x:v>
      </x:c>
      <x:c r="C1496" s="13" t="n">
        <x:v>0.7006944444444444</x:v>
      </x:c>
      <x:c r="D1496" t="str">
        <x:v>Damak</x:v>
      </x:c>
      <x:c r="E1496" t="str">
        <x:v>Milan’s Bakery</x:v>
      </x:c>
      <x:c r="F1496" t="str">
        <x:v>Bottled Water 1L</x:v>
      </x:c>
      <x:c r="G1496" t="str">
        <x:v>Drink</x:v>
      </x:c>
      <x:c r="H1496" t="n">
        <x:v>2</x:v>
      </x:c>
      <x:c r="I1496" s="14" t="n">
        <x:v>35</x:v>
      </x:c>
      <x:c r="J1496" s="14" t="n">
        <x:v>70</x:v>
      </x:c>
      <x:c r="K1496" t="str">
        <x:v>DEMO / SIMULATED</x:v>
      </x:c>
    </x:row>
    <x:row r="1497">
      <x:c r="A1497" t="str">
        <x:v>JFD-20240525-0849</x:v>
      </x:c>
      <x:c r="B1497" s="11" t="n">
        <x:v>45437.52013888889</x:v>
      </x:c>
      <x:c r="C1497" s="13" t="n">
        <x:v>0.5201388888888889</x:v>
      </x:c>
      <x:c r="D1497" t="str">
        <x:v>Damak</x:v>
      </x:c>
      <x:c r="E1497" t="str">
        <x:v>Milan’s Bakery</x:v>
      </x:c>
      <x:c r="F1497" t="str">
        <x:v>Vanilla Cake</x:v>
      </x:c>
      <x:c r="G1497" t="str">
        <x:v>Food</x:v>
      </x:c>
      <x:c r="H1497" t="n">
        <x:v>1</x:v>
      </x:c>
      <x:c r="I1497" s="14" t="n">
        <x:v>265</x:v>
      </x:c>
      <x:c r="J1497" s="14" t="n">
        <x:v>265</x:v>
      </x:c>
      <x:c r="K1497" t="str">
        <x:v>DEMO / SIMULATED</x:v>
      </x:c>
    </x:row>
    <x:row r="1498">
      <x:c r="A1498" t="str">
        <x:v>JFD-20240525-0849</x:v>
      </x:c>
      <x:c r="B1498" s="11" t="n">
        <x:v>45437.69305555556</x:v>
      </x:c>
      <x:c r="C1498" s="13" t="n">
        <x:v>0.6930555555555555</x:v>
      </x:c>
      <x:c r="D1498" t="str">
        <x:v>Damak</x:v>
      </x:c>
      <x:c r="E1498" t="str">
        <x:v>Milan’s Bakery</x:v>
      </x:c>
      <x:c r="F1498" t="str">
        <x:v>Coca-Cola 500ml</x:v>
      </x:c>
      <x:c r="G1498" t="str">
        <x:v>Drink</x:v>
      </x:c>
      <x:c r="H1498" t="n">
        <x:v>2</x:v>
      </x:c>
      <x:c r="I1498" s="14" t="n">
        <x:v>90</x:v>
      </x:c>
      <x:c r="J1498" s="14" t="n">
        <x:v>180</x:v>
      </x:c>
      <x:c r="K1498" t="str">
        <x:v>DEMO / SIMULATED</x:v>
      </x:c>
    </x:row>
    <x:row r="1499">
      <x:c r="A1499" t="str">
        <x:v>JFD-20240910-0850</x:v>
      </x:c>
      <x:c r="B1499" s="11" t="n">
        <x:v>45545.59930555556</x:v>
      </x:c>
      <x:c r="C1499" s="13" t="n">
        <x:v>0.5993055555555555</x:v>
      </x:c>
      <x:c r="D1499" t="str">
        <x:v>Birtamode</x:v>
      </x:c>
      <x:c r="E1499" t="str">
        <x:v>The Underground Cafe &amp; Restaurant</x:v>
      </x:c>
      <x:c r="F1499" t="str">
        <x:v>Coca-Cola 500ml</x:v>
      </x:c>
      <x:c r="G1499" t="str">
        <x:v>Drink</x:v>
      </x:c>
      <x:c r="H1499" t="n">
        <x:v>1</x:v>
      </x:c>
      <x:c r="I1499" s="14" t="n">
        <x:v>90</x:v>
      </x:c>
      <x:c r="J1499" s="14" t="n">
        <x:v>90</x:v>
      </x:c>
      <x:c r="K1499" t="str">
        <x:v>DEMO / SIMULATED</x:v>
      </x:c>
    </x:row>
    <x:row r="1500">
      <x:c r="A1500" t="str">
        <x:v>JFD-20240910-0850</x:v>
      </x:c>
      <x:c r="B1500" s="11" t="n">
        <x:v>45545.436111111114</x:v>
      </x:c>
      <x:c r="C1500" s="13" t="n">
        <x:v>0.4361111111111111</x:v>
      </x:c>
      <x:c r="D1500" t="str">
        <x:v>Birtamode</x:v>
      </x:c>
      <x:c r="E1500" t="str">
        <x:v>The Underground Cafe &amp; Restaurant</x:v>
      </x:c>
      <x:c r="F1500" t="str">
        <x:v>Aalu Jeera</x:v>
      </x:c>
      <x:c r="G1500" t="str">
        <x:v>Food</x:v>
      </x:c>
      <x:c r="H1500" t="n">
        <x:v>4</x:v>
      </x:c>
      <x:c r="I1500" s="14" t="n">
        <x:v>135</x:v>
      </x:c>
      <x:c r="J1500" s="14" t="n">
        <x:v>540</x:v>
      </x:c>
      <x:c r="K1500" t="str">
        <x:v>DEMO / SIMULATED</x:v>
      </x:c>
    </x:row>
    <x:row r="1501">
      <x:c r="A1501" t="str">
        <x:v>JFD-20260311-0851</x:v>
      </x:c>
      <x:c r="B1501" s="11" t="n">
        <x:v>46092.4375</x:v>
      </x:c>
      <x:c r="C1501" s="13" t="n">
        <x:v>0.4375</x:v>
      </x:c>
      <x:c r="D1501" t="str">
        <x:v>Damak</x:v>
      </x:c>
      <x:c r="E1501" t="str">
        <x:v>Milan’s Bakery</x:v>
      </x:c>
      <x:c r="F1501" t="str">
        <x:v>Vanilla Cake</x:v>
      </x:c>
      <x:c r="G1501" t="str">
        <x:v>Food</x:v>
      </x:c>
      <x:c r="H1501" t="n">
        <x:v>1</x:v>
      </x:c>
      <x:c r="I1501" s="14" t="n">
        <x:v>300</x:v>
      </x:c>
      <x:c r="J1501" s="14" t="n">
        <x:v>300</x:v>
      </x:c>
      <x:c r="K1501" t="str">
        <x:v>DEMO / SIMULATED</x:v>
      </x:c>
    </x:row>
    <x:row r="1502">
      <x:c r="A1502" t="str">
        <x:v>JFD-20260311-0851</x:v>
      </x:c>
      <x:c r="B1502" s="11" t="n">
        <x:v>46092.604166666664</x:v>
      </x:c>
      <x:c r="C1502" s="13" t="n">
        <x:v>0.6041666666666666</x:v>
      </x:c>
      <x:c r="D1502" t="str">
        <x:v>Damak</x:v>
      </x:c>
      <x:c r="E1502" t="str">
        <x:v>Milan’s Bakery</x:v>
      </x:c>
      <x:c r="F1502" t="str">
        <x:v>Coca-Cola 500ml</x:v>
      </x:c>
      <x:c r="G1502" t="str">
        <x:v>Drink</x:v>
      </x:c>
      <x:c r="H1502" t="n">
        <x:v>3</x:v>
      </x:c>
      <x:c r="I1502" s="14" t="n">
        <x:v>100</x:v>
      </x:c>
      <x:c r="J1502" s="14" t="n">
        <x:v>300</x:v>
      </x:c>
      <x:c r="K1502" t="str">
        <x:v>DEMO / SIMULATED</x:v>
      </x:c>
    </x:row>
    <x:row r="1503">
      <x:c r="A1503" t="str">
        <x:v>JFD-20230320-0852</x:v>
      </x:c>
      <x:c r="B1503" s="11" t="n">
        <x:v>45005.441666666666</x:v>
      </x:c>
      <x:c r="C1503" s="13" t="n">
        <x:v>0.44166666666666665</x:v>
      </x:c>
      <x:c r="D1503" t="str">
        <x:v>Damak</x:v>
      </x:c>
      <x:c r="E1503" t="str">
        <x:v>Milan’s Bakery</x:v>
      </x:c>
      <x:c r="F1503" t="str">
        <x:v>Coca-Cola 500ml</x:v>
      </x:c>
      <x:c r="G1503" t="str">
        <x:v>Drink</x:v>
      </x:c>
      <x:c r="H1503" t="n">
        <x:v>1</x:v>
      </x:c>
      <x:c r="I1503" s="14" t="n">
        <x:v>80</x:v>
      </x:c>
      <x:c r="J1503" s="14" t="n">
        <x:v>80</x:v>
      </x:c>
      <x:c r="K1503" t="str">
        <x:v>DEMO / SIMULATED</x:v>
      </x:c>
    </x:row>
    <x:row r="1504">
      <x:c r="A1504" t="str">
        <x:v>JFD-20230716-0853</x:v>
      </x:c>
      <x:c r="B1504" s="11" t="n">
        <x:v>45123.91180555556</x:v>
      </x:c>
      <x:c r="C1504" s="13" t="n">
        <x:v>0.9118055555555555</x:v>
      </x:c>
      <x:c r="D1504" t="str">
        <x:v>Birtamode</x:v>
      </x:c>
      <x:c r="E1504" t="str">
        <x:v>Pizza Ghar</x:v>
      </x:c>
      <x:c r="F1504" t="str">
        <x:v>Coca-Cola 500ml</x:v>
      </x:c>
      <x:c r="G1504" t="str">
        <x:v>Drink</x:v>
      </x:c>
      <x:c r="H1504" t="n">
        <x:v>4</x:v>
      </x:c>
      <x:c r="I1504" s="14" t="n">
        <x:v>80</x:v>
      </x:c>
      <x:c r="J1504" s="14" t="n">
        <x:v>320</x:v>
      </x:c>
      <x:c r="K1504" t="str">
        <x:v>DEMO / SIMULATED</x:v>
      </x:c>
    </x:row>
    <x:row r="1505">
      <x:c r="A1505" t="str">
        <x:v>JFD-20230716-0853</x:v>
      </x:c>
      <x:c r="B1505" s="11" t="n">
        <x:v>45123.90972222222</x:v>
      </x:c>
      <x:c r="C1505" s="13" t="n">
        <x:v>0.9097222222222222</x:v>
      </x:c>
      <x:c r="D1505" t="str">
        <x:v>Birtamode</x:v>
      </x:c>
      <x:c r="E1505" t="str">
        <x:v>Pizza Ghar</x:v>
      </x:c>
      <x:c r="F1505" t="str">
        <x:v>Bottled Water 1L</x:v>
      </x:c>
      <x:c r="G1505" t="str">
        <x:v>Drink</x:v>
      </x:c>
      <x:c r="H1505" t="n">
        <x:v>1</x:v>
      </x:c>
      <x:c r="I1505" s="14" t="n">
        <x:v>35</x:v>
      </x:c>
      <x:c r="J1505" s="14" t="n">
        <x:v>35</x:v>
      </x:c>
      <x:c r="K1505" t="str">
        <x:v>DEMO / SIMULATED</x:v>
      </x:c>
    </x:row>
    <x:row r="1506">
      <x:c r="A1506" t="str">
        <x:v>JFD-20230716-0853</x:v>
      </x:c>
      <x:c r="B1506" s="11" t="n">
        <x:v>45123.5875</x:v>
      </x:c>
      <x:c r="C1506" s="13" t="n">
        <x:v>0.5875</x:v>
      </x:c>
      <x:c r="D1506" t="str">
        <x:v>Birtamode</x:v>
      </x:c>
      <x:c r="E1506" t="str">
        <x:v>Pizza Ghar</x:v>
      </x:c>
      <x:c r="F1506" t="str">
        <x:v>Chicken BBQ Feast Pizza</x:v>
      </x:c>
      <x:c r="G1506" t="str">
        <x:v>Food</x:v>
      </x:c>
      <x:c r="H1506" t="n">
        <x:v>1</x:v>
      </x:c>
      <x:c r="I1506" s="14" t="n">
        <x:v>475</x:v>
      </x:c>
      <x:c r="J1506" s="14" t="n">
        <x:v>475</x:v>
      </x:c>
      <x:c r="K1506" t="str">
        <x:v>DEMO / SIMULATED</x:v>
      </x:c>
    </x:row>
    <x:row r="1507">
      <x:c r="A1507" t="str">
        <x:v>JFD-20230717-0854</x:v>
      </x:c>
      <x:c r="B1507" s="11" t="n">
        <x:v>45124.59583333333</x:v>
      </x:c>
      <x:c r="C1507" s="13" t="n">
        <x:v>0.5958333333333333</x:v>
      </x:c>
      <x:c r="D1507" t="str">
        <x:v>Damak</x:v>
      </x:c>
      <x:c r="E1507" t="str">
        <x:v>Late Night Cravings</x:v>
      </x:c>
      <x:c r="F1507" t="str">
        <x:v>Chicken Fry Rice</x:v>
      </x:c>
      <x:c r="G1507" t="str">
        <x:v>Food</x:v>
      </x:c>
      <x:c r="H1507" t="n">
        <x:v>3</x:v>
      </x:c>
      <x:c r="I1507" s="14" t="n">
        <x:v>180</x:v>
      </x:c>
      <x:c r="J1507" s="14" t="n">
        <x:v>540</x:v>
      </x:c>
      <x:c r="K1507" t="str">
        <x:v>DEMO / SIMULATED</x:v>
      </x:c>
    </x:row>
    <x:row r="1508">
      <x:c r="A1508" t="str">
        <x:v>JFD-20230717-0854</x:v>
      </x:c>
      <x:c r="B1508" s="11" t="n">
        <x:v>45124.88680555556</x:v>
      </x:c>
      <x:c r="C1508" s="13" t="n">
        <x:v>0.8868055555555555</x:v>
      </x:c>
      <x:c r="D1508" t="str">
        <x:v>Damak</x:v>
      </x:c>
      <x:c r="E1508" t="str">
        <x:v>Late Night Cravings</x:v>
      </x:c>
      <x:c r="F1508" t="str">
        <x:v>Egg Fry Rice</x:v>
      </x:c>
      <x:c r="G1508" t="str">
        <x:v>Food</x:v>
      </x:c>
      <x:c r="H1508" t="n">
        <x:v>1</x:v>
      </x:c>
      <x:c r="I1508" s="14" t="n">
        <x:v>165</x:v>
      </x:c>
      <x:c r="J1508" s="14" t="n">
        <x:v>165</x:v>
      </x:c>
      <x:c r="K1508" t="str">
        <x:v>DEMO / SIMULATED</x:v>
      </x:c>
    </x:row>
    <x:row r="1509">
      <x:c r="A1509" t="str">
        <x:v>JFD-20250828-0855</x:v>
      </x:c>
      <x:c r="B1509" s="11" t="n">
        <x:v>45897.868055555555</x:v>
      </x:c>
      <x:c r="C1509" s="13" t="n">
        <x:v>0.8680555555555556</x:v>
      </x:c>
      <x:c r="D1509" t="str">
        <x:v>Birtamode</x:v>
      </x:c>
      <x:c r="E1509" t="str">
        <x:v>Pizza Ghar</x:v>
      </x:c>
      <x:c r="F1509" t="str">
        <x:v>Egg Fried Rice</x:v>
      </x:c>
      <x:c r="G1509" t="str">
        <x:v>Food</x:v>
      </x:c>
      <x:c r="H1509" t="n">
        <x:v>2</x:v>
      </x:c>
      <x:c r="I1509" s="14" t="n">
        <x:v>255</x:v>
      </x:c>
      <x:c r="J1509" s="14" t="n">
        <x:v>510</x:v>
      </x:c>
      <x:c r="K1509" t="str">
        <x:v>DEMO / SIMULATED</x:v>
      </x:c>
    </x:row>
    <x:row r="1510">
      <x:c r="A1510" t="str">
        <x:v>JFD-20260108-0856</x:v>
      </x:c>
      <x:c r="B1510" s="11" t="n">
        <x:v>46030.77222222222</x:v>
      </x:c>
      <x:c r="C1510" s="13" t="n">
        <x:v>0.7722222222222223</x:v>
      </x:c>
      <x:c r="D1510" t="str">
        <x:v>Damak</x:v>
      </x:c>
      <x:c r="E1510" t="str">
        <x:v>Milan’s Bakery</x:v>
      </x:c>
      <x:c r="F1510" t="str">
        <x:v>Chocolate Cake</x:v>
      </x:c>
      <x:c r="G1510" t="str">
        <x:v>Food</x:v>
      </x:c>
      <x:c r="H1510" t="n">
        <x:v>3</x:v>
      </x:c>
      <x:c r="I1510" s="14" t="n">
        <x:v>350</x:v>
      </x:c>
      <x:c r="J1510" s="14" t="n">
        <x:v>1050</x:v>
      </x:c>
      <x:c r="K1510" t="str">
        <x:v>DEMO / SIMULATED</x:v>
      </x:c>
    </x:row>
    <x:row r="1511">
      <x:c r="A1511" t="str">
        <x:v>JFD-20260108-0856</x:v>
      </x:c>
      <x:c r="B1511" s="11" t="n">
        <x:v>46030.54652777778</x:v>
      </x:c>
      <x:c r="C1511" s="13" t="n">
        <x:v>0.5465277777777777</x:v>
      </x:c>
      <x:c r="D1511" t="str">
        <x:v>Damak</x:v>
      </x:c>
      <x:c r="E1511" t="str">
        <x:v>Milan’s Bakery</x:v>
      </x:c>
      <x:c r="F1511" t="str">
        <x:v>Coca-Cola 500ml</x:v>
      </x:c>
      <x:c r="G1511" t="str">
        <x:v>Drink</x:v>
      </x:c>
      <x:c r="H1511" t="n">
        <x:v>3</x:v>
      </x:c>
      <x:c r="I1511" s="14" t="n">
        <x:v>100</x:v>
      </x:c>
      <x:c r="J1511" s="14" t="n">
        <x:v>300</x:v>
      </x:c>
      <x:c r="K1511" t="str">
        <x:v>DEMO / SIMULATED</x:v>
      </x:c>
    </x:row>
    <x:row r="1512">
      <x:c r="A1512" t="str">
        <x:v>JFD-20260108-0856</x:v>
      </x:c>
      <x:c r="B1512" s="11" t="n">
        <x:v>46030.64861111111</x:v>
      </x:c>
      <x:c r="C1512" s="13" t="n">
        <x:v>0.6486111111111111</x:v>
      </x:c>
      <x:c r="D1512" t="str">
        <x:v>Damak</x:v>
      </x:c>
      <x:c r="E1512" t="str">
        <x:v>Milan’s Bakery</x:v>
      </x:c>
      <x:c r="F1512" t="str">
        <x:v>Bottled Water 1L</x:v>
      </x:c>
      <x:c r="G1512" t="str">
        <x:v>Drink</x:v>
      </x:c>
      <x:c r="H1512" t="n">
        <x:v>3</x:v>
      </x:c>
      <x:c r="I1512" s="14" t="n">
        <x:v>40</x:v>
      </x:c>
      <x:c r="J1512" s="14" t="n">
        <x:v>120</x:v>
      </x:c>
      <x:c r="K1512" t="str">
        <x:v>DEMO / SIMULATED</x:v>
      </x:c>
    </x:row>
    <x:row r="1513">
      <x:c r="A1513" t="str">
        <x:v>JFD-20240203-0857</x:v>
      </x:c>
      <x:c r="B1513" s="11" t="n">
        <x:v>45325.57638888889</x:v>
      </x:c>
      <x:c r="C1513" s="13" t="n">
        <x:v>0.5763888888888888</x:v>
      </x:c>
      <x:c r="D1513" t="str">
        <x:v>Birtamode</x:v>
      </x:c>
      <x:c r="E1513" t="str">
        <x:v>The Underground Cafe &amp; Restaurant</x:v>
      </x:c>
      <x:c r="F1513" t="str">
        <x:v>Bottled Water 1L</x:v>
      </x:c>
      <x:c r="G1513" t="str">
        <x:v>Drink</x:v>
      </x:c>
      <x:c r="H1513" t="n">
        <x:v>3</x:v>
      </x:c>
      <x:c r="I1513" s="14" t="n">
        <x:v>35</x:v>
      </x:c>
      <x:c r="J1513" s="14" t="n">
        <x:v>105</x:v>
      </x:c>
      <x:c r="K1513" t="str">
        <x:v>DEMO / SIMULATED</x:v>
      </x:c>
    </x:row>
    <x:row r="1514">
      <x:c r="A1514" t="str">
        <x:v>JFD-20260118-0858</x:v>
      </x:c>
      <x:c r="B1514" s="11" t="n">
        <x:v>46040.663194444445</x:v>
      </x:c>
      <x:c r="C1514" s="13" t="n">
        <x:v>0.6631944444444444</x:v>
      </x:c>
      <x:c r="D1514" t="str">
        <x:v>Birtamode</x:v>
      </x:c>
      <x:c r="E1514" t="str">
        <x:v>Pizza Ghar</x:v>
      </x:c>
      <x:c r="F1514" t="str">
        <x:v>Coca-Cola 500ml</x:v>
      </x:c>
      <x:c r="G1514" t="str">
        <x:v>Drink</x:v>
      </x:c>
      <x:c r="H1514" t="n">
        <x:v>3</x:v>
      </x:c>
      <x:c r="I1514" s="14" t="n">
        <x:v>100</x:v>
      </x:c>
      <x:c r="J1514" s="14" t="n">
        <x:v>300</x:v>
      </x:c>
      <x:c r="K1514" t="str">
        <x:v>DEMO / SIMULATED</x:v>
      </x:c>
    </x:row>
    <x:row r="1515">
      <x:c r="A1515" t="str">
        <x:v>JFD-20260118-0858</x:v>
      </x:c>
      <x:c r="B1515" s="11" t="n">
        <x:v>46040.60555555556</x:v>
      </x:c>
      <x:c r="C1515" s="13" t="n">
        <x:v>0.6055555555555555</x:v>
      </x:c>
      <x:c r="D1515" t="str">
        <x:v>Birtamode</x:v>
      </x:c>
      <x:c r="E1515" t="str">
        <x:v>Pizza Ghar</x:v>
      </x:c>
      <x:c r="F1515" t="str">
        <x:v>Chicken BBQ Feast Pizza</x:v>
      </x:c>
      <x:c r="G1515" t="str">
        <x:v>Food</x:v>
      </x:c>
      <x:c r="H1515" t="n">
        <x:v>1</x:v>
      </x:c>
      <x:c r="I1515" s="14" t="n">
        <x:v>580</x:v>
      </x:c>
      <x:c r="J1515" s="14" t="n">
        <x:v>580</x:v>
      </x:c>
      <x:c r="K1515" t="str">
        <x:v>DEMO / SIMULATED</x:v>
      </x:c>
    </x:row>
    <x:row r="1516">
      <x:c r="A1516" t="str">
        <x:v>JFD-20240815-0859</x:v>
      </x:c>
      <x:c r="B1516" s="11" t="n">
        <x:v>45519.79791666667</x:v>
      </x:c>
      <x:c r="C1516" s="13" t="n">
        <x:v>0.7979166666666667</x:v>
      </x:c>
      <x:c r="D1516" t="str">
        <x:v>Birtamode</x:v>
      </x:c>
      <x:c r="E1516" t="str">
        <x:v>The Underground Cafe &amp; Restaurant</x:v>
      </x:c>
      <x:c r="F1516" t="str">
        <x:v>Bottled Water 1L</x:v>
      </x:c>
      <x:c r="G1516" t="str">
        <x:v>Drink</x:v>
      </x:c>
      <x:c r="H1516" t="n">
        <x:v>4</x:v>
      </x:c>
      <x:c r="I1516" s="14" t="n">
        <x:v>35</x:v>
      </x:c>
      <x:c r="J1516" s="14" t="n">
        <x:v>140</x:v>
      </x:c>
      <x:c r="K1516" t="str">
        <x:v>DEMO / SIMULATED</x:v>
      </x:c>
    </x:row>
    <x:row r="1517">
      <x:c r="A1517" t="str">
        <x:v>JFD-20250616-0860</x:v>
      </x:c>
      <x:c r="B1517" s="11" t="n">
        <x:v>45824.69652777778</x:v>
      </x:c>
      <x:c r="C1517" s="13" t="n">
        <x:v>0.6965277777777777</x:v>
      </x:c>
      <x:c r="D1517" t="str">
        <x:v>Birtamode</x:v>
      </x:c>
      <x:c r="E1517" t="str">
        <x:v>The Underground Cafe &amp; Restaurant</x:v>
      </x:c>
      <x:c r="F1517" t="str">
        <x:v>Aalu Jeera</x:v>
      </x:c>
      <x:c r="G1517" t="str">
        <x:v>Food</x:v>
      </x:c>
      <x:c r="H1517" t="n">
        <x:v>4</x:v>
      </x:c>
      <x:c r="I1517" s="14" t="n">
        <x:v>145</x:v>
      </x:c>
      <x:c r="J1517" s="14" t="n">
        <x:v>580</x:v>
      </x:c>
      <x:c r="K1517" t="str">
        <x:v>DEMO / SIMULATED</x:v>
      </x:c>
    </x:row>
    <x:row r="1518">
      <x:c r="A1518" t="str">
        <x:v>JFD-20240128-0861</x:v>
      </x:c>
      <x:c r="B1518" s="11" t="n">
        <x:v>45319.626388888886</x:v>
      </x:c>
      <x:c r="C1518" s="13" t="n">
        <x:v>0.6263888888888889</x:v>
      </x:c>
      <x:c r="D1518" t="str">
        <x:v>Birtamode</x:v>
      </x:c>
      <x:c r="E1518" t="str">
        <x:v>Pizza Ghar</x:v>
      </x:c>
      <x:c r="F1518" t="str">
        <x:v>Veg Fried Rice</x:v>
      </x:c>
      <x:c r="G1518" t="str">
        <x:v>Food</x:v>
      </x:c>
      <x:c r="H1518" t="n">
        <x:v>1</x:v>
      </x:c>
      <x:c r="I1518" s="14" t="n">
        <x:v>195</x:v>
      </x:c>
      <x:c r="J1518" s="14" t="n">
        <x:v>195</x:v>
      </x:c>
      <x:c r="K1518" t="str">
        <x:v>DEMO / SIMULATED</x:v>
      </x:c>
    </x:row>
    <x:row r="1519">
      <x:c r="A1519" t="str">
        <x:v>JFD-20260909-0862</x:v>
      </x:c>
      <x:c r="B1519" s="11" t="n">
        <x:v>46274.87847222222</x:v>
      </x:c>
      <x:c r="C1519" s="13" t="n">
        <x:v>0.8784722222222222</x:v>
      </x:c>
      <x:c r="D1519" t="str">
        <x:v>Birtamode</x:v>
      </x:c>
      <x:c r="E1519" t="str">
        <x:v>Pizza Ghar</x:v>
      </x:c>
      <x:c r="F1519" t="str">
        <x:v>Chicken BBQ Feast Pizza</x:v>
      </x:c>
      <x:c r="G1519" t="str">
        <x:v>Food</x:v>
      </x:c>
      <x:c r="H1519" t="n">
        <x:v>4</x:v>
      </x:c>
      <x:c r="I1519" s="14" t="n">
        <x:v>580</x:v>
      </x:c>
      <x:c r="J1519" s="14" t="n">
        <x:v>2320</x:v>
      </x:c>
      <x:c r="K1519" t="str">
        <x:v>DEMO / SIMULATED</x:v>
      </x:c>
    </x:row>
    <x:row r="1520">
      <x:c r="A1520" t="str">
        <x:v>JFD-20260909-0862</x:v>
      </x:c>
      <x:c r="B1520" s="11" t="n">
        <x:v>46274.60138888889</x:v>
      </x:c>
      <x:c r="C1520" s="13" t="n">
        <x:v>0.6013888888888889</x:v>
      </x:c>
      <x:c r="D1520" t="str">
        <x:v>Birtamode</x:v>
      </x:c>
      <x:c r="E1520" t="str">
        <x:v>Pizza Ghar</x:v>
      </x:c>
      <x:c r="F1520" t="str">
        <x:v>Chicken Fried Rice</x:v>
      </x:c>
      <x:c r="G1520" t="str">
        <x:v>Food</x:v>
      </x:c>
      <x:c r="H1520" t="n">
        <x:v>1</x:v>
      </x:c>
      <x:c r="I1520" s="14" t="n">
        <x:v>300</x:v>
      </x:c>
      <x:c r="J1520" s="14" t="n">
        <x:v>300</x:v>
      </x:c>
      <x:c r="K1520" t="str">
        <x:v>DEMO / SIMULATED</x:v>
      </x:c>
    </x:row>
    <x:row r="1521">
      <x:c r="A1521" t="str">
        <x:v>JFD-20241107-0863</x:v>
      </x:c>
      <x:c r="B1521" s="11" t="n">
        <x:v>45603.56805555556</x:v>
      </x:c>
      <x:c r="C1521" s="13" t="n">
        <x:v>0.5680555555555555</x:v>
      </x:c>
      <x:c r="D1521" t="str">
        <x:v>Damak</x:v>
      </x:c>
      <x:c r="E1521" t="str">
        <x:v>Milan’s Bakery</x:v>
      </x:c>
      <x:c r="F1521" t="str">
        <x:v>Coca-Cola 500ml</x:v>
      </x:c>
      <x:c r="G1521" t="str">
        <x:v>Drink</x:v>
      </x:c>
      <x:c r="H1521" t="n">
        <x:v>1</x:v>
      </x:c>
      <x:c r="I1521" s="14" t="n">
        <x:v>90</x:v>
      </x:c>
      <x:c r="J1521" s="14" t="n">
        <x:v>90</x:v>
      </x:c>
      <x:c r="K1521" t="str">
        <x:v>DEMO / SIMULATED</x:v>
      </x:c>
    </x:row>
    <x:row r="1522">
      <x:c r="A1522" t="str">
        <x:v>JFD-20230704-0864</x:v>
      </x:c>
      <x:c r="B1522" s="11" t="n">
        <x:v>45111.450694444444</x:v>
      </x:c>
      <x:c r="C1522" s="13" t="n">
        <x:v>0.45069444444444445</x:v>
      </x:c>
      <x:c r="D1522" t="str">
        <x:v>Damak</x:v>
      </x:c>
      <x:c r="E1522" t="str">
        <x:v>Milan’s Bakery</x:v>
      </x:c>
      <x:c r="F1522" t="str">
        <x:v>Coca-Cola 500ml</x:v>
      </x:c>
      <x:c r="G1522" t="str">
        <x:v>Drink</x:v>
      </x:c>
      <x:c r="H1522" t="n">
        <x:v>4</x:v>
      </x:c>
      <x:c r="I1522" s="14" t="n">
        <x:v>80</x:v>
      </x:c>
      <x:c r="J1522" s="14" t="n">
        <x:v>320</x:v>
      </x:c>
      <x:c r="K1522" t="str">
        <x:v>DEMO / SIMULATED</x:v>
      </x:c>
    </x:row>
    <x:row r="1523">
      <x:c r="A1523" t="str">
        <x:v>JFD-20230704-0864</x:v>
      </x:c>
      <x:c r="B1523" s="11" t="n">
        <x:v>45111.464583333334</x:v>
      </x:c>
      <x:c r="C1523" s="13" t="n">
        <x:v>0.46458333333333335</x:v>
      </x:c>
      <x:c r="D1523" t="str">
        <x:v>Damak</x:v>
      </x:c>
      <x:c r="E1523" t="str">
        <x:v>Milan’s Bakery</x:v>
      </x:c>
      <x:c r="F1523" t="str">
        <x:v>Bottled Water 1L</x:v>
      </x:c>
      <x:c r="G1523" t="str">
        <x:v>Drink</x:v>
      </x:c>
      <x:c r="H1523" t="n">
        <x:v>2</x:v>
      </x:c>
      <x:c r="I1523" s="14" t="n">
        <x:v>35</x:v>
      </x:c>
      <x:c r="J1523" s="14" t="n">
        <x:v>70</x:v>
      </x:c>
      <x:c r="K1523" t="str">
        <x:v>DEMO / SIMULATED</x:v>
      </x:c>
    </x:row>
    <x:row r="1524">
      <x:c r="A1524" t="str">
        <x:v>JFD-20230704-0864</x:v>
      </x:c>
      <x:c r="B1524" s="11" t="n">
        <x:v>45111.72638888889</x:v>
      </x:c>
      <x:c r="C1524" s="13" t="n">
        <x:v>0.7263888888888889</x:v>
      </x:c>
      <x:c r="D1524" t="str">
        <x:v>Damak</x:v>
      </x:c>
      <x:c r="E1524" t="str">
        <x:v>Milan’s Bakery</x:v>
      </x:c>
      <x:c r="F1524" t="str">
        <x:v>Red Velvet Cake</x:v>
      </x:c>
      <x:c r="G1524" t="str">
        <x:v>Food</x:v>
      </x:c>
      <x:c r="H1524" t="n">
        <x:v>3</x:v>
      </x:c>
      <x:c r="I1524" s="14" t="n">
        <x:v>740</x:v>
      </x:c>
      <x:c r="J1524" s="14" t="n">
        <x:v>2220</x:v>
      </x:c>
      <x:c r="K1524" t="str">
        <x:v>DEMO / SIMULATED</x:v>
      </x:c>
    </x:row>
    <x:row r="1525">
      <x:c r="A1525" t="str">
        <x:v>JFD-20260227-0865</x:v>
      </x:c>
      <x:c r="B1525" s="11" t="n">
        <x:v>46080.76597222222</x:v>
      </x:c>
      <x:c r="C1525" s="13" t="n">
        <x:v>0.7659722222222223</x:v>
      </x:c>
      <x:c r="D1525" t="str">
        <x:v>Damak</x:v>
      </x:c>
      <x:c r="E1525" t="str">
        <x:v>Milan’s Bakery</x:v>
      </x:c>
      <x:c r="F1525" t="str">
        <x:v>Chocolate Cake</x:v>
      </x:c>
      <x:c r="G1525" t="str">
        <x:v>Food</x:v>
      </x:c>
      <x:c r="H1525" t="n">
        <x:v>3</x:v>
      </x:c>
      <x:c r="I1525" s="14" t="n">
        <x:v>350</x:v>
      </x:c>
      <x:c r="J1525" s="14" t="n">
        <x:v>1050</x:v>
      </x:c>
      <x:c r="K1525" t="str">
        <x:v>DEMO / SIMULATED</x:v>
      </x:c>
    </x:row>
    <x:row r="1526">
      <x:c r="A1526" t="str">
        <x:v>JFD-20241102-0866</x:v>
      </x:c>
      <x:c r="B1526" s="11" t="n">
        <x:v>45598.686111111114</x:v>
      </x:c>
      <x:c r="C1526" s="13" t="n">
        <x:v>0.6861111111111111</x:v>
      </x:c>
      <x:c r="D1526" t="str">
        <x:v>Birtamode</x:v>
      </x:c>
      <x:c r="E1526" t="str">
        <x:v>The Underground Cafe &amp; Restaurant</x:v>
      </x:c>
      <x:c r="F1526" t="str">
        <x:v>Coca-Cola 500ml</x:v>
      </x:c>
      <x:c r="G1526" t="str">
        <x:v>Drink</x:v>
      </x:c>
      <x:c r="H1526" t="n">
        <x:v>2</x:v>
      </x:c>
      <x:c r="I1526" s="14" t="n">
        <x:v>90</x:v>
      </x:c>
      <x:c r="J1526" s="14" t="n">
        <x:v>180</x:v>
      </x:c>
      <x:c r="K1526" t="str">
        <x:v>DEMO / SIMULATED</x:v>
      </x:c>
    </x:row>
    <x:row r="1527">
      <x:c r="A1527" t="str">
        <x:v>JFD-20241102-0866</x:v>
      </x:c>
      <x:c r="B1527" s="11" t="n">
        <x:v>45598.69930555556</x:v>
      </x:c>
      <x:c r="C1527" s="13" t="n">
        <x:v>0.6993055555555555</x:v>
      </x:c>
      <x:c r="D1527" t="str">
        <x:v>Birtamode</x:v>
      </x:c>
      <x:c r="E1527" t="str">
        <x:v>The Underground Cafe &amp; Restaurant</x:v>
      </x:c>
      <x:c r="F1527" t="str">
        <x:v>Veg Pakauda</x:v>
      </x:c>
      <x:c r="G1527" t="str">
        <x:v>Food</x:v>
      </x:c>
      <x:c r="H1527" t="n">
        <x:v>2</x:v>
      </x:c>
      <x:c r="I1527" s="14" t="n">
        <x:v>155</x:v>
      </x:c>
      <x:c r="J1527" s="14" t="n">
        <x:v>310</x:v>
      </x:c>
      <x:c r="K1527" t="str">
        <x:v>DEMO / SIMULATED</x:v>
      </x:c>
    </x:row>
    <x:row r="1528">
      <x:c r="A1528" t="str">
        <x:v>JFD-20241102-0866</x:v>
      </x:c>
      <x:c r="B1528" s="11" t="n">
        <x:v>45598.472916666666</x:v>
      </x:c>
      <x:c r="C1528" s="13" t="n">
        <x:v>0.47291666666666665</x:v>
      </x:c>
      <x:c r="D1528" t="str">
        <x:v>Birtamode</x:v>
      </x:c>
      <x:c r="E1528" t="str">
        <x:v>The Underground Cafe &amp; Restaurant</x:v>
      </x:c>
      <x:c r="F1528" t="str">
        <x:v>Bottled Water 1L</x:v>
      </x:c>
      <x:c r="G1528" t="str">
        <x:v>Drink</x:v>
      </x:c>
      <x:c r="H1528" t="n">
        <x:v>3</x:v>
      </x:c>
      <x:c r="I1528" s="14" t="n">
        <x:v>35</x:v>
      </x:c>
      <x:c r="J1528" s="14" t="n">
        <x:v>105</x:v>
      </x:c>
      <x:c r="K1528" t="str">
        <x:v>DEMO / SIMULATED</x:v>
      </x:c>
    </x:row>
    <x:row r="1529">
      <x:c r="A1529" t="str">
        <x:v>JFD-20240720-0867</x:v>
      </x:c>
      <x:c r="B1529" s="11" t="n">
        <x:v>45493.850694444445</x:v>
      </x:c>
      <x:c r="C1529" s="13" t="n">
        <x:v>0.8506944444444444</x:v>
      </x:c>
      <x:c r="D1529" t="str">
        <x:v>Damak</x:v>
      </x:c>
      <x:c r="E1529" t="str">
        <x:v>Late Night Cravings</x:v>
      </x:c>
      <x:c r="F1529" t="str">
        <x:v>Bottled Water 1L</x:v>
      </x:c>
      <x:c r="G1529" t="str">
        <x:v>Drink</x:v>
      </x:c>
      <x:c r="H1529" t="n">
        <x:v>3</x:v>
      </x:c>
      <x:c r="I1529" s="14" t="n">
        <x:v>35</x:v>
      </x:c>
      <x:c r="J1529" s="14" t="n">
        <x:v>105</x:v>
      </x:c>
      <x:c r="K1529" t="str">
        <x:v>DEMO / SIMULATED</x:v>
      </x:c>
    </x:row>
    <x:row r="1530">
      <x:c r="A1530" t="str">
        <x:v>JFD-20240720-0867</x:v>
      </x:c>
      <x:c r="B1530" s="11" t="n">
        <x:v>45493.52569444444</x:v>
      </x:c>
      <x:c r="C1530" s="13" t="n">
        <x:v>0.5256944444444445</x:v>
      </x:c>
      <x:c r="D1530" t="str">
        <x:v>Damak</x:v>
      </x:c>
      <x:c r="E1530" t="str">
        <x:v>Late Night Cravings</x:v>
      </x:c>
      <x:c r="F1530" t="str">
        <x:v>Coca-Cola 500ml</x:v>
      </x:c>
      <x:c r="G1530" t="str">
        <x:v>Drink</x:v>
      </x:c>
      <x:c r="H1530" t="n">
        <x:v>1</x:v>
      </x:c>
      <x:c r="I1530" s="14" t="n">
        <x:v>90</x:v>
      </x:c>
      <x:c r="J1530" s="14" t="n">
        <x:v>90</x:v>
      </x:c>
      <x:c r="K1530" t="str">
        <x:v>DEMO / SIMULATED</x:v>
      </x:c>
    </x:row>
    <x:row r="1531">
      <x:c r="A1531" t="str">
        <x:v>JFD-20231027-0868</x:v>
      </x:c>
      <x:c r="B1531" s="11" t="n">
        <x:v>45226.660416666666</x:v>
      </x:c>
      <x:c r="C1531" s="13" t="n">
        <x:v>0.6604166666666667</x:v>
      </x:c>
      <x:c r="D1531" t="str">
        <x:v>Damak</x:v>
      </x:c>
      <x:c r="E1531" t="str">
        <x:v>Milan’s Bakery</x:v>
      </x:c>
      <x:c r="F1531" t="str">
        <x:v>Bottled Water 1L</x:v>
      </x:c>
      <x:c r="G1531" t="str">
        <x:v>Drink</x:v>
      </x:c>
      <x:c r="H1531" t="n">
        <x:v>3</x:v>
      </x:c>
      <x:c r="I1531" s="14" t="n">
        <x:v>35</x:v>
      </x:c>
      <x:c r="J1531" s="14" t="n">
        <x:v>105</x:v>
      </x:c>
      <x:c r="K1531" t="str">
        <x:v>DEMO / SIMULATED</x:v>
      </x:c>
    </x:row>
    <x:row r="1532">
      <x:c r="A1532" t="str">
        <x:v>JFD-20231027-0868</x:v>
      </x:c>
      <x:c r="B1532" s="11" t="n">
        <x:v>45226.63888888889</x:v>
      </x:c>
      <x:c r="C1532" s="13" t="n">
        <x:v>0.6388888888888888</x:v>
      </x:c>
      <x:c r="D1532" t="str">
        <x:v>Damak</x:v>
      </x:c>
      <x:c r="E1532" t="str">
        <x:v>Milan’s Bakery</x:v>
      </x:c>
      <x:c r="F1532" t="str">
        <x:v>Vanilla Cake</x:v>
      </x:c>
      <x:c r="G1532" t="str">
        <x:v>Food</x:v>
      </x:c>
      <x:c r="H1532" t="n">
        <x:v>2</x:v>
      </x:c>
      <x:c r="I1532" s="14" t="n">
        <x:v>245</x:v>
      </x:c>
      <x:c r="J1532" s="14" t="n">
        <x:v>490</x:v>
      </x:c>
      <x:c r="K1532" t="str">
        <x:v>DEMO / SIMULATED</x:v>
      </x:c>
    </x:row>
    <x:row r="1533">
      <x:c r="A1533" t="str">
        <x:v>JFD-20260710-0869</x:v>
      </x:c>
      <x:c r="B1533" s="11" t="n">
        <x:v>46213.44375</x:v>
      </x:c>
      <x:c r="C1533" s="13" t="n">
        <x:v>0.44375</x:v>
      </x:c>
      <x:c r="D1533" t="str">
        <x:v>Birtamode</x:v>
      </x:c>
      <x:c r="E1533" t="str">
        <x:v>The Underground Cafe &amp; Restaurant</x:v>
      </x:c>
      <x:c r="F1533" t="str">
        <x:v>Coca-Cola 500ml</x:v>
      </x:c>
      <x:c r="G1533" t="str">
        <x:v>Drink</x:v>
      </x:c>
      <x:c r="H1533" t="n">
        <x:v>4</x:v>
      </x:c>
      <x:c r="I1533" s="14" t="n">
        <x:v>100</x:v>
      </x:c>
      <x:c r="J1533" s="14" t="n">
        <x:v>400</x:v>
      </x:c>
      <x:c r="K1533" t="str">
        <x:v>DEMO / SIMULATED</x:v>
      </x:c>
    </x:row>
    <x:row r="1534">
      <x:c r="A1534" t="str">
        <x:v>JFD-20250122-0870</x:v>
      </x:c>
      <x:c r="B1534" s="11" t="n">
        <x:v>45679.489583333336</x:v>
      </x:c>
      <x:c r="C1534" s="13" t="n">
        <x:v>0.4895833333333333</x:v>
      </x:c>
      <x:c r="D1534" t="str">
        <x:v>Birtamode</x:v>
      </x:c>
      <x:c r="E1534" t="str">
        <x:v>The Underground Cafe &amp; Restaurant</x:v>
      </x:c>
      <x:c r="F1534" t="str">
        <x:v>Veg Pakauda</x:v>
      </x:c>
      <x:c r="G1534" t="str">
        <x:v>Food</x:v>
      </x:c>
      <x:c r="H1534" t="n">
        <x:v>1</x:v>
      </x:c>
      <x:c r="I1534" s="14" t="n">
        <x:v>165</x:v>
      </x:c>
      <x:c r="J1534" s="14" t="n">
        <x:v>165</x:v>
      </x:c>
      <x:c r="K1534" t="str">
        <x:v>DEMO / SIMULATED</x:v>
      </x:c>
    </x:row>
    <x:row r="1535">
      <x:c r="A1535" t="str">
        <x:v>JFD-20250122-0870</x:v>
      </x:c>
      <x:c r="B1535" s="11" t="n">
        <x:v>45679.65625</x:v>
      </x:c>
      <x:c r="C1535" s="13" t="n">
        <x:v>0.65625</x:v>
      </x:c>
      <x:c r="D1535" t="str">
        <x:v>Birtamode</x:v>
      </x:c>
      <x:c r="E1535" t="str">
        <x:v>The Underground Cafe &amp; Restaurant</x:v>
      </x:c>
      <x:c r="F1535" t="str">
        <x:v>Bottled Water 1L</x:v>
      </x:c>
      <x:c r="G1535" t="str">
        <x:v>Drink</x:v>
      </x:c>
      <x:c r="H1535" t="n">
        <x:v>2</x:v>
      </x:c>
      <x:c r="I1535" s="14" t="n">
        <x:v>40</x:v>
      </x:c>
      <x:c r="J1535" s="14" t="n">
        <x:v>80</x:v>
      </x:c>
      <x:c r="K1535" t="str">
        <x:v>DEMO / SIMULATED</x:v>
      </x:c>
    </x:row>
    <x:row r="1536">
      <x:c r="A1536" t="str">
        <x:v>JFD-20250929-0871</x:v>
      </x:c>
      <x:c r="B1536" s="11" t="n">
        <x:v>45929.78888888889</x:v>
      </x:c>
      <x:c r="C1536" s="13" t="n">
        <x:v>0.7888888888888889</x:v>
      </x:c>
      <x:c r="D1536" t="str">
        <x:v>Birtamode</x:v>
      </x:c>
      <x:c r="E1536" t="str">
        <x:v>The Underground Cafe &amp; Restaurant</x:v>
      </x:c>
      <x:c r="F1536" t="str">
        <x:v>Paneer Pakauda</x:v>
      </x:c>
      <x:c r="G1536" t="str">
        <x:v>Food</x:v>
      </x:c>
      <x:c r="H1536" t="n">
        <x:v>1</x:v>
      </x:c>
      <x:c r="I1536" s="14" t="n">
        <x:v>210</x:v>
      </x:c>
      <x:c r="J1536" s="14" t="n">
        <x:v>210</x:v>
      </x:c>
      <x:c r="K1536" t="str">
        <x:v>DEMO / SIMULATED</x:v>
      </x:c>
    </x:row>
    <x:row r="1537">
      <x:c r="A1537" t="str">
        <x:v>JFD-20230813-0872</x:v>
      </x:c>
      <x:c r="B1537" s="11" t="n">
        <x:v>45151.709027777775</x:v>
      </x:c>
      <x:c r="C1537" s="13" t="n">
        <x:v>0.7090277777777778</x:v>
      </x:c>
      <x:c r="D1537" t="str">
        <x:v>Birtamode</x:v>
      </x:c>
      <x:c r="E1537" t="str">
        <x:v>The Underground Cafe &amp; Restaurant</x:v>
      </x:c>
      <x:c r="F1537" t="str">
        <x:v>Aalu Jeera</x:v>
      </x:c>
      <x:c r="G1537" t="str">
        <x:v>Food</x:v>
      </x:c>
      <x:c r="H1537" t="n">
        <x:v>4</x:v>
      </x:c>
      <x:c r="I1537" s="14" t="n">
        <x:v>125</x:v>
      </x:c>
      <x:c r="J1537" s="14" t="n">
        <x:v>500</x:v>
      </x:c>
      <x:c r="K1537" t="str">
        <x:v>DEMO / SIMULATED</x:v>
      </x:c>
    </x:row>
    <x:row r="1538">
      <x:c r="A1538" t="str">
        <x:v>JFD-20240404-0873</x:v>
      </x:c>
      <x:c r="B1538" s="11" t="n">
        <x:v>45386.47083333333</x:v>
      </x:c>
      <x:c r="C1538" s="13" t="n">
        <x:v>0.4708333333333333</x:v>
      </x:c>
      <x:c r="D1538" t="str">
        <x:v>Damak</x:v>
      </x:c>
      <x:c r="E1538" t="str">
        <x:v>Milan’s Bakery</x:v>
      </x:c>
      <x:c r="F1538" t="str">
        <x:v>Coca-Cola 500ml</x:v>
      </x:c>
      <x:c r="G1538" t="str">
        <x:v>Drink</x:v>
      </x:c>
      <x:c r="H1538" t="n">
        <x:v>1</x:v>
      </x:c>
      <x:c r="I1538" s="14" t="n">
        <x:v>90</x:v>
      </x:c>
      <x:c r="J1538" s="14" t="n">
        <x:v>90</x:v>
      </x:c>
      <x:c r="K1538" t="str">
        <x:v>DEMO / SIMULATED</x:v>
      </x:c>
    </x:row>
    <x:row r="1539">
      <x:c r="A1539" t="str">
        <x:v>JFD-20240404-0873</x:v>
      </x:c>
      <x:c r="B1539" s="11" t="n">
        <x:v>45386.77916666667</x:v>
      </x:c>
      <x:c r="C1539" s="13" t="n">
        <x:v>0.7791666666666667</x:v>
      </x:c>
      <x:c r="D1539" t="str">
        <x:v>Damak</x:v>
      </x:c>
      <x:c r="E1539" t="str">
        <x:v>Milan’s Bakery</x:v>
      </x:c>
      <x:c r="F1539" t="str">
        <x:v>Vanilla Cake</x:v>
      </x:c>
      <x:c r="G1539" t="str">
        <x:v>Food</x:v>
      </x:c>
      <x:c r="H1539" t="n">
        <x:v>4</x:v>
      </x:c>
      <x:c r="I1539" s="14" t="n">
        <x:v>265</x:v>
      </x:c>
      <x:c r="J1539" s="14" t="n">
        <x:v>1060</x:v>
      </x:c>
      <x:c r="K1539" t="str">
        <x:v>DEMO / SIMULATED</x:v>
      </x:c>
    </x:row>
    <x:row r="1540">
      <x:c r="A1540" t="str">
        <x:v>JFD-20240402-0874</x:v>
      </x:c>
      <x:c r="B1540" s="11" t="n">
        <x:v>45384.875</x:v>
      </x:c>
      <x:c r="C1540" s="13" t="n">
        <x:v>0.875</x:v>
      </x:c>
      <x:c r="D1540" t="str">
        <x:v>Birtamode</x:v>
      </x:c>
      <x:c r="E1540" t="str">
        <x:v>The Underground Cafe &amp; Restaurant</x:v>
      </x:c>
      <x:c r="F1540" t="str">
        <x:v>Aalu Jeera</x:v>
      </x:c>
      <x:c r="G1540" t="str">
        <x:v>Food</x:v>
      </x:c>
      <x:c r="H1540" t="n">
        <x:v>4</x:v>
      </x:c>
      <x:c r="I1540" s="14" t="n">
        <x:v>135</x:v>
      </x:c>
      <x:c r="J1540" s="14" t="n">
        <x:v>540</x:v>
      </x:c>
      <x:c r="K1540" t="str">
        <x:v>DEMO / SIMULATED</x:v>
      </x:c>
    </x:row>
    <x:row r="1541">
      <x:c r="A1541" t="str">
        <x:v>JFD-20230206-0875</x:v>
      </x:c>
      <x:c r="B1541" s="11" t="n">
        <x:v>44963.76875</x:v>
      </x:c>
      <x:c r="C1541" s="13" t="n">
        <x:v>0.76875</x:v>
      </x:c>
      <x:c r="D1541" t="str">
        <x:v>Birtamode</x:v>
      </x:c>
      <x:c r="E1541" t="str">
        <x:v>The Underground Cafe &amp; Restaurant</x:v>
      </x:c>
      <x:c r="F1541" t="str">
        <x:v>Paneer Pakauda</x:v>
      </x:c>
      <x:c r="G1541" t="str">
        <x:v>Food</x:v>
      </x:c>
      <x:c r="H1541" t="n">
        <x:v>4</x:v>
      </x:c>
      <x:c r="I1541" s="14" t="n">
        <x:v>185</x:v>
      </x:c>
      <x:c r="J1541" s="14" t="n">
        <x:v>740</x:v>
      </x:c>
      <x:c r="K1541" t="str">
        <x:v>DEMO / SIMULATED</x:v>
      </x:c>
    </x:row>
    <x:row r="1542">
      <x:c r="A1542" t="str">
        <x:v>JFD-20230104-0876</x:v>
      </x:c>
      <x:c r="B1542" s="11" t="n">
        <x:v>44930.69513888889</x:v>
      </x:c>
      <x:c r="C1542" s="13" t="n">
        <x:v>0.6951388888888889</x:v>
      </x:c>
      <x:c r="D1542" t="str">
        <x:v>Birtamode</x:v>
      </x:c>
      <x:c r="E1542" t="str">
        <x:v>The Underground Cafe &amp; Restaurant</x:v>
      </x:c>
      <x:c r="F1542" t="str">
        <x:v>Veg Pakauda</x:v>
      </x:c>
      <x:c r="G1542" t="str">
        <x:v>Food</x:v>
      </x:c>
      <x:c r="H1542" t="n">
        <x:v>2</x:v>
      </x:c>
      <x:c r="I1542" s="14" t="n">
        <x:v>145</x:v>
      </x:c>
      <x:c r="J1542" s="14" t="n">
        <x:v>290</x:v>
      </x:c>
      <x:c r="K1542" t="str">
        <x:v>DEMO / SIMULATED</x:v>
      </x:c>
    </x:row>
    <x:row r="1543">
      <x:c r="A1543" t="str">
        <x:v>JFD-20230104-0876</x:v>
      </x:c>
      <x:c r="B1543" s="11" t="n">
        <x:v>44930.770833333336</x:v>
      </x:c>
      <x:c r="C1543" s="13" t="n">
        <x:v>0.7708333333333334</x:v>
      </x:c>
      <x:c r="D1543" t="str">
        <x:v>Birtamode</x:v>
      </x:c>
      <x:c r="E1543" t="str">
        <x:v>The Underground Cafe &amp; Restaurant</x:v>
      </x:c>
      <x:c r="F1543" t="str">
        <x:v>Paneer Pakauda</x:v>
      </x:c>
      <x:c r="G1543" t="str">
        <x:v>Food</x:v>
      </x:c>
      <x:c r="H1543" t="n">
        <x:v>4</x:v>
      </x:c>
      <x:c r="I1543" s="14" t="n">
        <x:v>185</x:v>
      </x:c>
      <x:c r="J1543" s="14" t="n">
        <x:v>740</x:v>
      </x:c>
      <x:c r="K1543" t="str">
        <x:v>DEMO / SIMULATED</x:v>
      </x:c>
    </x:row>
    <x:row r="1544">
      <x:c r="A1544" t="str">
        <x:v>JFD-20230330-0877</x:v>
      </x:c>
      <x:c r="B1544" s="11" t="n">
        <x:v>45015.44652777778</x:v>
      </x:c>
      <x:c r="C1544" s="13" t="n">
        <x:v>0.4465277777777778</x:v>
      </x:c>
      <x:c r="D1544" t="str">
        <x:v>Damak</x:v>
      </x:c>
      <x:c r="E1544" t="str">
        <x:v>Late Night Cravings</x:v>
      </x:c>
      <x:c r="F1544" t="str">
        <x:v>Egg Fry Rice</x:v>
      </x:c>
      <x:c r="G1544" t="str">
        <x:v>Food</x:v>
      </x:c>
      <x:c r="H1544" t="n">
        <x:v>3</x:v>
      </x:c>
      <x:c r="I1544" s="14" t="n">
        <x:v>165</x:v>
      </x:c>
      <x:c r="J1544" s="14" t="n">
        <x:v>495</x:v>
      </x:c>
      <x:c r="K1544" t="str">
        <x:v>DEMO / SIMULATED</x:v>
      </x:c>
    </x:row>
    <x:row r="1545">
      <x:c r="A1545" t="str">
        <x:v>JFD-20251027-0878</x:v>
      </x:c>
      <x:c r="B1545" s="11" t="n">
        <x:v>45957.83472222222</x:v>
      </x:c>
      <x:c r="C1545" s="13" t="n">
        <x:v>0.8347222222222223</x:v>
      </x:c>
      <x:c r="D1545" t="str">
        <x:v>Damak</x:v>
      </x:c>
      <x:c r="E1545" t="str">
        <x:v>Late Night Cravings</x:v>
      </x:c>
      <x:c r="F1545" t="str">
        <x:v>Coca-Cola 500ml</x:v>
      </x:c>
      <x:c r="G1545" t="str">
        <x:v>Drink</x:v>
      </x:c>
      <x:c r="H1545" t="n">
        <x:v>4</x:v>
      </x:c>
      <x:c r="I1545" s="14" t="n">
        <x:v>95</x:v>
      </x:c>
      <x:c r="J1545" s="14" t="n">
        <x:v>380</x:v>
      </x:c>
      <x:c r="K1545" t="str">
        <x:v>DEMO / SIMULATED</x:v>
      </x:c>
    </x:row>
    <x:row r="1546">
      <x:c r="A1546" t="str">
        <x:v>JFD-20260720-0879</x:v>
      </x:c>
      <x:c r="B1546" s="11" t="n">
        <x:v>46223.73611111111</x:v>
      </x:c>
      <x:c r="C1546" s="13" t="n">
        <x:v>0.7361111111111112</x:v>
      </x:c>
      <x:c r="D1546" t="str">
        <x:v>Birtamode</x:v>
      </x:c>
      <x:c r="E1546" t="str">
        <x:v>Pizza Ghar</x:v>
      </x:c>
      <x:c r="F1546" t="str">
        <x:v>Bottled Water 1L</x:v>
      </x:c>
      <x:c r="G1546" t="str">
        <x:v>Drink</x:v>
      </x:c>
      <x:c r="H1546" t="n">
        <x:v>4</x:v>
      </x:c>
      <x:c r="I1546" s="14" t="n">
        <x:v>40</x:v>
      </x:c>
      <x:c r="J1546" s="14" t="n">
        <x:v>160</x:v>
      </x:c>
      <x:c r="K1546" t="str">
        <x:v>DEMO / SIMULATED</x:v>
      </x:c>
    </x:row>
    <x:row r="1547">
      <x:c r="A1547" t="str">
        <x:v>JFD-20260201-0880</x:v>
      </x:c>
      <x:c r="B1547" s="11" t="n">
        <x:v>46054.89166666667</x:v>
      </x:c>
      <x:c r="C1547" s="13" t="n">
        <x:v>0.8916666666666667</x:v>
      </x:c>
      <x:c r="D1547" t="str">
        <x:v>Birtamode</x:v>
      </x:c>
      <x:c r="E1547" t="str">
        <x:v>The Underground Cafe &amp; Restaurant</x:v>
      </x:c>
      <x:c r="F1547" t="str">
        <x:v>Paneer Pakauda</x:v>
      </x:c>
      <x:c r="G1547" t="str">
        <x:v>Food</x:v>
      </x:c>
      <x:c r="H1547" t="n">
        <x:v>4</x:v>
      </x:c>
      <x:c r="I1547" s="14" t="n">
        <x:v>225</x:v>
      </x:c>
      <x:c r="J1547" s="14" t="n">
        <x:v>900</x:v>
      </x:c>
      <x:c r="K1547" t="str">
        <x:v>DEMO / SIMULATED</x:v>
      </x:c>
    </x:row>
    <x:row r="1548">
      <x:c r="A1548" t="str">
        <x:v>JFD-20230221-0881</x:v>
      </x:c>
      <x:c r="B1548" s="11" t="n">
        <x:v>44978.88402777778</x:v>
      </x:c>
      <x:c r="C1548" s="13" t="n">
        <x:v>0.8840277777777777</x:v>
      </x:c>
      <x:c r="D1548" t="str">
        <x:v>Damak</x:v>
      </x:c>
      <x:c r="E1548" t="str">
        <x:v>Late Night Cravings</x:v>
      </x:c>
      <x:c r="F1548" t="str">
        <x:v>Coca-Cola 500ml</x:v>
      </x:c>
      <x:c r="G1548" t="str">
        <x:v>Drink</x:v>
      </x:c>
      <x:c r="H1548" t="n">
        <x:v>2</x:v>
      </x:c>
      <x:c r="I1548" s="14" t="n">
        <x:v>80</x:v>
      </x:c>
      <x:c r="J1548" s="14" t="n">
        <x:v>160</x:v>
      </x:c>
      <x:c r="K1548" t="str">
        <x:v>DEMO / SIMULATED</x:v>
      </x:c>
    </x:row>
    <x:row r="1549">
      <x:c r="A1549" t="str">
        <x:v>JFD-20230223-0882</x:v>
      </x:c>
      <x:c r="B1549" s="11" t="n">
        <x:v>44980.67847222222</x:v>
      </x:c>
      <x:c r="C1549" s="13" t="n">
        <x:v>0.6784722222222223</x:v>
      </x:c>
      <x:c r="D1549" t="str">
        <x:v>Damak</x:v>
      </x:c>
      <x:c r="E1549" t="str">
        <x:v>Milan’s Bakery</x:v>
      </x:c>
      <x:c r="F1549" t="str">
        <x:v>Bottled Water 1L</x:v>
      </x:c>
      <x:c r="G1549" t="str">
        <x:v>Drink</x:v>
      </x:c>
      <x:c r="H1549" t="n">
        <x:v>3</x:v>
      </x:c>
      <x:c r="I1549" s="14" t="n">
        <x:v>35</x:v>
      </x:c>
      <x:c r="J1549" s="14" t="n">
        <x:v>105</x:v>
      </x:c>
      <x:c r="K1549" t="str">
        <x:v>DEMO / SIMULATED</x:v>
      </x:c>
    </x:row>
    <x:row r="1550">
      <x:c r="A1550" t="str">
        <x:v>JFD-20230223-0882</x:v>
      </x:c>
      <x:c r="B1550" s="11" t="n">
        <x:v>44980.89236111111</x:v>
      </x:c>
      <x:c r="C1550" s="13" t="n">
        <x:v>0.8923611111111112</x:v>
      </x:c>
      <x:c r="D1550" t="str">
        <x:v>Damak</x:v>
      </x:c>
      <x:c r="E1550" t="str">
        <x:v>Milan’s Bakery</x:v>
      </x:c>
      <x:c r="F1550" t="str">
        <x:v>Red Velvet Cake</x:v>
      </x:c>
      <x:c r="G1550" t="str">
        <x:v>Food</x:v>
      </x:c>
      <x:c r="H1550" t="n">
        <x:v>2</x:v>
      </x:c>
      <x:c r="I1550" s="14" t="n">
        <x:v>740</x:v>
      </x:c>
      <x:c r="J1550" s="14" t="n">
        <x:v>1480</x:v>
      </x:c>
      <x:c r="K1550" t="str">
        <x:v>DEMO / SIMULATED</x:v>
      </x:c>
    </x:row>
    <x:row r="1551">
      <x:c r="A1551" t="str">
        <x:v>JFD-20230318-0883</x:v>
      </x:c>
      <x:c r="B1551" s="11" t="n">
        <x:v>45003.66111111111</x:v>
      </x:c>
      <x:c r="C1551" s="13" t="n">
        <x:v>0.6611111111111111</x:v>
      </x:c>
      <x:c r="D1551" t="str">
        <x:v>Damak</x:v>
      </x:c>
      <x:c r="E1551" t="str">
        <x:v>Milan’s Bakery</x:v>
      </x:c>
      <x:c r="F1551" t="str">
        <x:v>Chocolate Cake</x:v>
      </x:c>
      <x:c r="G1551" t="str">
        <x:v>Food</x:v>
      </x:c>
      <x:c r="H1551" t="n">
        <x:v>1</x:v>
      </x:c>
      <x:c r="I1551" s="14" t="n">
        <x:v>285</x:v>
      </x:c>
      <x:c r="J1551" s="14" t="n">
        <x:v>285</x:v>
      </x:c>
      <x:c r="K1551" t="str">
        <x:v>DEMO / SIMULATED</x:v>
      </x:c>
    </x:row>
    <x:row r="1552">
      <x:c r="A1552" t="str">
        <x:v>JFD-20250615-0884</x:v>
      </x:c>
      <x:c r="B1552" s="11" t="n">
        <x:v>45823.722916666666</x:v>
      </x:c>
      <x:c r="C1552" s="13" t="n">
        <x:v>0.7229166666666667</x:v>
      </x:c>
      <x:c r="D1552" t="str">
        <x:v>Birtamode</x:v>
      </x:c>
      <x:c r="E1552" t="str">
        <x:v>Pizza Ghar</x:v>
      </x:c>
      <x:c r="F1552" t="str">
        <x:v>Egg Fried Rice</x:v>
      </x:c>
      <x:c r="G1552" t="str">
        <x:v>Food</x:v>
      </x:c>
      <x:c r="H1552" t="n">
        <x:v>4</x:v>
      </x:c>
      <x:c r="I1552" s="14" t="n">
        <x:v>255</x:v>
      </x:c>
      <x:c r="J1552" s="14" t="n">
        <x:v>1020</x:v>
      </x:c>
      <x:c r="K1552" t="str">
        <x:v>DEMO / SIMULATED</x:v>
      </x:c>
    </x:row>
    <x:row r="1553">
      <x:c r="A1553" t="str">
        <x:v>JFD-20250615-0884</x:v>
      </x:c>
      <x:c r="B1553" s="11" t="n">
        <x:v>45823.535416666666</x:v>
      </x:c>
      <x:c r="C1553" s="13" t="n">
        <x:v>0.5354166666666667</x:v>
      </x:c>
      <x:c r="D1553" t="str">
        <x:v>Birtamode</x:v>
      </x:c>
      <x:c r="E1553" t="str">
        <x:v>Pizza Ghar</x:v>
      </x:c>
      <x:c r="F1553" t="str">
        <x:v>Bottled Water 1L</x:v>
      </x:c>
      <x:c r="G1553" t="str">
        <x:v>Drink</x:v>
      </x:c>
      <x:c r="H1553" t="n">
        <x:v>1</x:v>
      </x:c>
      <x:c r="I1553" s="14" t="n">
        <x:v>40</x:v>
      </x:c>
      <x:c r="J1553" s="14" t="n">
        <x:v>40</x:v>
      </x:c>
      <x:c r="K1553" t="str">
        <x:v>DEMO / SIMULATED</x:v>
      </x:c>
    </x:row>
    <x:row r="1554">
      <x:c r="A1554" t="str">
        <x:v>JFD-20240624-0885</x:v>
      </x:c>
      <x:c r="B1554" s="11" t="n">
        <x:v>45467.84305555555</x:v>
      </x:c>
      <x:c r="C1554" s="13" t="n">
        <x:v>0.8430555555555556</x:v>
      </x:c>
      <x:c r="D1554" t="str">
        <x:v>Damak</x:v>
      </x:c>
      <x:c r="E1554" t="str">
        <x:v>Late Night Cravings</x:v>
      </x:c>
      <x:c r="F1554" t="str">
        <x:v>Veg Fry Rice</x:v>
      </x:c>
      <x:c r="G1554" t="str">
        <x:v>Food</x:v>
      </x:c>
      <x:c r="H1554" t="n">
        <x:v>3</x:v>
      </x:c>
      <x:c r="I1554" s="14" t="n">
        <x:v>140</x:v>
      </x:c>
      <x:c r="J1554" s="14" t="n">
        <x:v>420</x:v>
      </x:c>
      <x:c r="K1554" t="str">
        <x:v>DEMO / SIMULATED</x:v>
      </x:c>
    </x:row>
    <x:row r="1555">
      <x:c r="A1555" t="str">
        <x:v>JFD-20240624-0885</x:v>
      </x:c>
      <x:c r="B1555" s="11" t="n">
        <x:v>45467.569444444445</x:v>
      </x:c>
      <x:c r="C1555" s="13" t="n">
        <x:v>0.5694444444444444</x:v>
      </x:c>
      <x:c r="D1555" t="str">
        <x:v>Damak</x:v>
      </x:c>
      <x:c r="E1555" t="str">
        <x:v>Late Night Cravings</x:v>
      </x:c>
      <x:c r="F1555" t="str">
        <x:v>Coca-Cola 500ml</x:v>
      </x:c>
      <x:c r="G1555" t="str">
        <x:v>Drink</x:v>
      </x:c>
      <x:c r="H1555" t="n">
        <x:v>2</x:v>
      </x:c>
      <x:c r="I1555" s="14" t="n">
        <x:v>90</x:v>
      </x:c>
      <x:c r="J1555" s="14" t="n">
        <x:v>180</x:v>
      </x:c>
      <x:c r="K1555" t="str">
        <x:v>DEMO / SIMULATED</x:v>
      </x:c>
    </x:row>
    <x:row r="1556">
      <x:c r="A1556" t="str">
        <x:v>JFD-20240624-0885</x:v>
      </x:c>
      <x:c r="B1556" s="11" t="n">
        <x:v>45467.85972222222</x:v>
      </x:c>
      <x:c r="C1556" s="13" t="n">
        <x:v>0.8597222222222223</x:v>
      </x:c>
      <x:c r="D1556" t="str">
        <x:v>Damak</x:v>
      </x:c>
      <x:c r="E1556" t="str">
        <x:v>Late Night Cravings</x:v>
      </x:c>
      <x:c r="F1556" t="str">
        <x:v>Mix Fry Rice</x:v>
      </x:c>
      <x:c r="G1556" t="str">
        <x:v>Food</x:v>
      </x:c>
      <x:c r="H1556" t="n">
        <x:v>1</x:v>
      </x:c>
      <x:c r="I1556" s="14" t="n">
        <x:v>245</x:v>
      </x:c>
      <x:c r="J1556" s="14" t="n">
        <x:v>245</x:v>
      </x:c>
      <x:c r="K1556" t="str">
        <x:v>DEMO / SIMULATED</x:v>
      </x:c>
    </x:row>
    <x:row r="1557">
      <x:c r="A1557" t="str">
        <x:v>JFD-20230717-0886</x:v>
      </x:c>
      <x:c r="B1557" s="11" t="n">
        <x:v>45124.740277777775</x:v>
      </x:c>
      <x:c r="C1557" s="13" t="n">
        <x:v>0.7402777777777778</x:v>
      </x:c>
      <x:c r="D1557" t="str">
        <x:v>Birtamode</x:v>
      </x:c>
      <x:c r="E1557" t="str">
        <x:v>The Underground Cafe &amp; Restaurant</x:v>
      </x:c>
      <x:c r="F1557" t="str">
        <x:v>Coca-Cola 500ml</x:v>
      </x:c>
      <x:c r="G1557" t="str">
        <x:v>Drink</x:v>
      </x:c>
      <x:c r="H1557" t="n">
        <x:v>1</x:v>
      </x:c>
      <x:c r="I1557" s="14" t="n">
        <x:v>80</x:v>
      </x:c>
      <x:c r="J1557" s="14" t="n">
        <x:v>80</x:v>
      </x:c>
      <x:c r="K1557" t="str">
        <x:v>DEMO / SIMULATED</x:v>
      </x:c>
    </x:row>
    <x:row r="1558">
      <x:c r="A1558" t="str">
        <x:v>JFD-20230717-0886</x:v>
      </x:c>
      <x:c r="B1558" s="11" t="n">
        <x:v>45124.69027777778</x:v>
      </x:c>
      <x:c r="C1558" s="13" t="n">
        <x:v>0.6902777777777778</x:v>
      </x:c>
      <x:c r="D1558" t="str">
        <x:v>Birtamode</x:v>
      </x:c>
      <x:c r="E1558" t="str">
        <x:v>The Underground Cafe &amp; Restaurant</x:v>
      </x:c>
      <x:c r="F1558" t="str">
        <x:v>Paneer Pakauda</x:v>
      </x:c>
      <x:c r="G1558" t="str">
        <x:v>Food</x:v>
      </x:c>
      <x:c r="H1558" t="n">
        <x:v>4</x:v>
      </x:c>
      <x:c r="I1558" s="14" t="n">
        <x:v>185</x:v>
      </x:c>
      <x:c r="J1558" s="14" t="n">
        <x:v>740</x:v>
      </x:c>
      <x:c r="K1558" t="str">
        <x:v>DEMO / SIMULATED</x:v>
      </x:c>
    </x:row>
    <x:row r="1559">
      <x:c r="A1559" t="str">
        <x:v>JFD-20230717-0886</x:v>
      </x:c>
      <x:c r="B1559" s="11" t="n">
        <x:v>45124.57013888889</x:v>
      </x:c>
      <x:c r="C1559" s="13" t="n">
        <x:v>0.5701388888888889</x:v>
      </x:c>
      <x:c r="D1559" t="str">
        <x:v>Birtamode</x:v>
      </x:c>
      <x:c r="E1559" t="str">
        <x:v>The Underground Cafe &amp; Restaurant</x:v>
      </x:c>
      <x:c r="F1559" t="str">
        <x:v>Aalu Jeera</x:v>
      </x:c>
      <x:c r="G1559" t="str">
        <x:v>Food</x:v>
      </x:c>
      <x:c r="H1559" t="n">
        <x:v>4</x:v>
      </x:c>
      <x:c r="I1559" s="14" t="n">
        <x:v>125</x:v>
      </x:c>
      <x:c r="J1559" s="14" t="n">
        <x:v>500</x:v>
      </x:c>
      <x:c r="K1559" t="str">
        <x:v>DEMO / SIMULATED</x:v>
      </x:c>
    </x:row>
    <x:row r="1560">
      <x:c r="A1560" t="str">
        <x:v>JFD-20240630-0887</x:v>
      </x:c>
      <x:c r="B1560" s="11" t="n">
        <x:v>45473.572916666664</x:v>
      </x:c>
      <x:c r="C1560" s="13" t="n">
        <x:v>0.5729166666666666</x:v>
      </x:c>
      <x:c r="D1560" t="str">
        <x:v>Birtamode</x:v>
      </x:c>
      <x:c r="E1560" t="str">
        <x:v>Pizza Ghar</x:v>
      </x:c>
      <x:c r="F1560" t="str">
        <x:v>Egg Fried Rice</x:v>
      </x:c>
      <x:c r="G1560" t="str">
        <x:v>Food</x:v>
      </x:c>
      <x:c r="H1560" t="n">
        <x:v>4</x:v>
      </x:c>
      <x:c r="I1560" s="14" t="n">
        <x:v>240</x:v>
      </x:c>
      <x:c r="J1560" s="14" t="n">
        <x:v>960</x:v>
      </x:c>
      <x:c r="K1560" t="str">
        <x:v>DEMO / SIMULATED</x:v>
      </x:c>
    </x:row>
    <x:row r="1561">
      <x:c r="A1561" t="str">
        <x:v>JFD-20230108-0888</x:v>
      </x:c>
      <x:c r="B1561" s="11" t="n">
        <x:v>44934.711805555555</x:v>
      </x:c>
      <x:c r="C1561" s="13" t="n">
        <x:v>0.7118055555555556</x:v>
      </x:c>
      <x:c r="D1561" t="str">
        <x:v>Damak</x:v>
      </x:c>
      <x:c r="E1561" t="str">
        <x:v>Late Night Cravings</x:v>
      </x:c>
      <x:c r="F1561" t="str">
        <x:v>Mix Fry Rice</x:v>
      </x:c>
      <x:c r="G1561" t="str">
        <x:v>Food</x:v>
      </x:c>
      <x:c r="H1561" t="n">
        <x:v>1</x:v>
      </x:c>
      <x:c r="I1561" s="14" t="n">
        <x:v>230</x:v>
      </x:c>
      <x:c r="J1561" s="14" t="n">
        <x:v>230</x:v>
      </x:c>
      <x:c r="K1561" t="str">
        <x:v>DEMO / SIMULATED</x:v>
      </x:c>
    </x:row>
    <x:row r="1562">
      <x:c r="A1562" t="str">
        <x:v>JFD-20230108-0888</x:v>
      </x:c>
      <x:c r="B1562" s="11" t="n">
        <x:v>44934.63958333333</x:v>
      </x:c>
      <x:c r="C1562" s="13" t="n">
        <x:v>0.6395833333333333</x:v>
      </x:c>
      <x:c r="D1562" t="str">
        <x:v>Damak</x:v>
      </x:c>
      <x:c r="E1562" t="str">
        <x:v>Late Night Cravings</x:v>
      </x:c>
      <x:c r="F1562" t="str">
        <x:v>Egg Fry Rice</x:v>
      </x:c>
      <x:c r="G1562" t="str">
        <x:v>Food</x:v>
      </x:c>
      <x:c r="H1562" t="n">
        <x:v>1</x:v>
      </x:c>
      <x:c r="I1562" s="14" t="n">
        <x:v>165</x:v>
      </x:c>
      <x:c r="J1562" s="14" t="n">
        <x:v>165</x:v>
      </x:c>
      <x:c r="K1562" t="str">
        <x:v>DEMO / SIMULATED</x:v>
      </x:c>
    </x:row>
    <x:row r="1563">
      <x:c r="A1563" t="str">
        <x:v>JFD-20230108-0888</x:v>
      </x:c>
      <x:c r="B1563" s="11" t="n">
        <x:v>44934.70486111111</x:v>
      </x:c>
      <x:c r="C1563" s="13" t="n">
        <x:v>0.7048611111111112</x:v>
      </x:c>
      <x:c r="D1563" t="str">
        <x:v>Damak</x:v>
      </x:c>
      <x:c r="E1563" t="str">
        <x:v>Late Night Cravings</x:v>
      </x:c>
      <x:c r="F1563" t="str">
        <x:v>Bottled Water 1L</x:v>
      </x:c>
      <x:c r="G1563" t="str">
        <x:v>Drink</x:v>
      </x:c>
      <x:c r="H1563" t="n">
        <x:v>2</x:v>
      </x:c>
      <x:c r="I1563" s="14" t="n">
        <x:v>35</x:v>
      </x:c>
      <x:c r="J1563" s="14" t="n">
        <x:v>70</x:v>
      </x:c>
      <x:c r="K1563" t="str">
        <x:v>DEMO / SIMULATED</x:v>
      </x:c>
    </x:row>
    <x:row r="1564">
      <x:c r="A1564" t="str">
        <x:v>JFD-20240314-0889</x:v>
      </x:c>
      <x:c r="B1564" s="11" t="n">
        <x:v>45365.72222222222</x:v>
      </x:c>
      <x:c r="C1564" s="13" t="n">
        <x:v>0.7222222222222222</x:v>
      </x:c>
      <x:c r="D1564" t="str">
        <x:v>Damak</x:v>
      </x:c>
      <x:c r="E1564" t="str">
        <x:v>Late Night Cravings</x:v>
      </x:c>
      <x:c r="F1564" t="str">
        <x:v>Chicken Fry Rice</x:v>
      </x:c>
      <x:c r="G1564" t="str">
        <x:v>Food</x:v>
      </x:c>
      <x:c r="H1564" t="n">
        <x:v>3</x:v>
      </x:c>
      <x:c r="I1564" s="14" t="n">
        <x:v>195</x:v>
      </x:c>
      <x:c r="J1564" s="14" t="n">
        <x:v>585</x:v>
      </x:c>
      <x:c r="K1564" t="str">
        <x:v>DEMO / SIMULATED</x:v>
      </x:c>
    </x:row>
    <x:row r="1565">
      <x:c r="A1565" t="str">
        <x:v>JFD-20240314-0889</x:v>
      </x:c>
      <x:c r="B1565" s="11" t="n">
        <x:v>45365.54722222222</x:v>
      </x:c>
      <x:c r="C1565" s="13" t="n">
        <x:v>0.5472222222222223</x:v>
      </x:c>
      <x:c r="D1565" t="str">
        <x:v>Damak</x:v>
      </x:c>
      <x:c r="E1565" t="str">
        <x:v>Late Night Cravings</x:v>
      </x:c>
      <x:c r="F1565" t="str">
        <x:v>Coca-Cola 500ml</x:v>
      </x:c>
      <x:c r="G1565" t="str">
        <x:v>Drink</x:v>
      </x:c>
      <x:c r="H1565" t="n">
        <x:v>2</x:v>
      </x:c>
      <x:c r="I1565" s="14" t="n">
        <x:v>90</x:v>
      </x:c>
      <x:c r="J1565" s="14" t="n">
        <x:v>180</x:v>
      </x:c>
      <x:c r="K1565" t="str">
        <x:v>DEMO / SIMULATED</x:v>
      </x:c>
    </x:row>
    <x:row r="1566">
      <x:c r="A1566" t="str">
        <x:v>JFD-20231102-0890</x:v>
      </x:c>
      <x:c r="B1566" s="11" t="n">
        <x:v>45232.904861111114</x:v>
      </x:c>
      <x:c r="C1566" s="13" t="n">
        <x:v>0.9048611111111111</x:v>
      </x:c>
      <x:c r="D1566" t="str">
        <x:v>Birtamode</x:v>
      </x:c>
      <x:c r="E1566" t="str">
        <x:v>The Underground Cafe &amp; Restaurant</x:v>
      </x:c>
      <x:c r="F1566" t="str">
        <x:v>Bottled Water 1L</x:v>
      </x:c>
      <x:c r="G1566" t="str">
        <x:v>Drink</x:v>
      </x:c>
      <x:c r="H1566" t="n">
        <x:v>1</x:v>
      </x:c>
      <x:c r="I1566" s="14" t="n">
        <x:v>35</x:v>
      </x:c>
      <x:c r="J1566" s="14" t="n">
        <x:v>35</x:v>
      </x:c>
      <x:c r="K1566" t="str">
        <x:v>DEMO / SIMULATED</x:v>
      </x:c>
    </x:row>
    <x:row r="1567">
      <x:c r="A1567" t="str">
        <x:v>JFD-20231102-0890</x:v>
      </x:c>
      <x:c r="B1567" s="11" t="n">
        <x:v>45232.839583333334</x:v>
      </x:c>
      <x:c r="C1567" s="13" t="n">
        <x:v>0.8395833333333333</x:v>
      </x:c>
      <x:c r="D1567" t="str">
        <x:v>Birtamode</x:v>
      </x:c>
      <x:c r="E1567" t="str">
        <x:v>The Underground Cafe &amp; Restaurant</x:v>
      </x:c>
      <x:c r="F1567" t="str">
        <x:v>Veg Pakauda</x:v>
      </x:c>
      <x:c r="G1567" t="str">
        <x:v>Food</x:v>
      </x:c>
      <x:c r="H1567" t="n">
        <x:v>2</x:v>
      </x:c>
      <x:c r="I1567" s="14" t="n">
        <x:v>145</x:v>
      </x:c>
      <x:c r="J1567" s="14" t="n">
        <x:v>290</x:v>
      </x:c>
      <x:c r="K1567" t="str">
        <x:v>DEMO / SIMULATED</x:v>
      </x:c>
    </x:row>
    <x:row r="1568">
      <x:c r="A1568" t="str">
        <x:v>JFD-20231102-0890</x:v>
      </x:c>
      <x:c r="B1568" s="11" t="n">
        <x:v>45232.88958333333</x:v>
      </x:c>
      <x:c r="C1568" s="13" t="n">
        <x:v>0.8895833333333333</x:v>
      </x:c>
      <x:c r="D1568" t="str">
        <x:v>Birtamode</x:v>
      </x:c>
      <x:c r="E1568" t="str">
        <x:v>The Underground Cafe &amp; Restaurant</x:v>
      </x:c>
      <x:c r="F1568" t="str">
        <x:v>Paneer Pakauda</x:v>
      </x:c>
      <x:c r="G1568" t="str">
        <x:v>Food</x:v>
      </x:c>
      <x:c r="H1568" t="n">
        <x:v>3</x:v>
      </x:c>
      <x:c r="I1568" s="14" t="n">
        <x:v>185</x:v>
      </x:c>
      <x:c r="J1568" s="14" t="n">
        <x:v>555</x:v>
      </x:c>
      <x:c r="K1568" t="str">
        <x:v>DEMO / SIMULATED</x:v>
      </x:c>
    </x:row>
    <x:row r="1569">
      <x:c r="A1569" t="str">
        <x:v>JFD-20230927-0891</x:v>
      </x:c>
      <x:c r="B1569" s="11" t="n">
        <x:v>45196.88055555556</x:v>
      </x:c>
      <x:c r="C1569" s="13" t="n">
        <x:v>0.8805555555555555</x:v>
      </x:c>
      <x:c r="D1569" t="str">
        <x:v>Damak</x:v>
      </x:c>
      <x:c r="E1569" t="str">
        <x:v>Late Night Cravings</x:v>
      </x:c>
      <x:c r="F1569" t="str">
        <x:v>Egg Fry Rice</x:v>
      </x:c>
      <x:c r="G1569" t="str">
        <x:v>Food</x:v>
      </x:c>
      <x:c r="H1569" t="n">
        <x:v>4</x:v>
      </x:c>
      <x:c r="I1569" s="14" t="n">
        <x:v>165</x:v>
      </x:c>
      <x:c r="J1569" s="14" t="n">
        <x:v>660</x:v>
      </x:c>
      <x:c r="K1569" t="str">
        <x:v>DEMO / SIMULATED</x:v>
      </x:c>
    </x:row>
    <x:row r="1570">
      <x:c r="A1570" t="str">
        <x:v>JFD-20230516-0892</x:v>
      </x:c>
      <x:c r="B1570" s="11" t="n">
        <x:v>45062.47152777778</x:v>
      </x:c>
      <x:c r="C1570" s="13" t="n">
        <x:v>0.47152777777777777</x:v>
      </x:c>
      <x:c r="D1570" t="str">
        <x:v>Birtamode</x:v>
      </x:c>
      <x:c r="E1570" t="str">
        <x:v>Pizza Ghar</x:v>
      </x:c>
      <x:c r="F1570" t="str">
        <x:v>Chicken Fried Rice</x:v>
      </x:c>
      <x:c r="G1570" t="str">
        <x:v>Food</x:v>
      </x:c>
      <x:c r="H1570" t="n">
        <x:v>3</x:v>
      </x:c>
      <x:c r="I1570" s="14" t="n">
        <x:v>245</x:v>
      </x:c>
      <x:c r="J1570" s="14" t="n">
        <x:v>735</x:v>
      </x:c>
      <x:c r="K1570" t="str">
        <x:v>DEMO / SIMULATED</x:v>
      </x:c>
    </x:row>
    <x:row r="1571">
      <x:c r="A1571" t="str">
        <x:v>JFD-20230516-0892</x:v>
      </x:c>
      <x:c r="B1571" s="11" t="n">
        <x:v>45062.645833333336</x:v>
      </x:c>
      <x:c r="C1571" s="13" t="n">
        <x:v>0.6458333333333334</x:v>
      </x:c>
      <x:c r="D1571" t="str">
        <x:v>Birtamode</x:v>
      </x:c>
      <x:c r="E1571" t="str">
        <x:v>Pizza Ghar</x:v>
      </x:c>
      <x:c r="F1571" t="str">
        <x:v>Coca-Cola 500ml</x:v>
      </x:c>
      <x:c r="G1571" t="str">
        <x:v>Drink</x:v>
      </x:c>
      <x:c r="H1571" t="n">
        <x:v>4</x:v>
      </x:c>
      <x:c r="I1571" s="14" t="n">
        <x:v>80</x:v>
      </x:c>
      <x:c r="J1571" s="14" t="n">
        <x:v>320</x:v>
      </x:c>
      <x:c r="K1571" t="str">
        <x:v>DEMO / SIMULATED</x:v>
      </x:c>
    </x:row>
    <x:row r="1572">
      <x:c r="A1572" t="str">
        <x:v>JFD-20230303-0893</x:v>
      </x:c>
      <x:c r="B1572" s="11" t="n">
        <x:v>44988.518055555556</x:v>
      </x:c>
      <x:c r="C1572" s="13" t="n">
        <x:v>0.5180555555555556</x:v>
      </x:c>
      <x:c r="D1572" t="str">
        <x:v>Damak</x:v>
      </x:c>
      <x:c r="E1572" t="str">
        <x:v>Late Night Cravings</x:v>
      </x:c>
      <x:c r="F1572" t="str">
        <x:v>Chicken Fry Rice</x:v>
      </x:c>
      <x:c r="G1572" t="str">
        <x:v>Food</x:v>
      </x:c>
      <x:c r="H1572" t="n">
        <x:v>4</x:v>
      </x:c>
      <x:c r="I1572" s="14" t="n">
        <x:v>180</x:v>
      </x:c>
      <x:c r="J1572" s="14" t="n">
        <x:v>720</x:v>
      </x:c>
      <x:c r="K1572" t="str">
        <x:v>DEMO / SIMULATED</x:v>
      </x:c>
    </x:row>
    <x:row r="1573">
      <x:c r="A1573" t="str">
        <x:v>JFD-20230303-0893</x:v>
      </x:c>
      <x:c r="B1573" s="11" t="n">
        <x:v>44988.48055555556</x:v>
      </x:c>
      <x:c r="C1573" s="13" t="n">
        <x:v>0.48055555555555557</x:v>
      </x:c>
      <x:c r="D1573" t="str">
        <x:v>Damak</x:v>
      </x:c>
      <x:c r="E1573" t="str">
        <x:v>Late Night Cravings</x:v>
      </x:c>
      <x:c r="F1573" t="str">
        <x:v>Coca-Cola 500ml</x:v>
      </x:c>
      <x:c r="G1573" t="str">
        <x:v>Drink</x:v>
      </x:c>
      <x:c r="H1573" t="n">
        <x:v>4</x:v>
      </x:c>
      <x:c r="I1573" s="14" t="n">
        <x:v>80</x:v>
      </x:c>
      <x:c r="J1573" s="14" t="n">
        <x:v>320</x:v>
      </x:c>
      <x:c r="K1573" t="str">
        <x:v>DEMO / SIMULATED</x:v>
      </x:c>
    </x:row>
    <x:row r="1574">
      <x:c r="A1574" t="str">
        <x:v>JFD-20241104-0894</x:v>
      </x:c>
      <x:c r="B1574" s="11" t="n">
        <x:v>45600.569444444445</x:v>
      </x:c>
      <x:c r="C1574" s="13" t="n">
        <x:v>0.5694444444444444</x:v>
      </x:c>
      <x:c r="D1574" t="str">
        <x:v>Damak</x:v>
      </x:c>
      <x:c r="E1574" t="str">
        <x:v>Milan’s Bakery</x:v>
      </x:c>
      <x:c r="F1574" t="str">
        <x:v>Vanilla Cake</x:v>
      </x:c>
      <x:c r="G1574" t="str">
        <x:v>Food</x:v>
      </x:c>
      <x:c r="H1574" t="n">
        <x:v>4</x:v>
      </x:c>
      <x:c r="I1574" s="14" t="n">
        <x:v>265</x:v>
      </x:c>
      <x:c r="J1574" s="14" t="n">
        <x:v>1060</x:v>
      </x:c>
      <x:c r="K1574" t="str">
        <x:v>DEMO / SIMULATED</x:v>
      </x:c>
    </x:row>
    <x:row r="1575">
      <x:c r="A1575" t="str">
        <x:v>JFD-20241104-0894</x:v>
      </x:c>
      <x:c r="B1575" s="11" t="n">
        <x:v>45600.57777777778</x:v>
      </x:c>
      <x:c r="C1575" s="13" t="n">
        <x:v>0.5777777777777777</x:v>
      </x:c>
      <x:c r="D1575" t="str">
        <x:v>Damak</x:v>
      </x:c>
      <x:c r="E1575" t="str">
        <x:v>Milan’s Bakery</x:v>
      </x:c>
      <x:c r="F1575" t="str">
        <x:v>Chocolate Cake</x:v>
      </x:c>
      <x:c r="G1575" t="str">
        <x:v>Food</x:v>
      </x:c>
      <x:c r="H1575" t="n">
        <x:v>2</x:v>
      </x:c>
      <x:c r="I1575" s="14" t="n">
        <x:v>310</x:v>
      </x:c>
      <x:c r="J1575" s="14" t="n">
        <x:v>620</x:v>
      </x:c>
      <x:c r="K1575" t="str">
        <x:v>DEMO / SIMULATED</x:v>
      </x:c>
    </x:row>
    <x:row r="1576">
      <x:c r="A1576" t="str">
        <x:v>JFD-20230524-0895</x:v>
      </x:c>
      <x:c r="B1576" s="11" t="n">
        <x:v>45070.802083333336</x:v>
      </x:c>
      <x:c r="C1576" s="13" t="n">
        <x:v>0.8020833333333334</x:v>
      </x:c>
      <x:c r="D1576" t="str">
        <x:v>Damak</x:v>
      </x:c>
      <x:c r="E1576" t="str">
        <x:v>Milan’s Bakery</x:v>
      </x:c>
      <x:c r="F1576" t="str">
        <x:v>Black Forest Cake</x:v>
      </x:c>
      <x:c r="G1576" t="str">
        <x:v>Food</x:v>
      </x:c>
      <x:c r="H1576" t="n">
        <x:v>3</x:v>
      </x:c>
      <x:c r="I1576" s="14" t="n">
        <x:v>245</x:v>
      </x:c>
      <x:c r="J1576" s="14" t="n">
        <x:v>735</x:v>
      </x:c>
      <x:c r="K1576" t="str">
        <x:v>DEMO / SIMULATED</x:v>
      </x:c>
    </x:row>
    <x:row r="1577">
      <x:c r="A1577" t="str">
        <x:v>JFD-20240427-0896</x:v>
      </x:c>
      <x:c r="B1577" s="11" t="n">
        <x:v>45409.54027777778</x:v>
      </x:c>
      <x:c r="C1577" s="13" t="n">
        <x:v>0.5402777777777777</x:v>
      </x:c>
      <x:c r="D1577" t="str">
        <x:v>Birtamode</x:v>
      </x:c>
      <x:c r="E1577" t="str">
        <x:v>The Underground Cafe &amp; Restaurant</x:v>
      </x:c>
      <x:c r="F1577" t="str">
        <x:v>Paneer Pakauda</x:v>
      </x:c>
      <x:c r="G1577" t="str">
        <x:v>Food</x:v>
      </x:c>
      <x:c r="H1577" t="n">
        <x:v>3</x:v>
      </x:c>
      <x:c r="I1577" s="14" t="n">
        <x:v>200</x:v>
      </x:c>
      <x:c r="J1577" s="14" t="n">
        <x:v>600</x:v>
      </x:c>
      <x:c r="K1577" t="str">
        <x:v>DEMO / SIMULATED</x:v>
      </x:c>
    </x:row>
    <x:row r="1578">
      <x:c r="A1578" t="str">
        <x:v>JFD-20260706-0897</x:v>
      </x:c>
      <x:c r="B1578" s="11" t="n">
        <x:v>46209.86736111111</x:v>
      </x:c>
      <x:c r="C1578" s="13" t="n">
        <x:v>0.8673611111111111</x:v>
      </x:c>
      <x:c r="D1578" t="str">
        <x:v>Birtamode</x:v>
      </x:c>
      <x:c r="E1578" t="str">
        <x:v>The Underground Cafe &amp; Restaurant</x:v>
      </x:c>
      <x:c r="F1578" t="str">
        <x:v>Aalu Jeera</x:v>
      </x:c>
      <x:c r="G1578" t="str">
        <x:v>Food</x:v>
      </x:c>
      <x:c r="H1578" t="n">
        <x:v>1</x:v>
      </x:c>
      <x:c r="I1578" s="14" t="n">
        <x:v>155</x:v>
      </x:c>
      <x:c r="J1578" s="14" t="n">
        <x:v>155</x:v>
      </x:c>
      <x:c r="K1578" t="str">
        <x:v>DEMO / SIMULATED</x:v>
      </x:c>
    </x:row>
    <x:row r="1579">
      <x:c r="A1579" t="str">
        <x:v>JFD-20260706-0897</x:v>
      </x:c>
      <x:c r="B1579" s="11" t="n">
        <x:v>46209.86319444444</x:v>
      </x:c>
      <x:c r="C1579" s="13" t="n">
        <x:v>0.8631944444444445</x:v>
      </x:c>
      <x:c r="D1579" t="str">
        <x:v>Birtamode</x:v>
      </x:c>
      <x:c r="E1579" t="str">
        <x:v>The Underground Cafe &amp; Restaurant</x:v>
      </x:c>
      <x:c r="F1579" t="str">
        <x:v>Bottled Water 1L</x:v>
      </x:c>
      <x:c r="G1579" t="str">
        <x:v>Drink</x:v>
      </x:c>
      <x:c r="H1579" t="n">
        <x:v>4</x:v>
      </x:c>
      <x:c r="I1579" s="14" t="n">
        <x:v>40</x:v>
      </x:c>
      <x:c r="J1579" s="14" t="n">
        <x:v>160</x:v>
      </x:c>
      <x:c r="K1579" t="str">
        <x:v>DEMO / SIMULATED</x:v>
      </x:c>
    </x:row>
    <x:row r="1580">
      <x:c r="A1580" t="str">
        <x:v>JFD-20250919-0898</x:v>
      </x:c>
      <x:c r="B1580" s="11" t="n">
        <x:v>45919.79236111111</x:v>
      </x:c>
      <x:c r="C1580" s="13" t="n">
        <x:v>0.7923611111111111</x:v>
      </x:c>
      <x:c r="D1580" t="str">
        <x:v>Birtamode</x:v>
      </x:c>
      <x:c r="E1580" t="str">
        <x:v>Pizza Ghar</x:v>
      </x:c>
      <x:c r="F1580" t="str">
        <x:v>Egg Fried Rice</x:v>
      </x:c>
      <x:c r="G1580" t="str">
        <x:v>Food</x:v>
      </x:c>
      <x:c r="H1580" t="n">
        <x:v>2</x:v>
      </x:c>
      <x:c r="I1580" s="14" t="n">
        <x:v>255</x:v>
      </x:c>
      <x:c r="J1580" s="14" t="n">
        <x:v>510</x:v>
      </x:c>
      <x:c r="K1580" t="str">
        <x:v>DEMO / SIMULATED</x:v>
      </x:c>
    </x:row>
    <x:row r="1581">
      <x:c r="A1581" t="str">
        <x:v>JFD-20250919-0898</x:v>
      </x:c>
      <x:c r="B1581" s="11" t="n">
        <x:v>45919.75347222222</x:v>
      </x:c>
      <x:c r="C1581" s="13" t="n">
        <x:v>0.7534722222222222</x:v>
      </x:c>
      <x:c r="D1581" t="str">
        <x:v>Birtamode</x:v>
      </x:c>
      <x:c r="E1581" t="str">
        <x:v>Pizza Ghar</x:v>
      </x:c>
      <x:c r="F1581" t="str">
        <x:v>Bottled Water 1L</x:v>
      </x:c>
      <x:c r="G1581" t="str">
        <x:v>Drink</x:v>
      </x:c>
      <x:c r="H1581" t="n">
        <x:v>4</x:v>
      </x:c>
      <x:c r="I1581" s="14" t="n">
        <x:v>40</x:v>
      </x:c>
      <x:c r="J1581" s="14" t="n">
        <x:v>160</x:v>
      </x:c>
      <x:c r="K1581" t="str">
        <x:v>DEMO / SIMULATED</x:v>
      </x:c>
    </x:row>
    <x:row r="1582">
      <x:c r="A1582" t="str">
        <x:v>JFD-20240908-0899</x:v>
      </x:c>
      <x:c r="B1582" s="11" t="n">
        <x:v>45543.902083333334</x:v>
      </x:c>
      <x:c r="C1582" s="13" t="n">
        <x:v>0.9020833333333333</x:v>
      </x:c>
      <x:c r="D1582" t="str">
        <x:v>Damak</x:v>
      </x:c>
      <x:c r="E1582" t="str">
        <x:v>Milan’s Bakery</x:v>
      </x:c>
      <x:c r="F1582" t="str">
        <x:v>Chocolate Cake</x:v>
      </x:c>
      <x:c r="G1582" t="str">
        <x:v>Food</x:v>
      </x:c>
      <x:c r="H1582" t="n">
        <x:v>4</x:v>
      </x:c>
      <x:c r="I1582" s="14" t="n">
        <x:v>310</x:v>
      </x:c>
      <x:c r="J1582" s="14" t="n">
        <x:v>1240</x:v>
      </x:c>
      <x:c r="K1582" t="str">
        <x:v>DEMO / SIMULATED</x:v>
      </x:c>
    </x:row>
    <x:row r="1583">
      <x:c r="A1583" t="str">
        <x:v>JFD-20260126-0900</x:v>
      </x:c>
      <x:c r="B1583" s="11" t="n">
        <x:v>46048.56736111111</x:v>
      </x:c>
      <x:c r="C1583" s="13" t="n">
        <x:v>0.5673611111111111</x:v>
      </x:c>
      <x:c r="D1583" t="str">
        <x:v>Birtamode</x:v>
      </x:c>
      <x:c r="E1583" t="str">
        <x:v>The Underground Cafe &amp; Restaurant</x:v>
      </x:c>
      <x:c r="F1583" t="str">
        <x:v>Paneer Pakauda</x:v>
      </x:c>
      <x:c r="G1583" t="str">
        <x:v>Food</x:v>
      </x:c>
      <x:c r="H1583" t="n">
        <x:v>2</x:v>
      </x:c>
      <x:c r="I1583" s="14" t="n">
        <x:v>225</x:v>
      </x:c>
      <x:c r="J1583" s="14" t="n">
        <x:v>450</x:v>
      </x:c>
      <x:c r="K1583" t="str">
        <x:v>DEMO / SIMULATED</x:v>
      </x:c>
    </x:row>
    <x:row r="1584">
      <x:c r="A1584" t="str">
        <x:v>JFD-20260126-0900</x:v>
      </x:c>
      <x:c r="B1584" s="11" t="n">
        <x:v>46048.78472222222</x:v>
      </x:c>
      <x:c r="C1584" s="13" t="n">
        <x:v>0.7847222222222222</x:v>
      </x:c>
      <x:c r="D1584" t="str">
        <x:v>Birtamode</x:v>
      </x:c>
      <x:c r="E1584" t="str">
        <x:v>The Underground Cafe &amp; Restaurant</x:v>
      </x:c>
      <x:c r="F1584" t="str">
        <x:v>Aalu Jeera</x:v>
      </x:c>
      <x:c r="G1584" t="str">
        <x:v>Food</x:v>
      </x:c>
      <x:c r="H1584" t="n">
        <x:v>2</x:v>
      </x:c>
      <x:c r="I1584" s="14" t="n">
        <x:v>155</x:v>
      </x:c>
      <x:c r="J1584" s="14" t="n">
        <x:v>310</x:v>
      </x:c>
      <x:c r="K1584" t="str">
        <x:v>DEMO / SIMULATED</x:v>
      </x:c>
    </x:row>
    <x:row r="1585">
      <x:c r="A1585" t="str">
        <x:v>JFD-20230924-0901</x:v>
      </x:c>
      <x:c r="B1585" s="11" t="n">
        <x:v>45193.66875</x:v>
      </x:c>
      <x:c r="C1585" s="13" t="n">
        <x:v>0.66875</x:v>
      </x:c>
      <x:c r="D1585" t="str">
        <x:v>Birtamode</x:v>
      </x:c>
      <x:c r="E1585" t="str">
        <x:v>Pizza Ghar</x:v>
      </x:c>
      <x:c r="F1585" t="str">
        <x:v>Bottled Water 1L</x:v>
      </x:c>
      <x:c r="G1585" t="str">
        <x:v>Drink</x:v>
      </x:c>
      <x:c r="H1585" t="n">
        <x:v>3</x:v>
      </x:c>
      <x:c r="I1585" s="14" t="n">
        <x:v>35</x:v>
      </x:c>
      <x:c r="J1585" s="14" t="n">
        <x:v>105</x:v>
      </x:c>
      <x:c r="K1585" t="str">
        <x:v>DEMO / SIMULATED</x:v>
      </x:c>
    </x:row>
    <x:row r="1586">
      <x:c r="A1586" t="str">
        <x:v>JFD-20230924-0901</x:v>
      </x:c>
      <x:c r="B1586" s="11" t="n">
        <x:v>45193.743055555555</x:v>
      </x:c>
      <x:c r="C1586" s="13" t="n">
        <x:v>0.7430555555555556</x:v>
      </x:c>
      <x:c r="D1586" t="str">
        <x:v>Birtamode</x:v>
      </x:c>
      <x:c r="E1586" t="str">
        <x:v>Pizza Ghar</x:v>
      </x:c>
      <x:c r="F1586" t="str">
        <x:v>Coca-Cola 500ml</x:v>
      </x:c>
      <x:c r="G1586" t="str">
        <x:v>Drink</x:v>
      </x:c>
      <x:c r="H1586" t="n">
        <x:v>4</x:v>
      </x:c>
      <x:c r="I1586" s="14" t="n">
        <x:v>80</x:v>
      </x:c>
      <x:c r="J1586" s="14" t="n">
        <x:v>320</x:v>
      </x:c>
      <x:c r="K1586" t="str">
        <x:v>DEMO / SIMULATED</x:v>
      </x:c>
    </x:row>
    <x:row r="1587">
      <x:c r="A1587" t="str">
        <x:v>JFD-20230924-0901</x:v>
      </x:c>
      <x:c r="B1587" s="11" t="n">
        <x:v>45193.697916666664</x:v>
      </x:c>
      <x:c r="C1587" s="13" t="n">
        <x:v>0.6979166666666666</x:v>
      </x:c>
      <x:c r="D1587" t="str">
        <x:v>Birtamode</x:v>
      </x:c>
      <x:c r="E1587" t="str">
        <x:v>Pizza Ghar</x:v>
      </x:c>
      <x:c r="F1587" t="str">
        <x:v>Chicken BBQ Feast Pizza</x:v>
      </x:c>
      <x:c r="G1587" t="str">
        <x:v>Food</x:v>
      </x:c>
      <x:c r="H1587" t="n">
        <x:v>2</x:v>
      </x:c>
      <x:c r="I1587" s="14" t="n">
        <x:v>475</x:v>
      </x:c>
      <x:c r="J1587" s="14" t="n">
        <x:v>950</x:v>
      </x:c>
      <x:c r="K1587" t="str">
        <x:v>DEMO / SIMULATED</x:v>
      </x:c>
    </x:row>
    <x:row r="1588">
      <x:c r="A1588" t="str">
        <x:v>JFD-20231227-0902</x:v>
      </x:c>
      <x:c r="B1588" s="11" t="n">
        <x:v>45287.64166666667</x:v>
      </x:c>
      <x:c r="C1588" s="13" t="n">
        <x:v>0.6416666666666667</x:v>
      </x:c>
      <x:c r="D1588" t="str">
        <x:v>Birtamode</x:v>
      </x:c>
      <x:c r="E1588" t="str">
        <x:v>The Underground Cafe &amp; Restaurant</x:v>
      </x:c>
      <x:c r="F1588" t="str">
        <x:v>Veg Pakauda</x:v>
      </x:c>
      <x:c r="G1588" t="str">
        <x:v>Food</x:v>
      </x:c>
      <x:c r="H1588" t="n">
        <x:v>3</x:v>
      </x:c>
      <x:c r="I1588" s="14" t="n">
        <x:v>145</x:v>
      </x:c>
      <x:c r="J1588" s="14" t="n">
        <x:v>435</x:v>
      </x:c>
      <x:c r="K1588" t="str">
        <x:v>DEMO / SIMULATED</x:v>
      </x:c>
    </x:row>
    <x:row r="1589">
      <x:c r="A1589" t="str">
        <x:v>JFD-20231227-0902</x:v>
      </x:c>
      <x:c r="B1589" s="11" t="n">
        <x:v>45287.79305555556</x:v>
      </x:c>
      <x:c r="C1589" s="13" t="n">
        <x:v>0.7930555555555555</x:v>
      </x:c>
      <x:c r="D1589" t="str">
        <x:v>Birtamode</x:v>
      </x:c>
      <x:c r="E1589" t="str">
        <x:v>The Underground Cafe &amp; Restaurant</x:v>
      </x:c>
      <x:c r="F1589" t="str">
        <x:v>Coca-Cola 500ml</x:v>
      </x:c>
      <x:c r="G1589" t="str">
        <x:v>Drink</x:v>
      </x:c>
      <x:c r="H1589" t="n">
        <x:v>2</x:v>
      </x:c>
      <x:c r="I1589" s="14" t="n">
        <x:v>80</x:v>
      </x:c>
      <x:c r="J1589" s="14" t="n">
        <x:v>160</x:v>
      </x:c>
      <x:c r="K1589" t="str">
        <x:v>DEMO / SIMULATED</x:v>
      </x:c>
    </x:row>
    <x:row r="1590">
      <x:c r="A1590" t="str">
        <x:v>JFD-20260110-0903</x:v>
      </x:c>
      <x:c r="B1590" s="11" t="n">
        <x:v>46032.819444444445</x:v>
      </x:c>
      <x:c r="C1590" s="13" t="n">
        <x:v>0.8194444444444444</x:v>
      </x:c>
      <x:c r="D1590" t="str">
        <x:v>Birtamode</x:v>
      </x:c>
      <x:c r="E1590" t="str">
        <x:v>The Underground Cafe &amp; Restaurant</x:v>
      </x:c>
      <x:c r="F1590" t="str">
        <x:v>Paneer Pakauda</x:v>
      </x:c>
      <x:c r="G1590" t="str">
        <x:v>Food</x:v>
      </x:c>
      <x:c r="H1590" t="n">
        <x:v>3</x:v>
      </x:c>
      <x:c r="I1590" s="14" t="n">
        <x:v>225</x:v>
      </x:c>
      <x:c r="J1590" s="14" t="n">
        <x:v>675</x:v>
      </x:c>
      <x:c r="K1590" t="str">
        <x:v>DEMO / SIMULATED</x:v>
      </x:c>
    </x:row>
    <x:row r="1591">
      <x:c r="A1591" t="str">
        <x:v>JFD-20231108-0904</x:v>
      </x:c>
      <x:c r="B1591" s="11" t="n">
        <x:v>45238.74791666667</x:v>
      </x:c>
      <x:c r="C1591" s="13" t="n">
        <x:v>0.7479166666666667</x:v>
      </x:c>
      <x:c r="D1591" t="str">
        <x:v>Birtamode</x:v>
      </x:c>
      <x:c r="E1591" t="str">
        <x:v>The Underground Cafe &amp; Restaurant</x:v>
      </x:c>
      <x:c r="F1591" t="str">
        <x:v>Veg Pakauda</x:v>
      </x:c>
      <x:c r="G1591" t="str">
        <x:v>Food</x:v>
      </x:c>
      <x:c r="H1591" t="n">
        <x:v>3</x:v>
      </x:c>
      <x:c r="I1591" s="14" t="n">
        <x:v>145</x:v>
      </x:c>
      <x:c r="J1591" s="14" t="n">
        <x:v>435</x:v>
      </x:c>
      <x:c r="K1591" t="str">
        <x:v>DEMO / SIMULATED</x:v>
      </x:c>
    </x:row>
    <x:row r="1592">
      <x:c r="A1592" t="str">
        <x:v>JFD-20240418-0905</x:v>
      </x:c>
      <x:c r="B1592" s="11" t="n">
        <x:v>45400.583333333336</x:v>
      </x:c>
      <x:c r="C1592" s="13" t="n">
        <x:v>0.5833333333333334</x:v>
      </x:c>
      <x:c r="D1592" t="str">
        <x:v>Birtamode</x:v>
      </x:c>
      <x:c r="E1592" t="str">
        <x:v>Pizza Ghar</x:v>
      </x:c>
      <x:c r="F1592" t="str">
        <x:v>Chicken Fried Rice</x:v>
      </x:c>
      <x:c r="G1592" t="str">
        <x:v>Food</x:v>
      </x:c>
      <x:c r="H1592" t="n">
        <x:v>4</x:v>
      </x:c>
      <x:c r="I1592" s="14" t="n">
        <x:v>265</x:v>
      </x:c>
      <x:c r="J1592" s="14" t="n">
        <x:v>1060</x:v>
      </x:c>
      <x:c r="K1592" t="str">
        <x:v>DEMO / SIMULATED</x:v>
      </x:c>
    </x:row>
    <x:row r="1593">
      <x:c r="A1593" t="str">
        <x:v>JFD-20240419-0906</x:v>
      </x:c>
      <x:c r="B1593" s="11" t="n">
        <x:v>45401.513194444444</x:v>
      </x:c>
      <x:c r="C1593" s="13" t="n">
        <x:v>0.5131944444444444</x:v>
      </x:c>
      <x:c r="D1593" t="str">
        <x:v>Damak</x:v>
      </x:c>
      <x:c r="E1593" t="str">
        <x:v>Milan’s Bakery</x:v>
      </x:c>
      <x:c r="F1593" t="str">
        <x:v>Bottled Water 1L</x:v>
      </x:c>
      <x:c r="G1593" t="str">
        <x:v>Drink</x:v>
      </x:c>
      <x:c r="H1593" t="n">
        <x:v>4</x:v>
      </x:c>
      <x:c r="I1593" s="14" t="n">
        <x:v>35</x:v>
      </x:c>
      <x:c r="J1593" s="14" t="n">
        <x:v>140</x:v>
      </x:c>
      <x:c r="K1593" t="str">
        <x:v>DEMO / SIMULATED</x:v>
      </x:c>
    </x:row>
    <x:row r="1594">
      <x:c r="A1594" t="str">
        <x:v>JFD-20240419-0906</x:v>
      </x:c>
      <x:c r="B1594" s="11" t="n">
        <x:v>45401.78125</x:v>
      </x:c>
      <x:c r="C1594" s="13" t="n">
        <x:v>0.78125</x:v>
      </x:c>
      <x:c r="D1594" t="str">
        <x:v>Damak</x:v>
      </x:c>
      <x:c r="E1594" t="str">
        <x:v>Milan’s Bakery</x:v>
      </x:c>
      <x:c r="F1594" t="str">
        <x:v>Red Velvet Cake</x:v>
      </x:c>
      <x:c r="G1594" t="str">
        <x:v>Food</x:v>
      </x:c>
      <x:c r="H1594" t="n">
        <x:v>4</x:v>
      </x:c>
      <x:c r="I1594" s="14" t="n">
        <x:v>790</x:v>
      </x:c>
      <x:c r="J1594" s="14" t="n">
        <x:v>3160</x:v>
      </x:c>
      <x:c r="K1594" t="str">
        <x:v>DEMO / SIMULATED</x:v>
      </x:c>
    </x:row>
    <x:row r="1595">
      <x:c r="A1595" t="str">
        <x:v>JFD-20260428-0907</x:v>
      </x:c>
      <x:c r="B1595" s="11" t="n">
        <x:v>46140.88958333333</x:v>
      </x:c>
      <x:c r="C1595" s="13" t="n">
        <x:v>0.8895833333333333</x:v>
      </x:c>
      <x:c r="D1595" t="str">
        <x:v>Birtamode</x:v>
      </x:c>
      <x:c r="E1595" t="str">
        <x:v>The Underground Cafe &amp; Restaurant</x:v>
      </x:c>
      <x:c r="F1595" t="str">
        <x:v>Paneer Pakauda</x:v>
      </x:c>
      <x:c r="G1595" t="str">
        <x:v>Food</x:v>
      </x:c>
      <x:c r="H1595" t="n">
        <x:v>3</x:v>
      </x:c>
      <x:c r="I1595" s="14" t="n">
        <x:v>225</x:v>
      </x:c>
      <x:c r="J1595" s="14" t="n">
        <x:v>675</x:v>
      </x:c>
      <x:c r="K1595" t="str">
        <x:v>DEMO / SIMULATED</x:v>
      </x:c>
    </x:row>
    <x:row r="1596">
      <x:c r="A1596" t="str">
        <x:v>JFD-20240707-0908</x:v>
      </x:c>
      <x:c r="B1596" s="11" t="n">
        <x:v>45480.768055555556</x:v>
      </x:c>
      <x:c r="C1596" s="13" t="n">
        <x:v>0.7680555555555556</x:v>
      </x:c>
      <x:c r="D1596" t="str">
        <x:v>Damak</x:v>
      </x:c>
      <x:c r="E1596" t="str">
        <x:v>Late Night Cravings</x:v>
      </x:c>
      <x:c r="F1596" t="str">
        <x:v>Egg Fry Rice</x:v>
      </x:c>
      <x:c r="G1596" t="str">
        <x:v>Food</x:v>
      </x:c>
      <x:c r="H1596" t="n">
        <x:v>4</x:v>
      </x:c>
      <x:c r="I1596" s="14" t="n">
        <x:v>175</x:v>
      </x:c>
      <x:c r="J1596" s="14" t="n">
        <x:v>700</x:v>
      </x:c>
      <x:c r="K1596" t="str">
        <x:v>DEMO / SIMULATED</x:v>
      </x:c>
    </x:row>
    <x:row r="1597">
      <x:c r="A1597" t="str">
        <x:v>JFD-20240707-0908</x:v>
      </x:c>
      <x:c r="B1597" s="11" t="n">
        <x:v>45480.856944444444</x:v>
      </x:c>
      <x:c r="C1597" s="13" t="n">
        <x:v>0.8569444444444444</x:v>
      </x:c>
      <x:c r="D1597" t="str">
        <x:v>Damak</x:v>
      </x:c>
      <x:c r="E1597" t="str">
        <x:v>Late Night Cravings</x:v>
      </x:c>
      <x:c r="F1597" t="str">
        <x:v>Bottled Water 1L</x:v>
      </x:c>
      <x:c r="G1597" t="str">
        <x:v>Drink</x:v>
      </x:c>
      <x:c r="H1597" t="n">
        <x:v>1</x:v>
      </x:c>
      <x:c r="I1597" s="14" t="n">
        <x:v>35</x:v>
      </x:c>
      <x:c r="J1597" s="14" t="n">
        <x:v>35</x:v>
      </x:c>
      <x:c r="K1597" t="str">
        <x:v>DEMO / SIMULATED</x:v>
      </x:c>
    </x:row>
    <x:row r="1598">
      <x:c r="A1598" t="str">
        <x:v>JFD-20250304-0909</x:v>
      </x:c>
      <x:c r="B1598" s="11" t="n">
        <x:v>45720.58541666667</x:v>
      </x:c>
      <x:c r="C1598" s="13" t="n">
        <x:v>0.5854166666666667</x:v>
      </x:c>
      <x:c r="D1598" t="str">
        <x:v>Birtamode</x:v>
      </x:c>
      <x:c r="E1598" t="str">
        <x:v>Pizza Ghar</x:v>
      </x:c>
      <x:c r="F1598" t="str">
        <x:v>Egg Fried Rice</x:v>
      </x:c>
      <x:c r="G1598" t="str">
        <x:v>Food</x:v>
      </x:c>
      <x:c r="H1598" t="n">
        <x:v>4</x:v>
      </x:c>
      <x:c r="I1598" s="14" t="n">
        <x:v>255</x:v>
      </x:c>
      <x:c r="J1598" s="14" t="n">
        <x:v>1020</x:v>
      </x:c>
      <x:c r="K1598" t="str">
        <x:v>DEMO / SIMULATED</x:v>
      </x:c>
    </x:row>
    <x:row r="1599">
      <x:c r="A1599" t="str">
        <x:v>JFD-20250304-0909</x:v>
      </x:c>
      <x:c r="B1599" s="11" t="n">
        <x:v>45720.58194444444</x:v>
      </x:c>
      <x:c r="C1599" s="13" t="n">
        <x:v>0.5819444444444445</x:v>
      </x:c>
      <x:c r="D1599" t="str">
        <x:v>Birtamode</x:v>
      </x:c>
      <x:c r="E1599" t="str">
        <x:v>Pizza Ghar</x:v>
      </x:c>
      <x:c r="F1599" t="str">
        <x:v>Chicken BBQ Feast Pizza</x:v>
      </x:c>
      <x:c r="G1599" t="str">
        <x:v>Food</x:v>
      </x:c>
      <x:c r="H1599" t="n">
        <x:v>2</x:v>
      </x:c>
      <x:c r="I1599" s="14" t="n">
        <x:v>545</x:v>
      </x:c>
      <x:c r="J1599" s="14" t="n">
        <x:v>1090</x:v>
      </x:c>
      <x:c r="K1599" t="str">
        <x:v>DEMO / SIMULATED</x:v>
      </x:c>
    </x:row>
    <x:row r="1600">
      <x:c r="A1600" t="str">
        <x:v>JFD-20250212-0910</x:v>
      </x:c>
      <x:c r="B1600" s="11" t="n">
        <x:v>45700.47708333333</x:v>
      </x:c>
      <x:c r="C1600" s="13" t="n">
        <x:v>0.47708333333333336</x:v>
      </x:c>
      <x:c r="D1600" t="str">
        <x:v>Damak</x:v>
      </x:c>
      <x:c r="E1600" t="str">
        <x:v>Late Night Cravings</x:v>
      </x:c>
      <x:c r="F1600" t="str">
        <x:v>Chicken Fry Rice</x:v>
      </x:c>
      <x:c r="G1600" t="str">
        <x:v>Food</x:v>
      </x:c>
      <x:c r="H1600" t="n">
        <x:v>4</x:v>
      </x:c>
      <x:c r="I1600" s="14" t="n">
        <x:v>205</x:v>
      </x:c>
      <x:c r="J1600" s="14" t="n">
        <x:v>820</x:v>
      </x:c>
      <x:c r="K1600" t="str">
        <x:v>DEMO / SIMULATED</x:v>
      </x:c>
    </x:row>
    <x:row r="1601">
      <x:c r="A1601" t="str">
        <x:v>JFD-20250212-0910</x:v>
      </x:c>
      <x:c r="B1601" s="11" t="n">
        <x:v>45700.771527777775</x:v>
      </x:c>
      <x:c r="C1601" s="13" t="n">
        <x:v>0.7715277777777778</x:v>
      </x:c>
      <x:c r="D1601" t="str">
        <x:v>Damak</x:v>
      </x:c>
      <x:c r="E1601" t="str">
        <x:v>Late Night Cravings</x:v>
      </x:c>
      <x:c r="F1601" t="str">
        <x:v>Egg Fry Rice</x:v>
      </x:c>
      <x:c r="G1601" t="str">
        <x:v>Food</x:v>
      </x:c>
      <x:c r="H1601" t="n">
        <x:v>3</x:v>
      </x:c>
      <x:c r="I1601" s="14" t="n">
        <x:v>190</x:v>
      </x:c>
      <x:c r="J1601" s="14" t="n">
        <x:v>570</x:v>
      </x:c>
      <x:c r="K1601" t="str">
        <x:v>DEMO / SIMULATED</x:v>
      </x:c>
    </x:row>
    <x:row r="1602">
      <x:c r="A1602" t="str">
        <x:v>JFD-20250505-0911</x:v>
      </x:c>
      <x:c r="B1602" s="11" t="n">
        <x:v>45782.86875</x:v>
      </x:c>
      <x:c r="C1602" s="13" t="n">
        <x:v>0.86875</x:v>
      </x:c>
      <x:c r="D1602" t="str">
        <x:v>Birtamode</x:v>
      </x:c>
      <x:c r="E1602" t="str">
        <x:v>The Underground Cafe &amp; Restaurant</x:v>
      </x:c>
      <x:c r="F1602" t="str">
        <x:v>Coca-Cola 500ml</x:v>
      </x:c>
      <x:c r="G1602" t="str">
        <x:v>Drink</x:v>
      </x:c>
      <x:c r="H1602" t="n">
        <x:v>3</x:v>
      </x:c>
      <x:c r="I1602" s="14" t="n">
        <x:v>95</x:v>
      </x:c>
      <x:c r="J1602" s="14" t="n">
        <x:v>285</x:v>
      </x:c>
      <x:c r="K1602" t="str">
        <x:v>DEMO / SIMULATED</x:v>
      </x:c>
    </x:row>
    <x:row r="1603">
      <x:c r="A1603" t="str">
        <x:v>JFD-20230905-0912</x:v>
      </x:c>
      <x:c r="B1603" s="11" t="n">
        <x:v>45174.78194444445</x:v>
      </x:c>
      <x:c r="C1603" s="13" t="n">
        <x:v>0.7819444444444444</x:v>
      </x:c>
      <x:c r="D1603" t="str">
        <x:v>Birtamode</x:v>
      </x:c>
      <x:c r="E1603" t="str">
        <x:v>The Underground Cafe &amp; Restaurant</x:v>
      </x:c>
      <x:c r="F1603" t="str">
        <x:v>Aalu Jeera</x:v>
      </x:c>
      <x:c r="G1603" t="str">
        <x:v>Food</x:v>
      </x:c>
      <x:c r="H1603" t="n">
        <x:v>1</x:v>
      </x:c>
      <x:c r="I1603" s="14" t="n">
        <x:v>125</x:v>
      </x:c>
      <x:c r="J1603" s="14" t="n">
        <x:v>125</x:v>
      </x:c>
      <x:c r="K1603" t="str">
        <x:v>DEMO / SIMULATED</x:v>
      </x:c>
    </x:row>
    <x:row r="1604">
      <x:c r="A1604" t="str">
        <x:v>JFD-20230905-0912</x:v>
      </x:c>
      <x:c r="B1604" s="11" t="n">
        <x:v>45174.544444444444</x:v>
      </x:c>
      <x:c r="C1604" s="13" t="n">
        <x:v>0.5444444444444444</x:v>
      </x:c>
      <x:c r="D1604" t="str">
        <x:v>Birtamode</x:v>
      </x:c>
      <x:c r="E1604" t="str">
        <x:v>The Underground Cafe &amp; Restaurant</x:v>
      </x:c>
      <x:c r="F1604" t="str">
        <x:v>Paneer Pakauda</x:v>
      </x:c>
      <x:c r="G1604" t="str">
        <x:v>Food</x:v>
      </x:c>
      <x:c r="H1604" t="n">
        <x:v>4</x:v>
      </x:c>
      <x:c r="I1604" s="14" t="n">
        <x:v>185</x:v>
      </x:c>
      <x:c r="J1604" s="14" t="n">
        <x:v>740</x:v>
      </x:c>
      <x:c r="K1604" t="str">
        <x:v>DEMO / SIMULATED</x:v>
      </x:c>
    </x:row>
    <x:row r="1605">
      <x:c r="A1605" t="str">
        <x:v>JFD-20260201-0913</x:v>
      </x:c>
      <x:c r="B1605" s="11" t="n">
        <x:v>46054.47361111111</x:v>
      </x:c>
      <x:c r="C1605" s="13" t="n">
        <x:v>0.4736111111111111</x:v>
      </x:c>
      <x:c r="D1605" t="str">
        <x:v>Birtamode</x:v>
      </x:c>
      <x:c r="E1605" t="str">
        <x:v>The Underground Cafe &amp; Restaurant</x:v>
      </x:c>
      <x:c r="F1605" t="str">
        <x:v>Paneer Pakauda</x:v>
      </x:c>
      <x:c r="G1605" t="str">
        <x:v>Food</x:v>
      </x:c>
      <x:c r="H1605" t="n">
        <x:v>3</x:v>
      </x:c>
      <x:c r="I1605" s="14" t="n">
        <x:v>225</x:v>
      </x:c>
      <x:c r="J1605" s="14" t="n">
        <x:v>675</x:v>
      </x:c>
      <x:c r="K1605" t="str">
        <x:v>DEMO / SIMULATED</x:v>
      </x:c>
    </x:row>
    <x:row r="1606">
      <x:c r="A1606" t="str">
        <x:v>JFD-20250410-0914</x:v>
      </x:c>
      <x:c r="B1606" s="11" t="n">
        <x:v>45757.813888888886</x:v>
      </x:c>
      <x:c r="C1606" s="13" t="n">
        <x:v>0.8138888888888889</x:v>
      </x:c>
      <x:c r="D1606" t="str">
        <x:v>Damak</x:v>
      </x:c>
      <x:c r="E1606" t="str">
        <x:v>Late Night Cravings</x:v>
      </x:c>
      <x:c r="F1606" t="str">
        <x:v>Veg Fry Rice</x:v>
      </x:c>
      <x:c r="G1606" t="str">
        <x:v>Food</x:v>
      </x:c>
      <x:c r="H1606" t="n">
        <x:v>4</x:v>
      </x:c>
      <x:c r="I1606" s="14" t="n">
        <x:v>150</x:v>
      </x:c>
      <x:c r="J1606" s="14" t="n">
        <x:v>600</x:v>
      </x:c>
      <x:c r="K1606" t="str">
        <x:v>DEMO / SIMULATED</x:v>
      </x:c>
    </x:row>
    <x:row r="1607">
      <x:c r="A1607" t="str">
        <x:v>JFD-20240930-0915</x:v>
      </x:c>
      <x:c r="B1607" s="11" t="n">
        <x:v>45565.52638888889</x:v>
      </x:c>
      <x:c r="C1607" s="13" t="n">
        <x:v>0.5263888888888889</x:v>
      </x:c>
      <x:c r="D1607" t="str">
        <x:v>Damak</x:v>
      </x:c>
      <x:c r="E1607" t="str">
        <x:v>Milan’s Bakery</x:v>
      </x:c>
      <x:c r="F1607" t="str">
        <x:v>Chocolate Cake</x:v>
      </x:c>
      <x:c r="G1607" t="str">
        <x:v>Food</x:v>
      </x:c>
      <x:c r="H1607" t="n">
        <x:v>4</x:v>
      </x:c>
      <x:c r="I1607" s="14" t="n">
        <x:v>310</x:v>
      </x:c>
      <x:c r="J1607" s="14" t="n">
        <x:v>1240</x:v>
      </x:c>
      <x:c r="K1607" t="str">
        <x:v>DEMO / SIMULATED</x:v>
      </x:c>
    </x:row>
    <x:row r="1608">
      <x:c r="A1608" t="str">
        <x:v>JFD-20240930-0915</x:v>
      </x:c>
      <x:c r="B1608" s="11" t="n">
        <x:v>45565.5625</x:v>
      </x:c>
      <x:c r="C1608" s="13" t="n">
        <x:v>0.5625</x:v>
      </x:c>
      <x:c r="D1608" t="str">
        <x:v>Damak</x:v>
      </x:c>
      <x:c r="E1608" t="str">
        <x:v>Milan’s Bakery</x:v>
      </x:c>
      <x:c r="F1608" t="str">
        <x:v>Vanilla Cake</x:v>
      </x:c>
      <x:c r="G1608" t="str">
        <x:v>Food</x:v>
      </x:c>
      <x:c r="H1608" t="n">
        <x:v>2</x:v>
      </x:c>
      <x:c r="I1608" s="14" t="n">
        <x:v>265</x:v>
      </x:c>
      <x:c r="J1608" s="14" t="n">
        <x:v>530</x:v>
      </x:c>
      <x:c r="K1608" t="str">
        <x:v>DEMO / SIMULATED</x:v>
      </x:c>
    </x:row>
    <x:row r="1609">
      <x:c r="A1609" t="str">
        <x:v>JFD-20230228-0916</x:v>
      </x:c>
      <x:c r="B1609" s="11" t="n">
        <x:v>44985.68541666667</x:v>
      </x:c>
      <x:c r="C1609" s="13" t="n">
        <x:v>0.6854166666666667</x:v>
      </x:c>
      <x:c r="D1609" t="str">
        <x:v>Damak</x:v>
      </x:c>
      <x:c r="E1609" t="str">
        <x:v>Late Night Cravings</x:v>
      </x:c>
      <x:c r="F1609" t="str">
        <x:v>Chicken Fry Rice</x:v>
      </x:c>
      <x:c r="G1609" t="str">
        <x:v>Food</x:v>
      </x:c>
      <x:c r="H1609" t="n">
        <x:v>1</x:v>
      </x:c>
      <x:c r="I1609" s="14" t="n">
        <x:v>180</x:v>
      </x:c>
      <x:c r="J1609" s="14" t="n">
        <x:v>180</x:v>
      </x:c>
      <x:c r="K1609" t="str">
        <x:v>DEMO / SIMULATED</x:v>
      </x:c>
    </x:row>
    <x:row r="1610">
      <x:c r="A1610" t="str">
        <x:v>JFD-20230228-0916</x:v>
      </x:c>
      <x:c r="B1610" s="11" t="n">
        <x:v>44985.88888888889</x:v>
      </x:c>
      <x:c r="C1610" s="13" t="n">
        <x:v>0.8888888888888888</x:v>
      </x:c>
      <x:c r="D1610" t="str">
        <x:v>Damak</x:v>
      </x:c>
      <x:c r="E1610" t="str">
        <x:v>Late Night Cravings</x:v>
      </x:c>
      <x:c r="F1610" t="str">
        <x:v>Veg Fry Rice</x:v>
      </x:c>
      <x:c r="G1610" t="str">
        <x:v>Food</x:v>
      </x:c>
      <x:c r="H1610" t="n">
        <x:v>3</x:v>
      </x:c>
      <x:c r="I1610" s="14" t="n">
        <x:v>130</x:v>
      </x:c>
      <x:c r="J1610" s="14" t="n">
        <x:v>390</x:v>
      </x:c>
      <x:c r="K1610" t="str">
        <x:v>DEMO / SIMULATED</x:v>
      </x:c>
    </x:row>
    <x:row r="1611">
      <x:c r="A1611" t="str">
        <x:v>JFD-20230228-0916</x:v>
      </x:c>
      <x:c r="B1611" s="11" t="n">
        <x:v>44985.72638888889</x:v>
      </x:c>
      <x:c r="C1611" s="13" t="n">
        <x:v>0.7263888888888889</x:v>
      </x:c>
      <x:c r="D1611" t="str">
        <x:v>Damak</x:v>
      </x:c>
      <x:c r="E1611" t="str">
        <x:v>Late Night Cravings</x:v>
      </x:c>
      <x:c r="F1611" t="str">
        <x:v>Bottled Water 1L</x:v>
      </x:c>
      <x:c r="G1611" t="str">
        <x:v>Drink</x:v>
      </x:c>
      <x:c r="H1611" t="n">
        <x:v>4</x:v>
      </x:c>
      <x:c r="I1611" s="14" t="n">
        <x:v>35</x:v>
      </x:c>
      <x:c r="J1611" s="14" t="n">
        <x:v>140</x:v>
      </x:c>
      <x:c r="K1611" t="str">
        <x:v>DEMO / SIMULATED</x:v>
      </x:c>
    </x:row>
    <x:row r="1612">
      <x:c r="A1612" t="str">
        <x:v>JFD-20260928-0917</x:v>
      </x:c>
      <x:c r="B1612" s="11" t="n">
        <x:v>46293.663194444445</x:v>
      </x:c>
      <x:c r="C1612" s="13" t="n">
        <x:v>0.6631944444444444</x:v>
      </x:c>
      <x:c r="D1612" t="str">
        <x:v>Damak</x:v>
      </x:c>
      <x:c r="E1612" t="str">
        <x:v>Late Night Cravings</x:v>
      </x:c>
      <x:c r="F1612" t="str">
        <x:v>Chicken Fry Rice</x:v>
      </x:c>
      <x:c r="G1612" t="str">
        <x:v>Food</x:v>
      </x:c>
      <x:c r="H1612" t="n">
        <x:v>2</x:v>
      </x:c>
      <x:c r="I1612" s="14" t="n">
        <x:v>220</x:v>
      </x:c>
      <x:c r="J1612" s="14" t="n">
        <x:v>440</x:v>
      </x:c>
      <x:c r="K1612" t="str">
        <x:v>DEMO / SIMULATED</x:v>
      </x:c>
    </x:row>
    <x:row r="1613">
      <x:c r="A1613" t="str">
        <x:v>JFD-20260928-0917</x:v>
      </x:c>
      <x:c r="B1613" s="11" t="n">
        <x:v>46293.89097222222</x:v>
      </x:c>
      <x:c r="C1613" s="13" t="n">
        <x:v>0.8909722222222223</x:v>
      </x:c>
      <x:c r="D1613" t="str">
        <x:v>Damak</x:v>
      </x:c>
      <x:c r="E1613" t="str">
        <x:v>Late Night Cravings</x:v>
      </x:c>
      <x:c r="F1613" t="str">
        <x:v>Mix Fry Rice</x:v>
      </x:c>
      <x:c r="G1613" t="str">
        <x:v>Food</x:v>
      </x:c>
      <x:c r="H1613" t="n">
        <x:v>3</x:v>
      </x:c>
      <x:c r="I1613" s="14" t="n">
        <x:v>280</x:v>
      </x:c>
      <x:c r="J1613" s="14" t="n">
        <x:v>840</x:v>
      </x:c>
      <x:c r="K1613" t="str">
        <x:v>DEMO / SIMULATED</x:v>
      </x:c>
    </x:row>
    <x:row r="1614">
      <x:c r="A1614" t="str">
        <x:v>JFD-20260928-0917</x:v>
      </x:c>
      <x:c r="B1614" s="11" t="n">
        <x:v>46293.79722222222</x:v>
      </x:c>
      <x:c r="C1614" s="13" t="n">
        <x:v>0.7972222222222223</x:v>
      </x:c>
      <x:c r="D1614" t="str">
        <x:v>Damak</x:v>
      </x:c>
      <x:c r="E1614" t="str">
        <x:v>Late Night Cravings</x:v>
      </x:c>
      <x:c r="F1614" t="str">
        <x:v>Bottled Water 1L</x:v>
      </x:c>
      <x:c r="G1614" t="str">
        <x:v>Drink</x:v>
      </x:c>
      <x:c r="H1614" t="n">
        <x:v>2</x:v>
      </x:c>
      <x:c r="I1614" s="14" t="n">
        <x:v>40</x:v>
      </x:c>
      <x:c r="J1614" s="14" t="n">
        <x:v>80</x:v>
      </x:c>
      <x:c r="K1614" t="str">
        <x:v>DEMO / SIMULATED</x:v>
      </x:c>
    </x:row>
    <x:row r="1615">
      <x:c r="A1615" t="str">
        <x:v>JFD-20230201-0918</x:v>
      </x:c>
      <x:c r="B1615" s="11" t="n">
        <x:v>44958.597916666666</x:v>
      </x:c>
      <x:c r="C1615" s="13" t="n">
        <x:v>0.5979166666666667</x:v>
      </x:c>
      <x:c r="D1615" t="str">
        <x:v>Damak</x:v>
      </x:c>
      <x:c r="E1615" t="str">
        <x:v>Milan’s Bakery</x:v>
      </x:c>
      <x:c r="F1615" t="str">
        <x:v>Bottled Water 1L</x:v>
      </x:c>
      <x:c r="G1615" t="str">
        <x:v>Drink</x:v>
      </x:c>
      <x:c r="H1615" t="n">
        <x:v>3</x:v>
      </x:c>
      <x:c r="I1615" s="14" t="n">
        <x:v>35</x:v>
      </x:c>
      <x:c r="J1615" s="14" t="n">
        <x:v>105</x:v>
      </x:c>
      <x:c r="K1615" t="str">
        <x:v>DEMO / SIMULATED</x:v>
      </x:c>
    </x:row>
    <x:row r="1616">
      <x:c r="A1616" t="str">
        <x:v>JFD-20250110-0919</x:v>
      </x:c>
      <x:c r="B1616" s="11" t="n">
        <x:v>45667.68263888889</x:v>
      </x:c>
      <x:c r="C1616" s="13" t="n">
        <x:v>0.6826388888888889</x:v>
      </x:c>
      <x:c r="D1616" t="str">
        <x:v>Damak</x:v>
      </x:c>
      <x:c r="E1616" t="str">
        <x:v>Late Night Cravings</x:v>
      </x:c>
      <x:c r="F1616" t="str">
        <x:v>Chicken Fry Rice</x:v>
      </x:c>
      <x:c r="G1616" t="str">
        <x:v>Food</x:v>
      </x:c>
      <x:c r="H1616" t="n">
        <x:v>4</x:v>
      </x:c>
      <x:c r="I1616" s="14" t="n">
        <x:v>205</x:v>
      </x:c>
      <x:c r="J1616" s="14" t="n">
        <x:v>820</x:v>
      </x:c>
      <x:c r="K1616" t="str">
        <x:v>DEMO / SIMULATED</x:v>
      </x:c>
    </x:row>
    <x:row r="1617">
      <x:c r="A1617" t="str">
        <x:v>JFD-20250110-0919</x:v>
      </x:c>
      <x:c r="B1617" s="11" t="n">
        <x:v>45667.67152777778</x:v>
      </x:c>
      <x:c r="C1617" s="13" t="n">
        <x:v>0.6715277777777777</x:v>
      </x:c>
      <x:c r="D1617" t="str">
        <x:v>Damak</x:v>
      </x:c>
      <x:c r="E1617" t="str">
        <x:v>Late Night Cravings</x:v>
      </x:c>
      <x:c r="F1617" t="str">
        <x:v>Bottled Water 1L</x:v>
      </x:c>
      <x:c r="G1617" t="str">
        <x:v>Drink</x:v>
      </x:c>
      <x:c r="H1617" t="n">
        <x:v>4</x:v>
      </x:c>
      <x:c r="I1617" s="14" t="n">
        <x:v>40</x:v>
      </x:c>
      <x:c r="J1617" s="14" t="n">
        <x:v>160</x:v>
      </x:c>
      <x:c r="K1617" t="str">
        <x:v>DEMO / SIMULATED</x:v>
      </x:c>
    </x:row>
    <x:row r="1618">
      <x:c r="A1618" t="str">
        <x:v>JFD-20231113-0920</x:v>
      </x:c>
      <x:c r="B1618" s="11" t="n">
        <x:v>45243.49375</x:v>
      </x:c>
      <x:c r="C1618" s="13" t="n">
        <x:v>0.49375</x:v>
      </x:c>
      <x:c r="D1618" t="str">
        <x:v>Birtamode</x:v>
      </x:c>
      <x:c r="E1618" t="str">
        <x:v>Pizza Ghar</x:v>
      </x:c>
      <x:c r="F1618" t="str">
        <x:v>Chicken Fried Rice</x:v>
      </x:c>
      <x:c r="G1618" t="str">
        <x:v>Food</x:v>
      </x:c>
      <x:c r="H1618" t="n">
        <x:v>2</x:v>
      </x:c>
      <x:c r="I1618" s="14" t="n">
        <x:v>245</x:v>
      </x:c>
      <x:c r="J1618" s="14" t="n">
        <x:v>490</x:v>
      </x:c>
      <x:c r="K1618" t="str">
        <x:v>DEMO / SIMULATED</x:v>
      </x:c>
    </x:row>
    <x:row r="1619">
      <x:c r="A1619" t="str">
        <x:v>JFD-20230719-0921</x:v>
      </x:c>
      <x:c r="B1619" s="11" t="n">
        <x:v>45126.50208333333</x:v>
      </x:c>
      <x:c r="C1619" s="13" t="n">
        <x:v>0.5020833333333333</x:v>
      </x:c>
      <x:c r="D1619" t="str">
        <x:v>Damak</x:v>
      </x:c>
      <x:c r="E1619" t="str">
        <x:v>Late Night Cravings</x:v>
      </x:c>
      <x:c r="F1619" t="str">
        <x:v>Coca-Cola 500ml</x:v>
      </x:c>
      <x:c r="G1619" t="str">
        <x:v>Drink</x:v>
      </x:c>
      <x:c r="H1619" t="n">
        <x:v>2</x:v>
      </x:c>
      <x:c r="I1619" s="14" t="n">
        <x:v>80</x:v>
      </x:c>
      <x:c r="J1619" s="14" t="n">
        <x:v>160</x:v>
      </x:c>
      <x:c r="K1619" t="str">
        <x:v>DEMO / SIMULATED</x:v>
      </x:c>
    </x:row>
    <x:row r="1620">
      <x:c r="A1620" t="str">
        <x:v>JFD-20250325-0922</x:v>
      </x:c>
      <x:c r="B1620" s="11" t="n">
        <x:v>45741.46111111111</x:v>
      </x:c>
      <x:c r="C1620" s="13" t="n">
        <x:v>0.46111111111111114</x:v>
      </x:c>
      <x:c r="D1620" t="str">
        <x:v>Birtamode</x:v>
      </x:c>
      <x:c r="E1620" t="str">
        <x:v>Pizza Ghar</x:v>
      </x:c>
      <x:c r="F1620" t="str">
        <x:v>Coca-Cola 500ml</x:v>
      </x:c>
      <x:c r="G1620" t="str">
        <x:v>Drink</x:v>
      </x:c>
      <x:c r="H1620" t="n">
        <x:v>2</x:v>
      </x:c>
      <x:c r="I1620" s="14" t="n">
        <x:v>95</x:v>
      </x:c>
      <x:c r="J1620" s="14" t="n">
        <x:v>190</x:v>
      </x:c>
      <x:c r="K1620" t="str">
        <x:v>DEMO / SIMULATED</x:v>
      </x:c>
    </x:row>
    <x:row r="1621">
      <x:c r="A1621" t="str">
        <x:v>JFD-20240413-0923</x:v>
      </x:c>
      <x:c r="B1621" s="11" t="n">
        <x:v>45395.677083333336</x:v>
      </x:c>
      <x:c r="C1621" s="13" t="n">
        <x:v>0.6770833333333334</x:v>
      </x:c>
      <x:c r="D1621" t="str">
        <x:v>Birtamode</x:v>
      </x:c>
      <x:c r="E1621" t="str">
        <x:v>The Underground Cafe &amp; Restaurant</x:v>
      </x:c>
      <x:c r="F1621" t="str">
        <x:v>Paneer Pakauda</x:v>
      </x:c>
      <x:c r="G1621" t="str">
        <x:v>Food</x:v>
      </x:c>
      <x:c r="H1621" t="n">
        <x:v>2</x:v>
      </x:c>
      <x:c r="I1621" s="14" t="n">
        <x:v>200</x:v>
      </x:c>
      <x:c r="J1621" s="14" t="n">
        <x:v>400</x:v>
      </x:c>
      <x:c r="K1621" t="str">
        <x:v>DEMO / SIMULATED</x:v>
      </x:c>
    </x:row>
    <x:row r="1622">
      <x:c r="A1622" t="str">
        <x:v>JFD-20230106-0924</x:v>
      </x:c>
      <x:c r="B1622" s="11" t="n">
        <x:v>44932.61944444444</x:v>
      </x:c>
      <x:c r="C1622" s="13" t="n">
        <x:v>0.6194444444444445</x:v>
      </x:c>
      <x:c r="D1622" t="str">
        <x:v>Birtamode</x:v>
      </x:c>
      <x:c r="E1622" t="str">
        <x:v>Pizza Ghar</x:v>
      </x:c>
      <x:c r="F1622" t="str">
        <x:v>Egg Fried Rice</x:v>
      </x:c>
      <x:c r="G1622" t="str">
        <x:v>Food</x:v>
      </x:c>
      <x:c r="H1622" t="n">
        <x:v>1</x:v>
      </x:c>
      <x:c r="I1622" s="14" t="n">
        <x:v>220</x:v>
      </x:c>
      <x:c r="J1622" s="14" t="n">
        <x:v>220</x:v>
      </x:c>
      <x:c r="K1622" t="str">
        <x:v>DEMO / SIMULATED</x:v>
      </x:c>
    </x:row>
    <x:row r="1623">
      <x:c r="A1623" t="str">
        <x:v>JFD-20240727-0925</x:v>
      </x:c>
      <x:c r="B1623" s="11" t="n">
        <x:v>45500.731944444444</x:v>
      </x:c>
      <x:c r="C1623" s="13" t="n">
        <x:v>0.7319444444444444</x:v>
      </x:c>
      <x:c r="D1623" t="str">
        <x:v>Damak</x:v>
      </x:c>
      <x:c r="E1623" t="str">
        <x:v>Late Night Cravings</x:v>
      </x:c>
      <x:c r="F1623" t="str">
        <x:v>Mix Fry Rice</x:v>
      </x:c>
      <x:c r="G1623" t="str">
        <x:v>Food</x:v>
      </x:c>
      <x:c r="H1623" t="n">
        <x:v>4</x:v>
      </x:c>
      <x:c r="I1623" s="14" t="n">
        <x:v>245</x:v>
      </x:c>
      <x:c r="J1623" s="14" t="n">
        <x:v>980</x:v>
      </x:c>
      <x:c r="K1623" t="str">
        <x:v>DEMO / SIMULATED</x:v>
      </x:c>
    </x:row>
    <x:row r="1624">
      <x:c r="A1624" t="str">
        <x:v>JFD-20230519-0926</x:v>
      </x:c>
      <x:c r="B1624" s="11" t="n">
        <x:v>45065.78472222222</x:v>
      </x:c>
      <x:c r="C1624" s="13" t="n">
        <x:v>0.7847222222222222</x:v>
      </x:c>
      <x:c r="D1624" t="str">
        <x:v>Birtamode</x:v>
      </x:c>
      <x:c r="E1624" t="str">
        <x:v>Pizza Ghar</x:v>
      </x:c>
      <x:c r="F1624" t="str">
        <x:v>Bottled Water 1L</x:v>
      </x:c>
      <x:c r="G1624" t="str">
        <x:v>Drink</x:v>
      </x:c>
      <x:c r="H1624" t="n">
        <x:v>1</x:v>
      </x:c>
      <x:c r="I1624" s="14" t="n">
        <x:v>35</x:v>
      </x:c>
      <x:c r="J1624" s="14" t="n">
        <x:v>35</x:v>
      </x:c>
      <x:c r="K1624" t="str">
        <x:v>DEMO / SIMULATED</x:v>
      </x:c>
    </x:row>
    <x:row r="1625">
      <x:c r="A1625" t="str">
        <x:v>JFD-20231111-0927</x:v>
      </x:c>
      <x:c r="B1625" s="11" t="n">
        <x:v>45241.83888888889</x:v>
      </x:c>
      <x:c r="C1625" s="13" t="n">
        <x:v>0.8388888888888889</x:v>
      </x:c>
      <x:c r="D1625" t="str">
        <x:v>Birtamode</x:v>
      </x:c>
      <x:c r="E1625" t="str">
        <x:v>The Underground Cafe &amp; Restaurant</x:v>
      </x:c>
      <x:c r="F1625" t="str">
        <x:v>Paneer Pakauda</x:v>
      </x:c>
      <x:c r="G1625" t="str">
        <x:v>Food</x:v>
      </x:c>
      <x:c r="H1625" t="n">
        <x:v>2</x:v>
      </x:c>
      <x:c r="I1625" s="14" t="n">
        <x:v>185</x:v>
      </x:c>
      <x:c r="J1625" s="14" t="n">
        <x:v>370</x:v>
      </x:c>
      <x:c r="K1625" t="str">
        <x:v>DEMO / SIMULATED</x:v>
      </x:c>
    </x:row>
    <x:row r="1626">
      <x:c r="A1626" t="str">
        <x:v>JFD-20231111-0927</x:v>
      </x:c>
      <x:c r="B1626" s="11" t="n">
        <x:v>45241.43680555555</x:v>
      </x:c>
      <x:c r="C1626" s="13" t="n">
        <x:v>0.43680555555555556</x:v>
      </x:c>
      <x:c r="D1626" t="str">
        <x:v>Birtamode</x:v>
      </x:c>
      <x:c r="E1626" t="str">
        <x:v>The Underground Cafe &amp; Restaurant</x:v>
      </x:c>
      <x:c r="F1626" t="str">
        <x:v>Bottled Water 1L</x:v>
      </x:c>
      <x:c r="G1626" t="str">
        <x:v>Drink</x:v>
      </x:c>
      <x:c r="H1626" t="n">
        <x:v>3</x:v>
      </x:c>
      <x:c r="I1626" s="14" t="n">
        <x:v>35</x:v>
      </x:c>
      <x:c r="J1626" s="14" t="n">
        <x:v>105</x:v>
      </x:c>
      <x:c r="K1626" t="str">
        <x:v>DEMO / SIMULATED</x:v>
      </x:c>
    </x:row>
    <x:row r="1627">
      <x:c r="A1627" t="str">
        <x:v>JFD-20231111-0927</x:v>
      </x:c>
      <x:c r="B1627" s="11" t="n">
        <x:v>45241.59444444445</x:v>
      </x:c>
      <x:c r="C1627" s="13" t="n">
        <x:v>0.5944444444444444</x:v>
      </x:c>
      <x:c r="D1627" t="str">
        <x:v>Birtamode</x:v>
      </x:c>
      <x:c r="E1627" t="str">
        <x:v>The Underground Cafe &amp; Restaurant</x:v>
      </x:c>
      <x:c r="F1627" t="str">
        <x:v>Aalu Jeera</x:v>
      </x:c>
      <x:c r="G1627" t="str">
        <x:v>Food</x:v>
      </x:c>
      <x:c r="H1627" t="n">
        <x:v>2</x:v>
      </x:c>
      <x:c r="I1627" s="14" t="n">
        <x:v>125</x:v>
      </x:c>
      <x:c r="J1627" s="14" t="n">
        <x:v>250</x:v>
      </x:c>
      <x:c r="K1627" t="str">
        <x:v>DEMO / SIMULATED</x:v>
      </x:c>
    </x:row>
    <x:row r="1628">
      <x:c r="A1628" t="str">
        <x:v>JFD-20260923-0928</x:v>
      </x:c>
      <x:c r="B1628" s="11" t="n">
        <x:v>46288.47708333333</x:v>
      </x:c>
      <x:c r="C1628" s="13" t="n">
        <x:v>0.47708333333333336</x:v>
      </x:c>
      <x:c r="D1628" t="str">
        <x:v>Birtamode</x:v>
      </x:c>
      <x:c r="E1628" t="str">
        <x:v>Pizza Ghar</x:v>
      </x:c>
      <x:c r="F1628" t="str">
        <x:v>Chicken BBQ Feast Pizza</x:v>
      </x:c>
      <x:c r="G1628" t="str">
        <x:v>Food</x:v>
      </x:c>
      <x:c r="H1628" t="n">
        <x:v>2</x:v>
      </x:c>
      <x:c r="I1628" s="14" t="n">
        <x:v>580</x:v>
      </x:c>
      <x:c r="J1628" s="14" t="n">
        <x:v>1160</x:v>
      </x:c>
      <x:c r="K1628" t="str">
        <x:v>DEMO / SIMULATED</x:v>
      </x:c>
    </x:row>
    <x:row r="1629">
      <x:c r="A1629" t="str">
        <x:v>JFD-20260923-0928</x:v>
      </x:c>
      <x:c r="B1629" s="11" t="n">
        <x:v>46288.44861111111</x:v>
      </x:c>
      <x:c r="C1629" s="13" t="n">
        <x:v>0.4486111111111111</x:v>
      </x:c>
      <x:c r="D1629" t="str">
        <x:v>Birtamode</x:v>
      </x:c>
      <x:c r="E1629" t="str">
        <x:v>Pizza Ghar</x:v>
      </x:c>
      <x:c r="F1629" t="str">
        <x:v>Coca-Cola 500ml</x:v>
      </x:c>
      <x:c r="G1629" t="str">
        <x:v>Drink</x:v>
      </x:c>
      <x:c r="H1629" t="n">
        <x:v>2</x:v>
      </x:c>
      <x:c r="I1629" s="14" t="n">
        <x:v>100</x:v>
      </x:c>
      <x:c r="J1629" s="14" t="n">
        <x:v>200</x:v>
      </x:c>
      <x:c r="K1629" t="str">
        <x:v>DEMO / SIMULATED</x:v>
      </x:c>
    </x:row>
    <x:row r="1630">
      <x:c r="A1630" t="str">
        <x:v>JFD-20250123-0929</x:v>
      </x:c>
      <x:c r="B1630" s="11" t="n">
        <x:v>45680.81597222222</x:v>
      </x:c>
      <x:c r="C1630" s="13" t="n">
        <x:v>0.8159722222222222</x:v>
      </x:c>
      <x:c r="D1630" t="str">
        <x:v>Birtamode</x:v>
      </x:c>
      <x:c r="E1630" t="str">
        <x:v>The Underground Cafe &amp; Restaurant</x:v>
      </x:c>
      <x:c r="F1630" t="str">
        <x:v>Coca-Cola 500ml</x:v>
      </x:c>
      <x:c r="G1630" t="str">
        <x:v>Drink</x:v>
      </x:c>
      <x:c r="H1630" t="n">
        <x:v>1</x:v>
      </x:c>
      <x:c r="I1630" s="14" t="n">
        <x:v>95</x:v>
      </x:c>
      <x:c r="J1630" s="14" t="n">
        <x:v>95</x:v>
      </x:c>
      <x:c r="K1630" t="str">
        <x:v>DEMO / SIMULATED</x:v>
      </x:c>
    </x:row>
    <x:row r="1631">
      <x:c r="A1631" t="str">
        <x:v>JFD-20241222-0930</x:v>
      </x:c>
      <x:c r="B1631" s="11" t="n">
        <x:v>45648.42916666667</x:v>
      </x:c>
      <x:c r="C1631" s="13" t="n">
        <x:v>0.42916666666666664</x:v>
      </x:c>
      <x:c r="D1631" t="str">
        <x:v>Birtamode</x:v>
      </x:c>
      <x:c r="E1631" t="str">
        <x:v>The Underground Cafe &amp; Restaurant</x:v>
      </x:c>
      <x:c r="F1631" t="str">
        <x:v>Coca-Cola 500ml</x:v>
      </x:c>
      <x:c r="G1631" t="str">
        <x:v>Drink</x:v>
      </x:c>
      <x:c r="H1631" t="n">
        <x:v>3</x:v>
      </x:c>
      <x:c r="I1631" s="14" t="n">
        <x:v>90</x:v>
      </x:c>
      <x:c r="J1631" s="14" t="n">
        <x:v>270</x:v>
      </x:c>
      <x:c r="K1631" t="str">
        <x:v>DEMO / SIMULATED</x:v>
      </x:c>
    </x:row>
    <x:row r="1632">
      <x:c r="A1632" t="str">
        <x:v>JFD-20241222-0930</x:v>
      </x:c>
      <x:c r="B1632" s="11" t="n">
        <x:v>45648.61944444444</x:v>
      </x:c>
      <x:c r="C1632" s="13" t="n">
        <x:v>0.6194444444444445</x:v>
      </x:c>
      <x:c r="D1632" t="str">
        <x:v>Birtamode</x:v>
      </x:c>
      <x:c r="E1632" t="str">
        <x:v>The Underground Cafe &amp; Restaurant</x:v>
      </x:c>
      <x:c r="F1632" t="str">
        <x:v>Bottled Water 1L</x:v>
      </x:c>
      <x:c r="G1632" t="str">
        <x:v>Drink</x:v>
      </x:c>
      <x:c r="H1632" t="n">
        <x:v>4</x:v>
      </x:c>
      <x:c r="I1632" s="14" t="n">
        <x:v>35</x:v>
      </x:c>
      <x:c r="J1632" s="14" t="n">
        <x:v>140</x:v>
      </x:c>
      <x:c r="K1632" t="str">
        <x:v>DEMO / SIMULATED</x:v>
      </x:c>
    </x:row>
    <x:row r="1633">
      <x:c r="A1633" t="str">
        <x:v>JFD-20231022-0931</x:v>
      </x:c>
      <x:c r="B1633" s="11" t="n">
        <x:v>45221.49444444444</x:v>
      </x:c>
      <x:c r="C1633" s="13" t="n">
        <x:v>0.49444444444444446</x:v>
      </x:c>
      <x:c r="D1633" t="str">
        <x:v>Birtamode</x:v>
      </x:c>
      <x:c r="E1633" t="str">
        <x:v>Pizza Ghar</x:v>
      </x:c>
      <x:c r="F1633" t="str">
        <x:v>Egg Fried Rice</x:v>
      </x:c>
      <x:c r="G1633" t="str">
        <x:v>Food</x:v>
      </x:c>
      <x:c r="H1633" t="n">
        <x:v>3</x:v>
      </x:c>
      <x:c r="I1633" s="14" t="n">
        <x:v>220</x:v>
      </x:c>
      <x:c r="J1633" s="14" t="n">
        <x:v>660</x:v>
      </x:c>
      <x:c r="K1633" t="str">
        <x:v>DEMO / SIMULATED</x:v>
      </x:c>
    </x:row>
    <x:row r="1634">
      <x:c r="A1634" t="str">
        <x:v>JFD-20231022-0931</x:v>
      </x:c>
      <x:c r="B1634" s="11" t="n">
        <x:v>45221.47708333333</x:v>
      </x:c>
      <x:c r="C1634" s="13" t="n">
        <x:v>0.47708333333333336</x:v>
      </x:c>
      <x:c r="D1634" t="str">
        <x:v>Birtamode</x:v>
      </x:c>
      <x:c r="E1634" t="str">
        <x:v>Pizza Ghar</x:v>
      </x:c>
      <x:c r="F1634" t="str">
        <x:v>Chicken BBQ Feast Pizza</x:v>
      </x:c>
      <x:c r="G1634" t="str">
        <x:v>Food</x:v>
      </x:c>
      <x:c r="H1634" t="n">
        <x:v>4</x:v>
      </x:c>
      <x:c r="I1634" s="14" t="n">
        <x:v>475</x:v>
      </x:c>
      <x:c r="J1634" s="14" t="n">
        <x:v>1900</x:v>
      </x:c>
      <x:c r="K1634" t="str">
        <x:v>DEMO / SIMULATED</x:v>
      </x:c>
    </x:row>
    <x:row r="1635">
      <x:c r="A1635" t="str">
        <x:v>JFD-20231022-0931</x:v>
      </x:c>
      <x:c r="B1635" s="11" t="n">
        <x:v>45221.56527777778</x:v>
      </x:c>
      <x:c r="C1635" s="13" t="n">
        <x:v>0.5652777777777778</x:v>
      </x:c>
      <x:c r="D1635" t="str">
        <x:v>Birtamode</x:v>
      </x:c>
      <x:c r="E1635" t="str">
        <x:v>Pizza Ghar</x:v>
      </x:c>
      <x:c r="F1635" t="str">
        <x:v>Coca-Cola 500ml</x:v>
      </x:c>
      <x:c r="G1635" t="str">
        <x:v>Drink</x:v>
      </x:c>
      <x:c r="H1635" t="n">
        <x:v>1</x:v>
      </x:c>
      <x:c r="I1635" s="14" t="n">
        <x:v>80</x:v>
      </x:c>
      <x:c r="J1635" s="14" t="n">
        <x:v>80</x:v>
      </x:c>
      <x:c r="K1635" t="str">
        <x:v>DEMO / SIMULATED</x:v>
      </x:c>
    </x:row>
    <x:row r="1636">
      <x:c r="A1636" t="str">
        <x:v>JFD-20230328-0932</x:v>
      </x:c>
      <x:c r="B1636" s="11" t="n">
        <x:v>45013.62222222222</x:v>
      </x:c>
      <x:c r="C1636" s="13" t="n">
        <x:v>0.6222222222222222</x:v>
      </x:c>
      <x:c r="D1636" t="str">
        <x:v>Birtamode</x:v>
      </x:c>
      <x:c r="E1636" t="str">
        <x:v>The Underground Cafe &amp; Restaurant</x:v>
      </x:c>
      <x:c r="F1636" t="str">
        <x:v>Coca-Cola 500ml</x:v>
      </x:c>
      <x:c r="G1636" t="str">
        <x:v>Drink</x:v>
      </x:c>
      <x:c r="H1636" t="n">
        <x:v>2</x:v>
      </x:c>
      <x:c r="I1636" s="14" t="n">
        <x:v>80</x:v>
      </x:c>
      <x:c r="J1636" s="14" t="n">
        <x:v>160</x:v>
      </x:c>
      <x:c r="K1636" t="str">
        <x:v>DEMO / SIMULATED</x:v>
      </x:c>
    </x:row>
    <x:row r="1637">
      <x:c r="A1637" t="str">
        <x:v>JFD-20230328-0932</x:v>
      </x:c>
      <x:c r="B1637" s="11" t="n">
        <x:v>45013.436111111114</x:v>
      </x:c>
      <x:c r="C1637" s="13" t="n">
        <x:v>0.4361111111111111</x:v>
      </x:c>
      <x:c r="D1637" t="str">
        <x:v>Birtamode</x:v>
      </x:c>
      <x:c r="E1637" t="str">
        <x:v>The Underground Cafe &amp; Restaurant</x:v>
      </x:c>
      <x:c r="F1637" t="str">
        <x:v>Veg Pakauda</x:v>
      </x:c>
      <x:c r="G1637" t="str">
        <x:v>Food</x:v>
      </x:c>
      <x:c r="H1637" t="n">
        <x:v>1</x:v>
      </x:c>
      <x:c r="I1637" s="14" t="n">
        <x:v>145</x:v>
      </x:c>
      <x:c r="J1637" s="14" t="n">
        <x:v>145</x:v>
      </x:c>
      <x:c r="K1637" t="str">
        <x:v>DEMO / SIMULATED</x:v>
      </x:c>
    </x:row>
    <x:row r="1638">
      <x:c r="A1638" t="str">
        <x:v>JFD-20251002-0933</x:v>
      </x:c>
      <x:c r="B1638" s="11" t="n">
        <x:v>45932.83611111111</x:v>
      </x:c>
      <x:c r="C1638" s="13" t="n">
        <x:v>0.8361111111111111</x:v>
      </x:c>
      <x:c r="D1638" t="str">
        <x:v>Birtamode</x:v>
      </x:c>
      <x:c r="E1638" t="str">
        <x:v>Pizza Ghar</x:v>
      </x:c>
      <x:c r="F1638" t="str">
        <x:v>Coca-Cola 500ml</x:v>
      </x:c>
      <x:c r="G1638" t="str">
        <x:v>Drink</x:v>
      </x:c>
      <x:c r="H1638" t="n">
        <x:v>2</x:v>
      </x:c>
      <x:c r="I1638" s="14" t="n">
        <x:v>95</x:v>
      </x:c>
      <x:c r="J1638" s="14" t="n">
        <x:v>190</x:v>
      </x:c>
      <x:c r="K1638" t="str">
        <x:v>DEMO / SIMULATED</x:v>
      </x:c>
    </x:row>
    <x:row r="1639">
      <x:c r="A1639" t="str">
        <x:v>JFD-20260808-0934</x:v>
      </x:c>
      <x:c r="B1639" s="11" t="n">
        <x:v>46242.49444444444</x:v>
      </x:c>
      <x:c r="C1639" s="13" t="n">
        <x:v>0.49444444444444446</x:v>
      </x:c>
      <x:c r="D1639" t="str">
        <x:v>Damak</x:v>
      </x:c>
      <x:c r="E1639" t="str">
        <x:v>Late Night Cravings</x:v>
      </x:c>
      <x:c r="F1639" t="str">
        <x:v>Veg Fry Rice</x:v>
      </x:c>
      <x:c r="G1639" t="str">
        <x:v>Food</x:v>
      </x:c>
      <x:c r="H1639" t="n">
        <x:v>3</x:v>
      </x:c>
      <x:c r="I1639" s="14" t="n">
        <x:v>160</x:v>
      </x:c>
      <x:c r="J1639" s="14" t="n">
        <x:v>480</x:v>
      </x:c>
      <x:c r="K1639" t="str">
        <x:v>DEMO / SIMULATED</x:v>
      </x:c>
    </x:row>
    <x:row r="1640">
      <x:c r="A1640" t="str">
        <x:v>JFD-20230506-0935</x:v>
      </x:c>
      <x:c r="B1640" s="11" t="n">
        <x:v>45052.55972222222</x:v>
      </x:c>
      <x:c r="C1640" s="13" t="n">
        <x:v>0.5597222222222222</x:v>
      </x:c>
      <x:c r="D1640" t="str">
        <x:v>Birtamode</x:v>
      </x:c>
      <x:c r="E1640" t="str">
        <x:v>Pizza Ghar</x:v>
      </x:c>
      <x:c r="F1640" t="str">
        <x:v>Veg Fried Rice</x:v>
      </x:c>
      <x:c r="G1640" t="str">
        <x:v>Food</x:v>
      </x:c>
      <x:c r="H1640" t="n">
        <x:v>2</x:v>
      </x:c>
      <x:c r="I1640" s="14" t="n">
        <x:v>180</x:v>
      </x:c>
      <x:c r="J1640" s="14" t="n">
        <x:v>360</x:v>
      </x:c>
      <x:c r="K1640" t="str">
        <x:v>DEMO / SIMULATED</x:v>
      </x:c>
    </x:row>
    <x:row r="1641">
      <x:c r="A1641" t="str">
        <x:v>JFD-20230506-0935</x:v>
      </x:c>
      <x:c r="B1641" s="11" t="n">
        <x:v>45052.520833333336</x:v>
      </x:c>
      <x:c r="C1641" s="13" t="n">
        <x:v>0.5208333333333334</x:v>
      </x:c>
      <x:c r="D1641" t="str">
        <x:v>Birtamode</x:v>
      </x:c>
      <x:c r="E1641" t="str">
        <x:v>Pizza Ghar</x:v>
      </x:c>
      <x:c r="F1641" t="str">
        <x:v>Chicken BBQ Feast Pizza</x:v>
      </x:c>
      <x:c r="G1641" t="str">
        <x:v>Food</x:v>
      </x:c>
      <x:c r="H1641" t="n">
        <x:v>3</x:v>
      </x:c>
      <x:c r="I1641" s="14" t="n">
        <x:v>475</x:v>
      </x:c>
      <x:c r="J1641" s="14" t="n">
        <x:v>1425</x:v>
      </x:c>
      <x:c r="K1641" t="str">
        <x:v>DEMO / SIMULATED</x:v>
      </x:c>
    </x:row>
    <x:row r="1642">
      <x:c r="A1642" t="str">
        <x:v>JFD-20230506-0935</x:v>
      </x:c>
      <x:c r="B1642" s="11" t="n">
        <x:v>45052.84097222222</x:v>
      </x:c>
      <x:c r="C1642" s="13" t="n">
        <x:v>0.8409722222222222</x:v>
      </x:c>
      <x:c r="D1642" t="str">
        <x:v>Birtamode</x:v>
      </x:c>
      <x:c r="E1642" t="str">
        <x:v>Pizza Ghar</x:v>
      </x:c>
      <x:c r="F1642" t="str">
        <x:v>Egg Fried Rice</x:v>
      </x:c>
      <x:c r="G1642" t="str">
        <x:v>Food</x:v>
      </x:c>
      <x:c r="H1642" t="n">
        <x:v>2</x:v>
      </x:c>
      <x:c r="I1642" s="14" t="n">
        <x:v>220</x:v>
      </x:c>
      <x:c r="J1642" s="14" t="n">
        <x:v>440</x:v>
      </x:c>
      <x:c r="K1642" t="str">
        <x:v>DEMO / SIMULATED</x:v>
      </x:c>
    </x:row>
    <x:row r="1643">
      <x:c r="A1643" t="str">
        <x:v>JFD-20260801-0936</x:v>
      </x:c>
      <x:c r="B1643" s="11" t="n">
        <x:v>46235.50763888889</x:v>
      </x:c>
      <x:c r="C1643" s="13" t="n">
        <x:v>0.5076388888888889</x:v>
      </x:c>
      <x:c r="D1643" t="str">
        <x:v>Damak</x:v>
      </x:c>
      <x:c r="E1643" t="str">
        <x:v>Late Night Cravings</x:v>
      </x:c>
      <x:c r="F1643" t="str">
        <x:v>Veg Fry Rice</x:v>
      </x:c>
      <x:c r="G1643" t="str">
        <x:v>Food</x:v>
      </x:c>
      <x:c r="H1643" t="n">
        <x:v>2</x:v>
      </x:c>
      <x:c r="I1643" s="14" t="n">
        <x:v>160</x:v>
      </x:c>
      <x:c r="J1643" s="14" t="n">
        <x:v>320</x:v>
      </x:c>
      <x:c r="K1643" t="str">
        <x:v>DEMO / SIMULATED</x:v>
      </x:c>
    </x:row>
    <x:row r="1644">
      <x:c r="A1644" t="str">
        <x:v>JFD-20260801-0936</x:v>
      </x:c>
      <x:c r="B1644" s="11" t="n">
        <x:v>46235.55069444444</x:v>
      </x:c>
      <x:c r="C1644" s="13" t="n">
        <x:v>0.5506944444444445</x:v>
      </x:c>
      <x:c r="D1644" t="str">
        <x:v>Damak</x:v>
      </x:c>
      <x:c r="E1644" t="str">
        <x:v>Late Night Cravings</x:v>
      </x:c>
      <x:c r="F1644" t="str">
        <x:v>Coca-Cola 500ml</x:v>
      </x:c>
      <x:c r="G1644" t="str">
        <x:v>Drink</x:v>
      </x:c>
      <x:c r="H1644" t="n">
        <x:v>2</x:v>
      </x:c>
      <x:c r="I1644" s="14" t="n">
        <x:v>100</x:v>
      </x:c>
      <x:c r="J1644" s="14" t="n">
        <x:v>200</x:v>
      </x:c>
      <x:c r="K1644" t="str">
        <x:v>DEMO / SIMULATED</x:v>
      </x:c>
    </x:row>
    <x:row r="1645">
      <x:c r="A1645" t="str">
        <x:v>JFD-20250427-0937</x:v>
      </x:c>
      <x:c r="B1645" s="11" t="n">
        <x:v>45774.611805555556</x:v>
      </x:c>
      <x:c r="C1645" s="13" t="n">
        <x:v>0.6118055555555556</x:v>
      </x:c>
      <x:c r="D1645" t="str">
        <x:v>Damak</x:v>
      </x:c>
      <x:c r="E1645" t="str">
        <x:v>Milan’s Bakery</x:v>
      </x:c>
      <x:c r="F1645" t="str">
        <x:v>Vanilla Cake</x:v>
      </x:c>
      <x:c r="G1645" t="str">
        <x:v>Food</x:v>
      </x:c>
      <x:c r="H1645" t="n">
        <x:v>2</x:v>
      </x:c>
      <x:c r="I1645" s="14" t="n">
        <x:v>280</x:v>
      </x:c>
      <x:c r="J1645" s="14" t="n">
        <x:v>560</x:v>
      </x:c>
      <x:c r="K1645" t="str">
        <x:v>DEMO / SIMULATED</x:v>
      </x:c>
    </x:row>
    <x:row r="1646">
      <x:c r="A1646" t="str">
        <x:v>JFD-20250427-0937</x:v>
      </x:c>
      <x:c r="B1646" s="11" t="n">
        <x:v>45774.59027777778</x:v>
      </x:c>
      <x:c r="C1646" s="13" t="n">
        <x:v>0.5902777777777778</x:v>
      </x:c>
      <x:c r="D1646" t="str">
        <x:v>Damak</x:v>
      </x:c>
      <x:c r="E1646" t="str">
        <x:v>Milan’s Bakery</x:v>
      </x:c>
      <x:c r="F1646" t="str">
        <x:v>Black Forest Cake</x:v>
      </x:c>
      <x:c r="G1646" t="str">
        <x:v>Food</x:v>
      </x:c>
      <x:c r="H1646" t="n">
        <x:v>1</x:v>
      </x:c>
      <x:c r="I1646" s="14" t="n">
        <x:v>280</x:v>
      </x:c>
      <x:c r="J1646" s="14" t="n">
        <x:v>280</x:v>
      </x:c>
      <x:c r="K1646" t="str">
        <x:v>DEMO / SIMULATED</x:v>
      </x:c>
    </x:row>
    <x:row r="1647">
      <x:c r="A1647" t="str">
        <x:v>JFD-20251230-0938</x:v>
      </x:c>
      <x:c r="B1647" s="11" t="n">
        <x:v>46021.86736111111</x:v>
      </x:c>
      <x:c r="C1647" s="13" t="n">
        <x:v>0.8673611111111111</x:v>
      </x:c>
      <x:c r="D1647" t="str">
        <x:v>Damak</x:v>
      </x:c>
      <x:c r="E1647" t="str">
        <x:v>Late Night Cravings</x:v>
      </x:c>
      <x:c r="F1647" t="str">
        <x:v>Egg Fry Rice</x:v>
      </x:c>
      <x:c r="G1647" t="str">
        <x:v>Food</x:v>
      </x:c>
      <x:c r="H1647" t="n">
        <x:v>2</x:v>
      </x:c>
      <x:c r="I1647" s="14" t="n">
        <x:v>190</x:v>
      </x:c>
      <x:c r="J1647" s="14" t="n">
        <x:v>380</x:v>
      </x:c>
      <x:c r="K1647" t="str">
        <x:v>DEMO / SIMULATED</x:v>
      </x:c>
    </x:row>
    <x:row r="1648">
      <x:c r="A1648" t="str">
        <x:v>JFD-20251230-0938</x:v>
      </x:c>
      <x:c r="B1648" s="11" t="n">
        <x:v>46021.80138888889</x:v>
      </x:c>
      <x:c r="C1648" s="13" t="n">
        <x:v>0.8013888888888889</x:v>
      </x:c>
      <x:c r="D1648" t="str">
        <x:v>Damak</x:v>
      </x:c>
      <x:c r="E1648" t="str">
        <x:v>Late Night Cravings</x:v>
      </x:c>
      <x:c r="F1648" t="str">
        <x:v>Veg Fry Rice</x:v>
      </x:c>
      <x:c r="G1648" t="str">
        <x:v>Food</x:v>
      </x:c>
      <x:c r="H1648" t="n">
        <x:v>2</x:v>
      </x:c>
      <x:c r="I1648" s="14" t="n">
        <x:v>150</x:v>
      </x:c>
      <x:c r="J1648" s="14" t="n">
        <x:v>300</x:v>
      </x:c>
      <x:c r="K1648" t="str">
        <x:v>DEMO / SIMULATED</x:v>
      </x:c>
    </x:row>
    <x:row r="1649">
      <x:c r="A1649" t="str">
        <x:v>JFD-20231129-0939</x:v>
      </x:c>
      <x:c r="B1649" s="11" t="n">
        <x:v>45259.864583333336</x:v>
      </x:c>
      <x:c r="C1649" s="13" t="n">
        <x:v>0.8645833333333334</x:v>
      </x:c>
      <x:c r="D1649" t="str">
        <x:v>Birtamode</x:v>
      </x:c>
      <x:c r="E1649" t="str">
        <x:v>Pizza Ghar</x:v>
      </x:c>
      <x:c r="F1649" t="str">
        <x:v>Egg Fried Rice</x:v>
      </x:c>
      <x:c r="G1649" t="str">
        <x:v>Food</x:v>
      </x:c>
      <x:c r="H1649" t="n">
        <x:v>1</x:v>
      </x:c>
      <x:c r="I1649" s="14" t="n">
        <x:v>220</x:v>
      </x:c>
      <x:c r="J1649" s="14" t="n">
        <x:v>220</x:v>
      </x:c>
      <x:c r="K1649" t="str">
        <x:v>DEMO / SIMULATED</x:v>
      </x:c>
    </x:row>
    <x:row r="1650">
      <x:c r="A1650" t="str">
        <x:v>JFD-20231119-0940</x:v>
      </x:c>
      <x:c r="B1650" s="11" t="n">
        <x:v>45249.700694444444</x:v>
      </x:c>
      <x:c r="C1650" s="13" t="n">
        <x:v>0.7006944444444444</x:v>
      </x:c>
      <x:c r="D1650" t="str">
        <x:v>Birtamode</x:v>
      </x:c>
      <x:c r="E1650" t="str">
        <x:v>Pizza Ghar</x:v>
      </x:c>
      <x:c r="F1650" t="str">
        <x:v>Bottled Water 1L</x:v>
      </x:c>
      <x:c r="G1650" t="str">
        <x:v>Drink</x:v>
      </x:c>
      <x:c r="H1650" t="n">
        <x:v>3</x:v>
      </x:c>
      <x:c r="I1650" s="14" t="n">
        <x:v>35</x:v>
      </x:c>
      <x:c r="J1650" s="14" t="n">
        <x:v>105</x:v>
      </x:c>
      <x:c r="K1650" t="str">
        <x:v>DEMO / SIMULATED</x:v>
      </x:c>
    </x:row>
    <x:row r="1651">
      <x:c r="A1651" t="str">
        <x:v>JFD-20231119-0940</x:v>
      </x:c>
      <x:c r="B1651" s="11" t="n">
        <x:v>45249.62430555555</x:v>
      </x:c>
      <x:c r="C1651" s="13" t="n">
        <x:v>0.6243055555555556</x:v>
      </x:c>
      <x:c r="D1651" t="str">
        <x:v>Birtamode</x:v>
      </x:c>
      <x:c r="E1651" t="str">
        <x:v>Pizza Ghar</x:v>
      </x:c>
      <x:c r="F1651" t="str">
        <x:v>Chicken Fried Rice</x:v>
      </x:c>
      <x:c r="G1651" t="str">
        <x:v>Food</x:v>
      </x:c>
      <x:c r="H1651" t="n">
        <x:v>1</x:v>
      </x:c>
      <x:c r="I1651" s="14" t="n">
        <x:v>245</x:v>
      </x:c>
      <x:c r="J1651" s="14" t="n">
        <x:v>245</x:v>
      </x:c>
      <x:c r="K1651" t="str">
        <x:v>DEMO / SIMULATED</x:v>
      </x:c>
    </x:row>
    <x:row r="1652">
      <x:c r="A1652" t="str">
        <x:v>JFD-20231119-0940</x:v>
      </x:c>
      <x:c r="B1652" s="11" t="n">
        <x:v>45249.55694444444</x:v>
      </x:c>
      <x:c r="C1652" s="13" t="n">
        <x:v>0.5569444444444445</x:v>
      </x:c>
      <x:c r="D1652" t="str">
        <x:v>Birtamode</x:v>
      </x:c>
      <x:c r="E1652" t="str">
        <x:v>Pizza Ghar</x:v>
      </x:c>
      <x:c r="F1652" t="str">
        <x:v>Egg Fried Rice</x:v>
      </x:c>
      <x:c r="G1652" t="str">
        <x:v>Food</x:v>
      </x:c>
      <x:c r="H1652" t="n">
        <x:v>3</x:v>
      </x:c>
      <x:c r="I1652" s="14" t="n">
        <x:v>220</x:v>
      </x:c>
      <x:c r="J1652" s="14" t="n">
        <x:v>660</x:v>
      </x:c>
      <x:c r="K1652" t="str">
        <x:v>DEMO / SIMULATED</x:v>
      </x:c>
    </x:row>
    <x:row r="1653">
      <x:c r="A1653" t="str">
        <x:v>JFD-20251225-0941</x:v>
      </x:c>
      <x:c r="B1653" s="11" t="n">
        <x:v>46016.85208333333</x:v>
      </x:c>
      <x:c r="C1653" s="13" t="n">
        <x:v>0.8520833333333333</x:v>
      </x:c>
      <x:c r="D1653" t="str">
        <x:v>Damak</x:v>
      </x:c>
      <x:c r="E1653" t="str">
        <x:v>Late Night Cravings</x:v>
      </x:c>
      <x:c r="F1653" t="str">
        <x:v>Veg Fry Rice</x:v>
      </x:c>
      <x:c r="G1653" t="str">
        <x:v>Food</x:v>
      </x:c>
      <x:c r="H1653" t="n">
        <x:v>2</x:v>
      </x:c>
      <x:c r="I1653" s="14" t="n">
        <x:v>150</x:v>
      </x:c>
      <x:c r="J1653" s="14" t="n">
        <x:v>300</x:v>
      </x:c>
      <x:c r="K1653" t="str">
        <x:v>DEMO / SIMULATED</x:v>
      </x:c>
    </x:row>
    <x:row r="1654">
      <x:c r="A1654" t="str">
        <x:v>JFD-20251225-0941</x:v>
      </x:c>
      <x:c r="B1654" s="11" t="n">
        <x:v>46016.85</x:v>
      </x:c>
      <x:c r="C1654" s="13" t="n">
        <x:v>0.85</x:v>
      </x:c>
      <x:c r="D1654" t="str">
        <x:v>Damak</x:v>
      </x:c>
      <x:c r="E1654" t="str">
        <x:v>Late Night Cravings</x:v>
      </x:c>
      <x:c r="F1654" t="str">
        <x:v>Coca-Cola 500ml</x:v>
      </x:c>
      <x:c r="G1654" t="str">
        <x:v>Drink</x:v>
      </x:c>
      <x:c r="H1654" t="n">
        <x:v>2</x:v>
      </x:c>
      <x:c r="I1654" s="14" t="n">
        <x:v>95</x:v>
      </x:c>
      <x:c r="J1654" s="14" t="n">
        <x:v>190</x:v>
      </x:c>
      <x:c r="K1654" t="str">
        <x:v>DEMO / SIMULATED</x:v>
      </x:c>
    </x:row>
    <x:row r="1655">
      <x:c r="A1655" t="str">
        <x:v>JFD-20251225-0941</x:v>
      </x:c>
      <x:c r="B1655" s="11" t="n">
        <x:v>46016.82083333333</x:v>
      </x:c>
      <x:c r="C1655" s="13" t="n">
        <x:v>0.8208333333333333</x:v>
      </x:c>
      <x:c r="D1655" t="str">
        <x:v>Damak</x:v>
      </x:c>
      <x:c r="E1655" t="str">
        <x:v>Late Night Cravings</x:v>
      </x:c>
      <x:c r="F1655" t="str">
        <x:v>Mix Fry Rice</x:v>
      </x:c>
      <x:c r="G1655" t="str">
        <x:v>Food</x:v>
      </x:c>
      <x:c r="H1655" t="n">
        <x:v>2</x:v>
      </x:c>
      <x:c r="I1655" s="14" t="n">
        <x:v>265</x:v>
      </x:c>
      <x:c r="J1655" s="14" t="n">
        <x:v>530</x:v>
      </x:c>
      <x:c r="K1655" t="str">
        <x:v>DEMO / SIMULATED</x:v>
      </x:c>
    </x:row>
    <x:row r="1656">
      <x:c r="A1656" t="str">
        <x:v>JFD-20260816-0942</x:v>
      </x:c>
      <x:c r="B1656" s="11" t="n">
        <x:v>46250.51944444444</x:v>
      </x:c>
      <x:c r="C1656" s="13" t="n">
        <x:v>0.5194444444444445</x:v>
      </x:c>
      <x:c r="D1656" t="str">
        <x:v>Birtamode</x:v>
      </x:c>
      <x:c r="E1656" t="str">
        <x:v>The Underground Cafe &amp; Restaurant</x:v>
      </x:c>
      <x:c r="F1656" t="str">
        <x:v>Paneer Pakauda</x:v>
      </x:c>
      <x:c r="G1656" t="str">
        <x:v>Food</x:v>
      </x:c>
      <x:c r="H1656" t="n">
        <x:v>3</x:v>
      </x:c>
      <x:c r="I1656" s="14" t="n">
        <x:v>225</x:v>
      </x:c>
      <x:c r="J1656" s="14" t="n">
        <x:v>675</x:v>
      </x:c>
      <x:c r="K1656" t="str">
        <x:v>DEMO / SIMULATED</x:v>
      </x:c>
    </x:row>
    <x:row r="1657">
      <x:c r="A1657" t="str">
        <x:v>JFD-20260816-0942</x:v>
      </x:c>
      <x:c r="B1657" s="11" t="n">
        <x:v>46250.49236111111</x:v>
      </x:c>
      <x:c r="C1657" s="13" t="n">
        <x:v>0.49236111111111114</x:v>
      </x:c>
      <x:c r="D1657" t="str">
        <x:v>Birtamode</x:v>
      </x:c>
      <x:c r="E1657" t="str">
        <x:v>The Underground Cafe &amp; Restaurant</x:v>
      </x:c>
      <x:c r="F1657" t="str">
        <x:v>Aalu Jeera</x:v>
      </x:c>
      <x:c r="G1657" t="str">
        <x:v>Food</x:v>
      </x:c>
      <x:c r="H1657" t="n">
        <x:v>3</x:v>
      </x:c>
      <x:c r="I1657" s="14" t="n">
        <x:v>155</x:v>
      </x:c>
      <x:c r="J1657" s="14" t="n">
        <x:v>465</x:v>
      </x:c>
      <x:c r="K1657" t="str">
        <x:v>DEMO / SIMULATED</x:v>
      </x:c>
    </x:row>
    <x:row r="1658">
      <x:c r="A1658" t="str">
        <x:v>JFD-20251020-0943</x:v>
      </x:c>
      <x:c r="B1658" s="11" t="n">
        <x:v>45950.513194444444</x:v>
      </x:c>
      <x:c r="C1658" s="13" t="n">
        <x:v>0.5131944444444444</x:v>
      </x:c>
      <x:c r="D1658" t="str">
        <x:v>Birtamode</x:v>
      </x:c>
      <x:c r="E1658" t="str">
        <x:v>Pizza Ghar</x:v>
      </x:c>
      <x:c r="F1658" t="str">
        <x:v>Chicken Fried Rice</x:v>
      </x:c>
      <x:c r="G1658" t="str">
        <x:v>Food</x:v>
      </x:c>
      <x:c r="H1658" t="n">
        <x:v>4</x:v>
      </x:c>
      <x:c r="I1658" s="14" t="n">
        <x:v>280</x:v>
      </x:c>
      <x:c r="J1658" s="14" t="n">
        <x:v>1120</x:v>
      </x:c>
      <x:c r="K1658" t="str">
        <x:v>DEMO / SIMULATED</x:v>
      </x:c>
    </x:row>
    <x:row r="1659">
      <x:c r="A1659" t="str">
        <x:v>JFD-20251020-0943</x:v>
      </x:c>
      <x:c r="B1659" s="11" t="n">
        <x:v>45950.43541666667</x:v>
      </x:c>
      <x:c r="C1659" s="13" t="n">
        <x:v>0.4354166666666667</x:v>
      </x:c>
      <x:c r="D1659" t="str">
        <x:v>Birtamode</x:v>
      </x:c>
      <x:c r="E1659" t="str">
        <x:v>Pizza Ghar</x:v>
      </x:c>
      <x:c r="F1659" t="str">
        <x:v>Veg Fried Rice</x:v>
      </x:c>
      <x:c r="G1659" t="str">
        <x:v>Food</x:v>
      </x:c>
      <x:c r="H1659" t="n">
        <x:v>1</x:v>
      </x:c>
      <x:c r="I1659" s="14" t="n">
        <x:v>205</x:v>
      </x:c>
      <x:c r="J1659" s="14" t="n">
        <x:v>205</x:v>
      </x:c>
      <x:c r="K1659" t="str">
        <x:v>DEMO / SIMULATED</x:v>
      </x:c>
    </x:row>
    <x:row r="1660">
      <x:c r="A1660" t="str">
        <x:v>JFD-20230322-0944</x:v>
      </x:c>
      <x:c r="B1660" s="11" t="n">
        <x:v>45007.53888888889</x:v>
      </x:c>
      <x:c r="C1660" s="13" t="n">
        <x:v>0.5388888888888889</x:v>
      </x:c>
      <x:c r="D1660" t="str">
        <x:v>Damak</x:v>
      </x:c>
      <x:c r="E1660" t="str">
        <x:v>Late Night Cravings</x:v>
      </x:c>
      <x:c r="F1660" t="str">
        <x:v>Chicken Fry Rice</x:v>
      </x:c>
      <x:c r="G1660" t="str">
        <x:v>Food</x:v>
      </x:c>
      <x:c r="H1660" t="n">
        <x:v>3</x:v>
      </x:c>
      <x:c r="I1660" s="14" t="n">
        <x:v>180</x:v>
      </x:c>
      <x:c r="J1660" s="14" t="n">
        <x:v>540</x:v>
      </x:c>
      <x:c r="K1660" t="str">
        <x:v>DEMO / SIMULATED</x:v>
      </x:c>
    </x:row>
    <x:row r="1661">
      <x:c r="A1661" t="str">
        <x:v>JFD-20260227-0945</x:v>
      </x:c>
      <x:c r="B1661" s="11" t="n">
        <x:v>46080.60902777778</x:v>
      </x:c>
      <x:c r="C1661" s="13" t="n">
        <x:v>0.6090277777777777</x:v>
      </x:c>
      <x:c r="D1661" t="str">
        <x:v>Damak</x:v>
      </x:c>
      <x:c r="E1661" t="str">
        <x:v>Late Night Cravings</x:v>
      </x:c>
      <x:c r="F1661" t="str">
        <x:v>Egg Fry Rice</x:v>
      </x:c>
      <x:c r="G1661" t="str">
        <x:v>Food</x:v>
      </x:c>
      <x:c r="H1661" t="n">
        <x:v>1</x:v>
      </x:c>
      <x:c r="I1661" s="14" t="n">
        <x:v>200</x:v>
      </x:c>
      <x:c r="J1661" s="14" t="n">
        <x:v>200</x:v>
      </x:c>
      <x:c r="K1661" t="str">
        <x:v>DEMO / SIMULATED</x:v>
      </x:c>
    </x:row>
    <x:row r="1662">
      <x:c r="A1662" t="str">
        <x:v>JFD-20250924-0946</x:v>
      </x:c>
      <x:c r="B1662" s="11" t="n">
        <x:v>45924.86666666667</x:v>
      </x:c>
      <x:c r="C1662" s="13" t="n">
        <x:v>0.8666666666666667</x:v>
      </x:c>
      <x:c r="D1662" t="str">
        <x:v>Damak</x:v>
      </x:c>
      <x:c r="E1662" t="str">
        <x:v>Late Night Cravings</x:v>
      </x:c>
      <x:c r="F1662" t="str">
        <x:v>Chicken Fry Rice</x:v>
      </x:c>
      <x:c r="G1662" t="str">
        <x:v>Food</x:v>
      </x:c>
      <x:c r="H1662" t="n">
        <x:v>3</x:v>
      </x:c>
      <x:c r="I1662" s="14" t="n">
        <x:v>205</x:v>
      </x:c>
      <x:c r="J1662" s="14" t="n">
        <x:v>615</x:v>
      </x:c>
      <x:c r="K1662" t="str">
        <x:v>DEMO / SIMULATED</x:v>
      </x:c>
    </x:row>
    <x:row r="1663">
      <x:c r="A1663" t="str">
        <x:v>JFD-20240104-0947</x:v>
      </x:c>
      <x:c r="B1663" s="11" t="n">
        <x:v>45295.75277777778</x:v>
      </x:c>
      <x:c r="C1663" s="13" t="n">
        <x:v>0.7527777777777778</x:v>
      </x:c>
      <x:c r="D1663" t="str">
        <x:v>Damak</x:v>
      </x:c>
      <x:c r="E1663" t="str">
        <x:v>Milan’s Bakery</x:v>
      </x:c>
      <x:c r="F1663" t="str">
        <x:v>Bottled Water 1L</x:v>
      </x:c>
      <x:c r="G1663" t="str">
        <x:v>Drink</x:v>
      </x:c>
      <x:c r="H1663" t="n">
        <x:v>1</x:v>
      </x:c>
      <x:c r="I1663" s="14" t="n">
        <x:v>35</x:v>
      </x:c>
      <x:c r="J1663" s="14" t="n">
        <x:v>35</x:v>
      </x:c>
      <x:c r="K1663" t="str">
        <x:v>DEMO / SIMULATED</x:v>
      </x:c>
    </x:row>
    <x:row r="1664">
      <x:c r="A1664" t="str">
        <x:v>JFD-20240104-0947</x:v>
      </x:c>
      <x:c r="B1664" s="11" t="n">
        <x:v>45295.79722222222</x:v>
      </x:c>
      <x:c r="C1664" s="13" t="n">
        <x:v>0.7972222222222223</x:v>
      </x:c>
      <x:c r="D1664" t="str">
        <x:v>Damak</x:v>
      </x:c>
      <x:c r="E1664" t="str">
        <x:v>Milan’s Bakery</x:v>
      </x:c>
      <x:c r="F1664" t="str">
        <x:v>Chocolate Cake</x:v>
      </x:c>
      <x:c r="G1664" t="str">
        <x:v>Food</x:v>
      </x:c>
      <x:c r="H1664" t="n">
        <x:v>1</x:v>
      </x:c>
      <x:c r="I1664" s="14" t="n">
        <x:v>310</x:v>
      </x:c>
      <x:c r="J1664" s="14" t="n">
        <x:v>310</x:v>
      </x:c>
      <x:c r="K1664" t="str">
        <x:v>DEMO / SIMULATED</x:v>
      </x:c>
    </x:row>
    <x:row r="1665">
      <x:c r="A1665" t="str">
        <x:v>JFD-20231128-0948</x:v>
      </x:c>
      <x:c r="B1665" s="11" t="n">
        <x:v>45258.57847222222</x:v>
      </x:c>
      <x:c r="C1665" s="13" t="n">
        <x:v>0.5784722222222223</x:v>
      </x:c>
      <x:c r="D1665" t="str">
        <x:v>Birtamode</x:v>
      </x:c>
      <x:c r="E1665" t="str">
        <x:v>Pizza Ghar</x:v>
      </x:c>
      <x:c r="F1665" t="str">
        <x:v>Coca-Cola 500ml</x:v>
      </x:c>
      <x:c r="G1665" t="str">
        <x:v>Drink</x:v>
      </x:c>
      <x:c r="H1665" t="n">
        <x:v>3</x:v>
      </x:c>
      <x:c r="I1665" s="14" t="n">
        <x:v>80</x:v>
      </x:c>
      <x:c r="J1665" s="14" t="n">
        <x:v>240</x:v>
      </x:c>
      <x:c r="K1665" t="str">
        <x:v>DEMO / SIMULATED</x:v>
      </x:c>
    </x:row>
    <x:row r="1666">
      <x:c r="A1666" t="str">
        <x:v>JFD-20230708-0949</x:v>
      </x:c>
      <x:c r="B1666" s="11" t="n">
        <x:v>45115.59166666667</x:v>
      </x:c>
      <x:c r="C1666" s="13" t="n">
        <x:v>0.5916666666666667</x:v>
      </x:c>
      <x:c r="D1666" t="str">
        <x:v>Damak</x:v>
      </x:c>
      <x:c r="E1666" t="str">
        <x:v>Late Night Cravings</x:v>
      </x:c>
      <x:c r="F1666" t="str">
        <x:v>Coca-Cola 500ml</x:v>
      </x:c>
      <x:c r="G1666" t="str">
        <x:v>Drink</x:v>
      </x:c>
      <x:c r="H1666" t="n">
        <x:v>4</x:v>
      </x:c>
      <x:c r="I1666" s="14" t="n">
        <x:v>80</x:v>
      </x:c>
      <x:c r="J1666" s="14" t="n">
        <x:v>320</x:v>
      </x:c>
      <x:c r="K1666" t="str">
        <x:v>DEMO / SIMULATED</x:v>
      </x:c>
    </x:row>
    <x:row r="1667">
      <x:c r="A1667" t="str">
        <x:v>JFD-20230708-0949</x:v>
      </x:c>
      <x:c r="B1667" s="11" t="n">
        <x:v>45115.58888888889</x:v>
      </x:c>
      <x:c r="C1667" s="13" t="n">
        <x:v>0.5888888888888889</x:v>
      </x:c>
      <x:c r="D1667" t="str">
        <x:v>Damak</x:v>
      </x:c>
      <x:c r="E1667" t="str">
        <x:v>Late Night Cravings</x:v>
      </x:c>
      <x:c r="F1667" t="str">
        <x:v>Chicken Fry Rice</x:v>
      </x:c>
      <x:c r="G1667" t="str">
        <x:v>Food</x:v>
      </x:c>
      <x:c r="H1667" t="n">
        <x:v>4</x:v>
      </x:c>
      <x:c r="I1667" s="14" t="n">
        <x:v>180</x:v>
      </x:c>
      <x:c r="J1667" s="14" t="n">
        <x:v>720</x:v>
      </x:c>
      <x:c r="K1667" t="str">
        <x:v>DEMO / SIMULATED</x:v>
      </x:c>
    </x:row>
    <x:row r="1668">
      <x:c r="A1668" t="str">
        <x:v>JFD-20240828-0950</x:v>
      </x:c>
      <x:c r="B1668" s="11" t="n">
        <x:v>45532.853472222225</x:v>
      </x:c>
      <x:c r="C1668" s="13" t="n">
        <x:v>0.8534722222222222</x:v>
      </x:c>
      <x:c r="D1668" t="str">
        <x:v>Birtamode</x:v>
      </x:c>
      <x:c r="E1668" t="str">
        <x:v>The Underground Cafe &amp; Restaurant</x:v>
      </x:c>
      <x:c r="F1668" t="str">
        <x:v>Bottled Water 1L</x:v>
      </x:c>
      <x:c r="G1668" t="str">
        <x:v>Drink</x:v>
      </x:c>
      <x:c r="H1668" t="n">
        <x:v>2</x:v>
      </x:c>
      <x:c r="I1668" s="14" t="n">
        <x:v>35</x:v>
      </x:c>
      <x:c r="J1668" s="14" t="n">
        <x:v>70</x:v>
      </x:c>
      <x:c r="K1668" t="str">
        <x:v>DEMO / SIMULATED</x:v>
      </x:c>
    </x:row>
    <x:row r="1669">
      <x:c r="A1669" t="str">
        <x:v>JFD-20240828-0950</x:v>
      </x:c>
      <x:c r="B1669" s="11" t="n">
        <x:v>45532.677777777775</x:v>
      </x:c>
      <x:c r="C1669" s="13" t="n">
        <x:v>0.6777777777777778</x:v>
      </x:c>
      <x:c r="D1669" t="str">
        <x:v>Birtamode</x:v>
      </x:c>
      <x:c r="E1669" t="str">
        <x:v>The Underground Cafe &amp; Restaurant</x:v>
      </x:c>
      <x:c r="F1669" t="str">
        <x:v>Paneer Pakauda</x:v>
      </x:c>
      <x:c r="G1669" t="str">
        <x:v>Food</x:v>
      </x:c>
      <x:c r="H1669" t="n">
        <x:v>1</x:v>
      </x:c>
      <x:c r="I1669" s="14" t="n">
        <x:v>200</x:v>
      </x:c>
      <x:c r="J1669" s="14" t="n">
        <x:v>200</x:v>
      </x:c>
      <x:c r="K1669" t="str">
        <x:v>DEMO / SIMULATED</x:v>
      </x:c>
    </x:row>
    <x:row r="1670">
      <x:c r="A1670" t="str">
        <x:v>JFD-20240828-0950</x:v>
      </x:c>
      <x:c r="B1670" s="11" t="n">
        <x:v>45532.47708333333</x:v>
      </x:c>
      <x:c r="C1670" s="13" t="n">
        <x:v>0.47708333333333336</x:v>
      </x:c>
      <x:c r="D1670" t="str">
        <x:v>Birtamode</x:v>
      </x:c>
      <x:c r="E1670" t="str">
        <x:v>The Underground Cafe &amp; Restaurant</x:v>
      </x:c>
      <x:c r="F1670" t="str">
        <x:v>Veg Pakauda</x:v>
      </x:c>
      <x:c r="G1670" t="str">
        <x:v>Food</x:v>
      </x:c>
      <x:c r="H1670" t="n">
        <x:v>3</x:v>
      </x:c>
      <x:c r="I1670" s="14" t="n">
        <x:v>155</x:v>
      </x:c>
      <x:c r="J1670" s="14" t="n">
        <x:v>465</x:v>
      </x:c>
      <x:c r="K1670" t="str">
        <x:v>DEMO / SIMULATED</x:v>
      </x:c>
    </x:row>
    <x:row r="1671">
      <x:c r="A1671" t="str">
        <x:v>JFD-20260318-0951</x:v>
      </x:c>
      <x:c r="B1671" s="11" t="n">
        <x:v>46099.78680555556</x:v>
      </x:c>
      <x:c r="C1671" s="13" t="n">
        <x:v>0.7868055555555555</x:v>
      </x:c>
      <x:c r="D1671" t="str">
        <x:v>Birtamode</x:v>
      </x:c>
      <x:c r="E1671" t="str">
        <x:v>The Underground Cafe &amp; Restaurant</x:v>
      </x:c>
      <x:c r="F1671" t="str">
        <x:v>Aalu Jeera</x:v>
      </x:c>
      <x:c r="G1671" t="str">
        <x:v>Food</x:v>
      </x:c>
      <x:c r="H1671" t="n">
        <x:v>3</x:v>
      </x:c>
      <x:c r="I1671" s="14" t="n">
        <x:v>155</x:v>
      </x:c>
      <x:c r="J1671" s="14" t="n">
        <x:v>465</x:v>
      </x:c>
      <x:c r="K1671" t="str">
        <x:v>DEMO / SIMULATED</x:v>
      </x:c>
    </x:row>
    <x:row r="1672">
      <x:c r="A1672" t="str">
        <x:v>JFD-20260318-0951</x:v>
      </x:c>
      <x:c r="B1672" s="11" t="n">
        <x:v>46099.697222222225</x:v>
      </x:c>
      <x:c r="C1672" s="13" t="n">
        <x:v>0.6972222222222222</x:v>
      </x:c>
      <x:c r="D1672" t="str">
        <x:v>Birtamode</x:v>
      </x:c>
      <x:c r="E1672" t="str">
        <x:v>The Underground Cafe &amp; Restaurant</x:v>
      </x:c>
      <x:c r="F1672" t="str">
        <x:v>Veg Pakauda</x:v>
      </x:c>
      <x:c r="G1672" t="str">
        <x:v>Food</x:v>
      </x:c>
      <x:c r="H1672" t="n">
        <x:v>3</x:v>
      </x:c>
      <x:c r="I1672" s="14" t="n">
        <x:v>175</x:v>
      </x:c>
      <x:c r="J1672" s="14" t="n">
        <x:v>525</x:v>
      </x:c>
      <x:c r="K1672" t="str">
        <x:v>DEMO / SIMULATED</x:v>
      </x:c>
    </x:row>
    <x:row r="1673">
      <x:c r="A1673" t="str">
        <x:v>JFD-20260318-0951</x:v>
      </x:c>
      <x:c r="B1673" s="11" t="n">
        <x:v>46099.80972222222</x:v>
      </x:c>
      <x:c r="C1673" s="13" t="n">
        <x:v>0.8097222222222222</x:v>
      </x:c>
      <x:c r="D1673" t="str">
        <x:v>Birtamode</x:v>
      </x:c>
      <x:c r="E1673" t="str">
        <x:v>The Underground Cafe &amp; Restaurant</x:v>
      </x:c>
      <x:c r="F1673" t="str">
        <x:v>Coca-Cola 500ml</x:v>
      </x:c>
      <x:c r="G1673" t="str">
        <x:v>Drink</x:v>
      </x:c>
      <x:c r="H1673" t="n">
        <x:v>3</x:v>
      </x:c>
      <x:c r="I1673" s="14" t="n">
        <x:v>100</x:v>
      </x:c>
      <x:c r="J1673" s="14" t="n">
        <x:v>300</x:v>
      </x:c>
      <x:c r="K1673" t="str">
        <x:v>DEMO / SIMULATED</x:v>
      </x:c>
    </x:row>
    <x:row r="1674">
      <x:c r="A1674" t="str">
        <x:v>JFD-20260111-0952</x:v>
      </x:c>
      <x:c r="B1674" s="11" t="n">
        <x:v>46033.78888888889</x:v>
      </x:c>
      <x:c r="C1674" s="13" t="n">
        <x:v>0.7888888888888889</x:v>
      </x:c>
      <x:c r="D1674" t="str">
        <x:v>Damak</x:v>
      </x:c>
      <x:c r="E1674" t="str">
        <x:v>Late Night Cravings</x:v>
      </x:c>
      <x:c r="F1674" t="str">
        <x:v>Egg Fry Rice</x:v>
      </x:c>
      <x:c r="G1674" t="str">
        <x:v>Food</x:v>
      </x:c>
      <x:c r="H1674" t="n">
        <x:v>1</x:v>
      </x:c>
      <x:c r="I1674" s="14" t="n">
        <x:v>200</x:v>
      </x:c>
      <x:c r="J1674" s="14" t="n">
        <x:v>200</x:v>
      </x:c>
      <x:c r="K1674" t="str">
        <x:v>DEMO / SIMULATED</x:v>
      </x:c>
    </x:row>
    <x:row r="1675">
      <x:c r="A1675" t="str">
        <x:v>JFD-20230221-0953</x:v>
      </x:c>
      <x:c r="B1675" s="11" t="n">
        <x:v>44978.68472222222</x:v>
      </x:c>
      <x:c r="C1675" s="13" t="n">
        <x:v>0.6847222222222222</x:v>
      </x:c>
      <x:c r="D1675" t="str">
        <x:v>Damak</x:v>
      </x:c>
      <x:c r="E1675" t="str">
        <x:v>Milan’s Bakery</x:v>
      </x:c>
      <x:c r="F1675" t="str">
        <x:v>Coca-Cola 500ml</x:v>
      </x:c>
      <x:c r="G1675" t="str">
        <x:v>Drink</x:v>
      </x:c>
      <x:c r="H1675" t="n">
        <x:v>1</x:v>
      </x:c>
      <x:c r="I1675" s="14" t="n">
        <x:v>80</x:v>
      </x:c>
      <x:c r="J1675" s="14" t="n">
        <x:v>80</x:v>
      </x:c>
      <x:c r="K1675" t="str">
        <x:v>DEMO / SIMULATED</x:v>
      </x:c>
    </x:row>
    <x:row r="1676">
      <x:c r="A1676" t="str">
        <x:v>JFD-20230221-0953</x:v>
      </x:c>
      <x:c r="B1676" s="11" t="n">
        <x:v>44978.48819444444</x:v>
      </x:c>
      <x:c r="C1676" s="13" t="n">
        <x:v>0.48819444444444443</x:v>
      </x:c>
      <x:c r="D1676" t="str">
        <x:v>Damak</x:v>
      </x:c>
      <x:c r="E1676" t="str">
        <x:v>Milan’s Bakery</x:v>
      </x:c>
      <x:c r="F1676" t="str">
        <x:v>Red Velvet Cake</x:v>
      </x:c>
      <x:c r="G1676" t="str">
        <x:v>Food</x:v>
      </x:c>
      <x:c r="H1676" t="n">
        <x:v>4</x:v>
      </x:c>
      <x:c r="I1676" s="14" t="n">
        <x:v>740</x:v>
      </x:c>
      <x:c r="J1676" s="14" t="n">
        <x:v>2960</x:v>
      </x:c>
      <x:c r="K1676" t="str">
        <x:v>DEMO / SIMULATED</x:v>
      </x:c>
    </x:row>
    <x:row r="1677">
      <x:c r="A1677" t="str">
        <x:v>JFD-20230621-0954</x:v>
      </x:c>
      <x:c r="B1677" s="11" t="n">
        <x:v>45098.904861111114</x:v>
      </x:c>
      <x:c r="C1677" s="13" t="n">
        <x:v>0.9048611111111111</x:v>
      </x:c>
      <x:c r="D1677" t="str">
        <x:v>Damak</x:v>
      </x:c>
      <x:c r="E1677" t="str">
        <x:v>Late Night Cravings</x:v>
      </x:c>
      <x:c r="F1677" t="str">
        <x:v>Chicken Fry Rice</x:v>
      </x:c>
      <x:c r="G1677" t="str">
        <x:v>Food</x:v>
      </x:c>
      <x:c r="H1677" t="n">
        <x:v>4</x:v>
      </x:c>
      <x:c r="I1677" s="14" t="n">
        <x:v>180</x:v>
      </x:c>
      <x:c r="J1677" s="14" t="n">
        <x:v>720</x:v>
      </x:c>
      <x:c r="K1677" t="str">
        <x:v>DEMO / SIMULATED</x:v>
      </x:c>
    </x:row>
    <x:row r="1678">
      <x:c r="A1678" t="str">
        <x:v>JFD-20260331-0955</x:v>
      </x:c>
      <x:c r="B1678" s="11" t="n">
        <x:v>46112.61875</x:v>
      </x:c>
      <x:c r="C1678" s="13" t="n">
        <x:v>0.61875</x:v>
      </x:c>
      <x:c r="D1678" t="str">
        <x:v>Birtamode</x:v>
      </x:c>
      <x:c r="E1678" t="str">
        <x:v>Pizza Ghar</x:v>
      </x:c>
      <x:c r="F1678" t="str">
        <x:v>Veg Fried Rice</x:v>
      </x:c>
      <x:c r="G1678" t="str">
        <x:v>Food</x:v>
      </x:c>
      <x:c r="H1678" t="n">
        <x:v>4</x:v>
      </x:c>
      <x:c r="I1678" s="14" t="n">
        <x:v>220</x:v>
      </x:c>
      <x:c r="J1678" s="14" t="n">
        <x:v>880</x:v>
      </x:c>
      <x:c r="K1678" t="str">
        <x:v>DEMO / SIMULATED</x:v>
      </x:c>
    </x:row>
    <x:row r="1679">
      <x:c r="A1679" t="str">
        <x:v>JFD-20260331-0955</x:v>
      </x:c>
      <x:c r="B1679" s="11" t="n">
        <x:v>46112.56180555555</x:v>
      </x:c>
      <x:c r="C1679" s="13" t="n">
        <x:v>0.5618055555555556</x:v>
      </x:c>
      <x:c r="D1679" t="str">
        <x:v>Birtamode</x:v>
      </x:c>
      <x:c r="E1679" t="str">
        <x:v>Pizza Ghar</x:v>
      </x:c>
      <x:c r="F1679" t="str">
        <x:v>Chicken BBQ Feast Pizza</x:v>
      </x:c>
      <x:c r="G1679" t="str">
        <x:v>Food</x:v>
      </x:c>
      <x:c r="H1679" t="n">
        <x:v>1</x:v>
      </x:c>
      <x:c r="I1679" s="14" t="n">
        <x:v>580</x:v>
      </x:c>
      <x:c r="J1679" s="14" t="n">
        <x:v>580</x:v>
      </x:c>
      <x:c r="K1679" t="str">
        <x:v>DEMO / SIMULATED</x:v>
      </x:c>
    </x:row>
    <x:row r="1680">
      <x:c r="A1680" t="str">
        <x:v>JFD-20230821-0956</x:v>
      </x:c>
      <x:c r="B1680" s="11" t="n">
        <x:v>45159.76875</x:v>
      </x:c>
      <x:c r="C1680" s="13" t="n">
        <x:v>0.76875</x:v>
      </x:c>
      <x:c r="D1680" t="str">
        <x:v>Damak</x:v>
      </x:c>
      <x:c r="E1680" t="str">
        <x:v>Milan’s Bakery</x:v>
      </x:c>
      <x:c r="F1680" t="str">
        <x:v>Chocolate Cake</x:v>
      </x:c>
      <x:c r="G1680" t="str">
        <x:v>Food</x:v>
      </x:c>
      <x:c r="H1680" t="n">
        <x:v>4</x:v>
      </x:c>
      <x:c r="I1680" s="14" t="n">
        <x:v>285</x:v>
      </x:c>
      <x:c r="J1680" s="14" t="n">
        <x:v>1140</x:v>
      </x:c>
      <x:c r="K1680" t="str">
        <x:v>DEMO / SIMULATED</x:v>
      </x:c>
    </x:row>
    <x:row r="1681">
      <x:c r="A1681" t="str">
        <x:v>JFD-20230821-0956</x:v>
      </x:c>
      <x:c r="B1681" s="11" t="n">
        <x:v>45159.65972222222</x:v>
      </x:c>
      <x:c r="C1681" s="13" t="n">
        <x:v>0.6597222222222222</x:v>
      </x:c>
      <x:c r="D1681" t="str">
        <x:v>Damak</x:v>
      </x:c>
      <x:c r="E1681" t="str">
        <x:v>Milan’s Bakery</x:v>
      </x:c>
      <x:c r="F1681" t="str">
        <x:v>Bottled Water 1L</x:v>
      </x:c>
      <x:c r="G1681" t="str">
        <x:v>Drink</x:v>
      </x:c>
      <x:c r="H1681" t="n">
        <x:v>2</x:v>
      </x:c>
      <x:c r="I1681" s="14" t="n">
        <x:v>35</x:v>
      </x:c>
      <x:c r="J1681" s="14" t="n">
        <x:v>70</x:v>
      </x:c>
      <x:c r="K1681" t="str">
        <x:v>DEMO / SIMULATED</x:v>
      </x:c>
    </x:row>
    <x:row r="1682">
      <x:c r="A1682" t="str">
        <x:v>JFD-20230821-0956</x:v>
      </x:c>
      <x:c r="B1682" s="11" t="n">
        <x:v>45159.802777777775</x:v>
      </x:c>
      <x:c r="C1682" s="13" t="n">
        <x:v>0.8027777777777778</x:v>
      </x:c>
      <x:c r="D1682" t="str">
        <x:v>Damak</x:v>
      </x:c>
      <x:c r="E1682" t="str">
        <x:v>Milan’s Bakery</x:v>
      </x:c>
      <x:c r="F1682" t="str">
        <x:v>Coca-Cola 500ml</x:v>
      </x:c>
      <x:c r="G1682" t="str">
        <x:v>Drink</x:v>
      </x:c>
      <x:c r="H1682" t="n">
        <x:v>4</x:v>
      </x:c>
      <x:c r="I1682" s="14" t="n">
        <x:v>80</x:v>
      </x:c>
      <x:c r="J1682" s="14" t="n">
        <x:v>320</x:v>
      </x:c>
      <x:c r="K1682" t="str">
        <x:v>DEMO / SIMULATED</x:v>
      </x:c>
    </x:row>
    <x:row r="1683">
      <x:c r="A1683" t="str">
        <x:v>JFD-20240316-0957</x:v>
      </x:c>
      <x:c r="B1683" s="11" t="n">
        <x:v>45367.42222222222</x:v>
      </x:c>
      <x:c r="C1683" s="13" t="n">
        <x:v>0.4222222222222222</x:v>
      </x:c>
      <x:c r="D1683" t="str">
        <x:v>Birtamode</x:v>
      </x:c>
      <x:c r="E1683" t="str">
        <x:v>The Underground Cafe &amp; Restaurant</x:v>
      </x:c>
      <x:c r="F1683" t="str">
        <x:v>Veg Pakauda</x:v>
      </x:c>
      <x:c r="G1683" t="str">
        <x:v>Food</x:v>
      </x:c>
      <x:c r="H1683" t="n">
        <x:v>3</x:v>
      </x:c>
      <x:c r="I1683" s="14" t="n">
        <x:v>155</x:v>
      </x:c>
      <x:c r="J1683" s="14" t="n">
        <x:v>465</x:v>
      </x:c>
      <x:c r="K1683" t="str">
        <x:v>DEMO / SIMULATED</x:v>
      </x:c>
    </x:row>
    <x:row r="1684">
      <x:c r="A1684" t="str">
        <x:v>JFD-20240316-0957</x:v>
      </x:c>
      <x:c r="B1684" s="11" t="n">
        <x:v>45367.66736111111</x:v>
      </x:c>
      <x:c r="C1684" s="13" t="n">
        <x:v>0.6673611111111111</x:v>
      </x:c>
      <x:c r="D1684" t="str">
        <x:v>Birtamode</x:v>
      </x:c>
      <x:c r="E1684" t="str">
        <x:v>The Underground Cafe &amp; Restaurant</x:v>
      </x:c>
      <x:c r="F1684" t="str">
        <x:v>Coca-Cola 500ml</x:v>
      </x:c>
      <x:c r="G1684" t="str">
        <x:v>Drink</x:v>
      </x:c>
      <x:c r="H1684" t="n">
        <x:v>2</x:v>
      </x:c>
      <x:c r="I1684" s="14" t="n">
        <x:v>90</x:v>
      </x:c>
      <x:c r="J1684" s="14" t="n">
        <x:v>180</x:v>
      </x:c>
      <x:c r="K1684" t="str">
        <x:v>DEMO / SIMULATED</x:v>
      </x:c>
    </x:row>
    <x:row r="1685">
      <x:c r="A1685" t="str">
        <x:v>JFD-20251116-0958</x:v>
      </x:c>
      <x:c r="B1685" s="11" t="n">
        <x:v>45977.853472222225</x:v>
      </x:c>
      <x:c r="C1685" s="13" t="n">
        <x:v>0.8534722222222222</x:v>
      </x:c>
      <x:c r="D1685" t="str">
        <x:v>Damak</x:v>
      </x:c>
      <x:c r="E1685" t="str">
        <x:v>Milan’s Bakery</x:v>
      </x:c>
      <x:c r="F1685" t="str">
        <x:v>Red Velvet Cake</x:v>
      </x:c>
      <x:c r="G1685" t="str">
        <x:v>Food</x:v>
      </x:c>
      <x:c r="H1685" t="n">
        <x:v>1</x:v>
      </x:c>
      <x:c r="I1685" s="14" t="n">
        <x:v>845</x:v>
      </x:c>
      <x:c r="J1685" s="14" t="n">
        <x:v>845</x:v>
      </x:c>
      <x:c r="K1685" t="str">
        <x:v>DEMO / SIMULATED</x:v>
      </x:c>
    </x:row>
    <x:row r="1686">
      <x:c r="A1686" t="str">
        <x:v>JFD-20250711-0959</x:v>
      </x:c>
      <x:c r="B1686" s="11" t="n">
        <x:v>45849.552777777775</x:v>
      </x:c>
      <x:c r="C1686" s="13" t="n">
        <x:v>0.5527777777777778</x:v>
      </x:c>
      <x:c r="D1686" t="str">
        <x:v>Birtamode</x:v>
      </x:c>
      <x:c r="E1686" t="str">
        <x:v>The Underground Cafe &amp; Restaurant</x:v>
      </x:c>
      <x:c r="F1686" t="str">
        <x:v>Aalu Jeera</x:v>
      </x:c>
      <x:c r="G1686" t="str">
        <x:v>Food</x:v>
      </x:c>
      <x:c r="H1686" t="n">
        <x:v>2</x:v>
      </x:c>
      <x:c r="I1686" s="14" t="n">
        <x:v>145</x:v>
      </x:c>
      <x:c r="J1686" s="14" t="n">
        <x:v>290</x:v>
      </x:c>
      <x:c r="K1686" t="str">
        <x:v>DEMO / SIMULATED</x:v>
      </x:c>
    </x:row>
    <x:row r="1687">
      <x:c r="A1687" t="str">
        <x:v>JFD-20230211-0960</x:v>
      </x:c>
      <x:c r="B1687" s="11" t="n">
        <x:v>44968.740277777775</x:v>
      </x:c>
      <x:c r="C1687" s="13" t="n">
        <x:v>0.7402777777777778</x:v>
      </x:c>
      <x:c r="D1687" t="str">
        <x:v>Birtamode</x:v>
      </x:c>
      <x:c r="E1687" t="str">
        <x:v>The Underground Cafe &amp; Restaurant</x:v>
      </x:c>
      <x:c r="F1687" t="str">
        <x:v>Aalu Jeera</x:v>
      </x:c>
      <x:c r="G1687" t="str">
        <x:v>Food</x:v>
      </x:c>
      <x:c r="H1687" t="n">
        <x:v>3</x:v>
      </x:c>
      <x:c r="I1687" s="14" t="n">
        <x:v>125</x:v>
      </x:c>
      <x:c r="J1687" s="14" t="n">
        <x:v>375</x:v>
      </x:c>
      <x:c r="K1687" t="str">
        <x:v>DEMO / SIMULATED</x:v>
      </x:c>
    </x:row>
    <x:row r="1688">
      <x:c r="A1688" t="str">
        <x:v>JFD-20230211-0960</x:v>
      </x:c>
      <x:c r="B1688" s="11" t="n">
        <x:v>44968.71805555555</x:v>
      </x:c>
      <x:c r="C1688" s="13" t="n">
        <x:v>0.7180555555555556</x:v>
      </x:c>
      <x:c r="D1688" t="str">
        <x:v>Birtamode</x:v>
      </x:c>
      <x:c r="E1688" t="str">
        <x:v>The Underground Cafe &amp; Restaurant</x:v>
      </x:c>
      <x:c r="F1688" t="str">
        <x:v>Coca-Cola 500ml</x:v>
      </x:c>
      <x:c r="G1688" t="str">
        <x:v>Drink</x:v>
      </x:c>
      <x:c r="H1688" t="n">
        <x:v>4</x:v>
      </x:c>
      <x:c r="I1688" s="14" t="n">
        <x:v>80</x:v>
      </x:c>
      <x:c r="J1688" s="14" t="n">
        <x:v>320</x:v>
      </x:c>
      <x:c r="K1688" t="str">
        <x:v>DEMO / SIMULATED</x:v>
      </x:c>
    </x:row>
    <x:row r="1689">
      <x:c r="A1689" t="str">
        <x:v>JFD-20240403-0961</x:v>
      </x:c>
      <x:c r="B1689" s="11" t="n">
        <x:v>45385.78125</x:v>
      </x:c>
      <x:c r="C1689" s="13" t="n">
        <x:v>0.78125</x:v>
      </x:c>
      <x:c r="D1689" t="str">
        <x:v>Damak</x:v>
      </x:c>
      <x:c r="E1689" t="str">
        <x:v>Late Night Cravings</x:v>
      </x:c>
      <x:c r="F1689" t="str">
        <x:v>Coca-Cola 500ml</x:v>
      </x:c>
      <x:c r="G1689" t="str">
        <x:v>Drink</x:v>
      </x:c>
      <x:c r="H1689" t="n">
        <x:v>4</x:v>
      </x:c>
      <x:c r="I1689" s="14" t="n">
        <x:v>90</x:v>
      </x:c>
      <x:c r="J1689" s="14" t="n">
        <x:v>360</x:v>
      </x:c>
      <x:c r="K1689" t="str">
        <x:v>DEMO / SIMULATED</x:v>
      </x:c>
    </x:row>
    <x:row r="1690">
      <x:c r="A1690" t="str">
        <x:v>JFD-20240403-0961</x:v>
      </x:c>
      <x:c r="B1690" s="11" t="n">
        <x:v>45385.53611111111</x:v>
      </x:c>
      <x:c r="C1690" s="13" t="n">
        <x:v>0.5361111111111111</x:v>
      </x:c>
      <x:c r="D1690" t="str">
        <x:v>Damak</x:v>
      </x:c>
      <x:c r="E1690" t="str">
        <x:v>Late Night Cravings</x:v>
      </x:c>
      <x:c r="F1690" t="str">
        <x:v>Chicken Fry Rice</x:v>
      </x:c>
      <x:c r="G1690" t="str">
        <x:v>Food</x:v>
      </x:c>
      <x:c r="H1690" t="n">
        <x:v>2</x:v>
      </x:c>
      <x:c r="I1690" s="14" t="n">
        <x:v>195</x:v>
      </x:c>
      <x:c r="J1690" s="14" t="n">
        <x:v>390</x:v>
      </x:c>
      <x:c r="K1690" t="str">
        <x:v>DEMO / SIMULATED</x:v>
      </x:c>
    </x:row>
    <x:row r="1691">
      <x:c r="A1691" t="str">
        <x:v>JFD-20240403-0961</x:v>
      </x:c>
      <x:c r="B1691" s="11" t="n">
        <x:v>45385.68402777778</x:v>
      </x:c>
      <x:c r="C1691" s="13" t="n">
        <x:v>0.6840277777777778</x:v>
      </x:c>
      <x:c r="D1691" t="str">
        <x:v>Damak</x:v>
      </x:c>
      <x:c r="E1691" t="str">
        <x:v>Late Night Cravings</x:v>
      </x:c>
      <x:c r="F1691" t="str">
        <x:v>Veg Fry Rice</x:v>
      </x:c>
      <x:c r="G1691" t="str">
        <x:v>Food</x:v>
      </x:c>
      <x:c r="H1691" t="n">
        <x:v>2</x:v>
      </x:c>
      <x:c r="I1691" s="14" t="n">
        <x:v>140</x:v>
      </x:c>
      <x:c r="J1691" s="14" t="n">
        <x:v>280</x:v>
      </x:c>
      <x:c r="K1691" t="str">
        <x:v>DEMO / SIMULATED</x:v>
      </x:c>
    </x:row>
    <x:row r="1692">
      <x:c r="A1692" t="str">
        <x:v>JFD-20240528-0962</x:v>
      </x:c>
      <x:c r="B1692" s="11" t="n">
        <x:v>45440.864583333336</x:v>
      </x:c>
      <x:c r="C1692" s="13" t="n">
        <x:v>0.8645833333333334</x:v>
      </x:c>
      <x:c r="D1692" t="str">
        <x:v>Birtamode</x:v>
      </x:c>
      <x:c r="E1692" t="str">
        <x:v>The Underground Cafe &amp; Restaurant</x:v>
      </x:c>
      <x:c r="F1692" t="str">
        <x:v>Coca-Cola 500ml</x:v>
      </x:c>
      <x:c r="G1692" t="str">
        <x:v>Drink</x:v>
      </x:c>
      <x:c r="H1692" t="n">
        <x:v>3</x:v>
      </x:c>
      <x:c r="I1692" s="14" t="n">
        <x:v>90</x:v>
      </x:c>
      <x:c r="J1692" s="14" t="n">
        <x:v>270</x:v>
      </x:c>
      <x:c r="K1692" t="str">
        <x:v>DEMO / SIMULATED</x:v>
      </x:c>
    </x:row>
    <x:row r="1693">
      <x:c r="A1693" t="str">
        <x:v>JFD-20230628-0963</x:v>
      </x:c>
      <x:c r="B1693" s="11" t="n">
        <x:v>45105.60625</x:v>
      </x:c>
      <x:c r="C1693" s="13" t="n">
        <x:v>0.60625</x:v>
      </x:c>
      <x:c r="D1693" t="str">
        <x:v>Birtamode</x:v>
      </x:c>
      <x:c r="E1693" t="str">
        <x:v>Pizza Ghar</x:v>
      </x:c>
      <x:c r="F1693" t="str">
        <x:v>Bottled Water 1L</x:v>
      </x:c>
      <x:c r="G1693" t="str">
        <x:v>Drink</x:v>
      </x:c>
      <x:c r="H1693" t="n">
        <x:v>1</x:v>
      </x:c>
      <x:c r="I1693" s="14" t="n">
        <x:v>35</x:v>
      </x:c>
      <x:c r="J1693" s="14" t="n">
        <x:v>35</x:v>
      </x:c>
      <x:c r="K1693" t="str">
        <x:v>DEMO / SIMULATED</x:v>
      </x:c>
    </x:row>
    <x:row r="1694">
      <x:c r="A1694" t="str">
        <x:v>JFD-20230722-0964</x:v>
      </x:c>
      <x:c r="B1694" s="11" t="n">
        <x:v>45129.49236111111</x:v>
      </x:c>
      <x:c r="C1694" s="13" t="n">
        <x:v>0.49236111111111114</x:v>
      </x:c>
      <x:c r="D1694" t="str">
        <x:v>Birtamode</x:v>
      </x:c>
      <x:c r="E1694" t="str">
        <x:v>The Underground Cafe &amp; Restaurant</x:v>
      </x:c>
      <x:c r="F1694" t="str">
        <x:v>Paneer Pakauda</x:v>
      </x:c>
      <x:c r="G1694" t="str">
        <x:v>Food</x:v>
      </x:c>
      <x:c r="H1694" t="n">
        <x:v>4</x:v>
      </x:c>
      <x:c r="I1694" s="14" t="n">
        <x:v>185</x:v>
      </x:c>
      <x:c r="J1694" s="14" t="n">
        <x:v>740</x:v>
      </x:c>
      <x:c r="K1694" t="str">
        <x:v>DEMO / SIMULATED</x:v>
      </x:c>
    </x:row>
    <x:row r="1695">
      <x:c r="A1695" t="str">
        <x:v>JFD-20230722-0964</x:v>
      </x:c>
      <x:c r="B1695" s="11" t="n">
        <x:v>45129.490277777775</x:v>
      </x:c>
      <x:c r="C1695" s="13" t="n">
        <x:v>0.49027777777777776</x:v>
      </x:c>
      <x:c r="D1695" t="str">
        <x:v>Birtamode</x:v>
      </x:c>
      <x:c r="E1695" t="str">
        <x:v>The Underground Cafe &amp; Restaurant</x:v>
      </x:c>
      <x:c r="F1695" t="str">
        <x:v>Bottled Water 1L</x:v>
      </x:c>
      <x:c r="G1695" t="str">
        <x:v>Drink</x:v>
      </x:c>
      <x:c r="H1695" t="n">
        <x:v>4</x:v>
      </x:c>
      <x:c r="I1695" s="14" t="n">
        <x:v>35</x:v>
      </x:c>
      <x:c r="J1695" s="14" t="n">
        <x:v>140</x:v>
      </x:c>
      <x:c r="K1695" t="str">
        <x:v>DEMO / SIMULATED</x:v>
      </x:c>
    </x:row>
    <x:row r="1696">
      <x:c r="A1696" t="str">
        <x:v>JFD-20240707-0965</x:v>
      </x:c>
      <x:c r="B1696" s="11" t="n">
        <x:v>45480.74375</x:v>
      </x:c>
      <x:c r="C1696" s="13" t="n">
        <x:v>0.74375</x:v>
      </x:c>
      <x:c r="D1696" t="str">
        <x:v>Birtamode</x:v>
      </x:c>
      <x:c r="E1696" t="str">
        <x:v>Pizza Ghar</x:v>
      </x:c>
      <x:c r="F1696" t="str">
        <x:v>Chicken Fried Rice</x:v>
      </x:c>
      <x:c r="G1696" t="str">
        <x:v>Food</x:v>
      </x:c>
      <x:c r="H1696" t="n">
        <x:v>4</x:v>
      </x:c>
      <x:c r="I1696" s="14" t="n">
        <x:v>265</x:v>
      </x:c>
      <x:c r="J1696" s="14" t="n">
        <x:v>1060</x:v>
      </x:c>
      <x:c r="K1696" t="str">
        <x:v>DEMO / SIMULATED</x:v>
      </x:c>
    </x:row>
    <x:row r="1697">
      <x:c r="A1697" t="str">
        <x:v>JFD-20240707-0965</x:v>
      </x:c>
      <x:c r="B1697" s="11" t="n">
        <x:v>45480.77847222222</x:v>
      </x:c>
      <x:c r="C1697" s="13" t="n">
        <x:v>0.7784722222222222</x:v>
      </x:c>
      <x:c r="D1697" t="str">
        <x:v>Birtamode</x:v>
      </x:c>
      <x:c r="E1697" t="str">
        <x:v>Pizza Ghar</x:v>
      </x:c>
      <x:c r="F1697" t="str">
        <x:v>Egg Fried Rice</x:v>
      </x:c>
      <x:c r="G1697" t="str">
        <x:v>Food</x:v>
      </x:c>
      <x:c r="H1697" t="n">
        <x:v>1</x:v>
      </x:c>
      <x:c r="I1697" s="14" t="n">
        <x:v>240</x:v>
      </x:c>
      <x:c r="J1697" s="14" t="n">
        <x:v>240</x:v>
      </x:c>
      <x:c r="K1697" t="str">
        <x:v>DEMO / SIMULATED</x:v>
      </x:c>
    </x:row>
    <x:row r="1698">
      <x:c r="A1698" t="str">
        <x:v>JFD-20240222-0966</x:v>
      </x:c>
      <x:c r="B1698" s="11" t="n">
        <x:v>45344.60902777778</x:v>
      </x:c>
      <x:c r="C1698" s="13" t="n">
        <x:v>0.6090277777777777</x:v>
      </x:c>
      <x:c r="D1698" t="str">
        <x:v>Birtamode</x:v>
      </x:c>
      <x:c r="E1698" t="str">
        <x:v>The Underground Cafe &amp; Restaurant</x:v>
      </x:c>
      <x:c r="F1698" t="str">
        <x:v>Aalu Jeera</x:v>
      </x:c>
      <x:c r="G1698" t="str">
        <x:v>Food</x:v>
      </x:c>
      <x:c r="H1698" t="n">
        <x:v>2</x:v>
      </x:c>
      <x:c r="I1698" s="14" t="n">
        <x:v>135</x:v>
      </x:c>
      <x:c r="J1698" s="14" t="n">
        <x:v>270</x:v>
      </x:c>
      <x:c r="K1698" t="str">
        <x:v>DEMO / SIMULATED</x:v>
      </x:c>
    </x:row>
    <x:row r="1699">
      <x:c r="A1699" t="str">
        <x:v>JFD-20240222-0966</x:v>
      </x:c>
      <x:c r="B1699" s="11" t="n">
        <x:v>45344.76458333333</x:v>
      </x:c>
      <x:c r="C1699" s="13" t="n">
        <x:v>0.7645833333333333</x:v>
      </x:c>
      <x:c r="D1699" t="str">
        <x:v>Birtamode</x:v>
      </x:c>
      <x:c r="E1699" t="str">
        <x:v>The Underground Cafe &amp; Restaurant</x:v>
      </x:c>
      <x:c r="F1699" t="str">
        <x:v>Paneer Pakauda</x:v>
      </x:c>
      <x:c r="G1699" t="str">
        <x:v>Food</x:v>
      </x:c>
      <x:c r="H1699" t="n">
        <x:v>3</x:v>
      </x:c>
      <x:c r="I1699" s="14" t="n">
        <x:v>200</x:v>
      </x:c>
      <x:c r="J1699" s="14" t="n">
        <x:v>600</x:v>
      </x:c>
      <x:c r="K1699" t="str">
        <x:v>DEMO / SIMULATED</x:v>
      </x:c>
    </x:row>
    <x:row r="1700">
      <x:c r="A1700" t="str">
        <x:v>JFD-20251231-0967</x:v>
      </x:c>
      <x:c r="B1700" s="11" t="n">
        <x:v>46022.50486111111</x:v>
      </x:c>
      <x:c r="C1700" s="13" t="n">
        <x:v>0.5048611111111111</x:v>
      </x:c>
      <x:c r="D1700" t="str">
        <x:v>Birtamode</x:v>
      </x:c>
      <x:c r="E1700" t="str">
        <x:v>Pizza Ghar</x:v>
      </x:c>
      <x:c r="F1700" t="str">
        <x:v>Veg Fried Rice</x:v>
      </x:c>
      <x:c r="G1700" t="str">
        <x:v>Food</x:v>
      </x:c>
      <x:c r="H1700" t="n">
        <x:v>1</x:v>
      </x:c>
      <x:c r="I1700" s="14" t="n">
        <x:v>205</x:v>
      </x:c>
      <x:c r="J1700" s="14" t="n">
        <x:v>205</x:v>
      </x:c>
      <x:c r="K1700" t="str">
        <x:v>DEMO / SIMULATED</x:v>
      </x:c>
    </x:row>
    <x:row r="1701">
      <x:c r="A1701" t="str">
        <x:v>JFD-20251231-0967</x:v>
      </x:c>
      <x:c r="B1701" s="11" t="n">
        <x:v>46022.79722222222</x:v>
      </x:c>
      <x:c r="C1701" s="13" t="n">
        <x:v>0.7972222222222223</x:v>
      </x:c>
      <x:c r="D1701" t="str">
        <x:v>Birtamode</x:v>
      </x:c>
      <x:c r="E1701" t="str">
        <x:v>Pizza Ghar</x:v>
      </x:c>
      <x:c r="F1701" t="str">
        <x:v>Coca-Cola 500ml</x:v>
      </x:c>
      <x:c r="G1701" t="str">
        <x:v>Drink</x:v>
      </x:c>
      <x:c r="H1701" t="n">
        <x:v>3</x:v>
      </x:c>
      <x:c r="I1701" s="14" t="n">
        <x:v>95</x:v>
      </x:c>
      <x:c r="J1701" s="14" t="n">
        <x:v>285</x:v>
      </x:c>
      <x:c r="K1701" t="str">
        <x:v>DEMO / SIMULATED</x:v>
      </x:c>
    </x:row>
    <x:row r="1702">
      <x:c r="A1702" t="str">
        <x:v>JFD-20241121-0968</x:v>
      </x:c>
      <x:c r="B1702" s="11" t="n">
        <x:v>45617.50486111111</x:v>
      </x:c>
      <x:c r="C1702" s="13" t="n">
        <x:v>0.5048611111111111</x:v>
      </x:c>
      <x:c r="D1702" t="str">
        <x:v>Birtamode</x:v>
      </x:c>
      <x:c r="E1702" t="str">
        <x:v>The Underground Cafe &amp; Restaurant</x:v>
      </x:c>
      <x:c r="F1702" t="str">
        <x:v>Coca-Cola 500ml</x:v>
      </x:c>
      <x:c r="G1702" t="str">
        <x:v>Drink</x:v>
      </x:c>
      <x:c r="H1702" t="n">
        <x:v>3</x:v>
      </x:c>
      <x:c r="I1702" s="14" t="n">
        <x:v>90</x:v>
      </x:c>
      <x:c r="J1702" s="14" t="n">
        <x:v>270</x:v>
      </x:c>
      <x:c r="K1702" t="str">
        <x:v>DEMO / SIMULATED</x:v>
      </x:c>
    </x:row>
    <x:row r="1703">
      <x:c r="A1703" t="str">
        <x:v>JFD-20241121-0968</x:v>
      </x:c>
      <x:c r="B1703" s="11" t="n">
        <x:v>45617.66111111111</x:v>
      </x:c>
      <x:c r="C1703" s="13" t="n">
        <x:v>0.6611111111111111</x:v>
      </x:c>
      <x:c r="D1703" t="str">
        <x:v>Birtamode</x:v>
      </x:c>
      <x:c r="E1703" t="str">
        <x:v>The Underground Cafe &amp; Restaurant</x:v>
      </x:c>
      <x:c r="F1703" t="str">
        <x:v>Aalu Jeera</x:v>
      </x:c>
      <x:c r="G1703" t="str">
        <x:v>Food</x:v>
      </x:c>
      <x:c r="H1703" t="n">
        <x:v>2</x:v>
      </x:c>
      <x:c r="I1703" s="14" t="n">
        <x:v>135</x:v>
      </x:c>
      <x:c r="J1703" s="14" t="n">
        <x:v>270</x:v>
      </x:c>
      <x:c r="K1703" t="str">
        <x:v>DEMO / SIMULATED</x:v>
      </x:c>
    </x:row>
    <x:row r="1704">
      <x:c r="A1704" t="str">
        <x:v>JFD-20230129-0969</x:v>
      </x:c>
      <x:c r="B1704" s="11" t="n">
        <x:v>44955.799305555556</x:v>
      </x:c>
      <x:c r="C1704" s="13" t="n">
        <x:v>0.7993055555555556</x:v>
      </x:c>
      <x:c r="D1704" t="str">
        <x:v>Damak</x:v>
      </x:c>
      <x:c r="E1704" t="str">
        <x:v>Milan’s Bakery</x:v>
      </x:c>
      <x:c r="F1704" t="str">
        <x:v>Chocolate Cake</x:v>
      </x:c>
      <x:c r="G1704" t="str">
        <x:v>Food</x:v>
      </x:c>
      <x:c r="H1704" t="n">
        <x:v>4</x:v>
      </x:c>
      <x:c r="I1704" s="14" t="n">
        <x:v>285</x:v>
      </x:c>
      <x:c r="J1704" s="14" t="n">
        <x:v>1140</x:v>
      </x:c>
      <x:c r="K1704" t="str">
        <x:v>DEMO / SIMULATED</x:v>
      </x:c>
    </x:row>
    <x:row r="1705">
      <x:c r="A1705" t="str">
        <x:v>JFD-20230129-0969</x:v>
      </x:c>
      <x:c r="B1705" s="11" t="n">
        <x:v>44955.61388888889</x:v>
      </x:c>
      <x:c r="C1705" s="13" t="n">
        <x:v>0.6138888888888889</x:v>
      </x:c>
      <x:c r="D1705" t="str">
        <x:v>Damak</x:v>
      </x:c>
      <x:c r="E1705" t="str">
        <x:v>Milan’s Bakery</x:v>
      </x:c>
      <x:c r="F1705" t="str">
        <x:v>Bottled Water 1L</x:v>
      </x:c>
      <x:c r="G1705" t="str">
        <x:v>Drink</x:v>
      </x:c>
      <x:c r="H1705" t="n">
        <x:v>3</x:v>
      </x:c>
      <x:c r="I1705" s="14" t="n">
        <x:v>35</x:v>
      </x:c>
      <x:c r="J1705" s="14" t="n">
        <x:v>105</x:v>
      </x:c>
      <x:c r="K1705" t="str">
        <x:v>DEMO / SIMULATED</x:v>
      </x:c>
    </x:row>
    <x:row r="1706">
      <x:c r="A1706" t="str">
        <x:v>JFD-20251007-0970</x:v>
      </x:c>
      <x:c r="B1706" s="11" t="n">
        <x:v>45937.71111111111</x:v>
      </x:c>
      <x:c r="C1706" s="13" t="n">
        <x:v>0.7111111111111111</x:v>
      </x:c>
      <x:c r="D1706" t="str">
        <x:v>Birtamode</x:v>
      </x:c>
      <x:c r="E1706" t="str">
        <x:v>Pizza Ghar</x:v>
      </x:c>
      <x:c r="F1706" t="str">
        <x:v>Chicken Fried Rice</x:v>
      </x:c>
      <x:c r="G1706" t="str">
        <x:v>Food</x:v>
      </x:c>
      <x:c r="H1706" t="n">
        <x:v>2</x:v>
      </x:c>
      <x:c r="I1706" s="14" t="n">
        <x:v>280</x:v>
      </x:c>
      <x:c r="J1706" s="14" t="n">
        <x:v>560</x:v>
      </x:c>
      <x:c r="K1706" t="str">
        <x:v>DEMO / SIMULATED</x:v>
      </x:c>
    </x:row>
    <x:row r="1707">
      <x:c r="A1707" t="str">
        <x:v>JFD-20240709-0971</x:v>
      </x:c>
      <x:c r="B1707" s="11" t="n">
        <x:v>45482.62986111111</x:v>
      </x:c>
      <x:c r="C1707" s="13" t="n">
        <x:v>0.6298611111111111</x:v>
      </x:c>
      <x:c r="D1707" t="str">
        <x:v>Damak</x:v>
      </x:c>
      <x:c r="E1707" t="str">
        <x:v>Milan’s Bakery</x:v>
      </x:c>
      <x:c r="F1707" t="str">
        <x:v>Bottled Water 1L</x:v>
      </x:c>
      <x:c r="G1707" t="str">
        <x:v>Drink</x:v>
      </x:c>
      <x:c r="H1707" t="n">
        <x:v>3</x:v>
      </x:c>
      <x:c r="I1707" s="14" t="n">
        <x:v>35</x:v>
      </x:c>
      <x:c r="J1707" s="14" t="n">
        <x:v>105</x:v>
      </x:c>
      <x:c r="K1707" t="str">
        <x:v>DEMO / SIMULATED</x:v>
      </x:c>
    </x:row>
    <x:row r="1708">
      <x:c r="A1708" t="str">
        <x:v>JFD-20231201-0972</x:v>
      </x:c>
      <x:c r="B1708" s="11" t="n">
        <x:v>45261.78333333333</x:v>
      </x:c>
      <x:c r="C1708" s="13" t="n">
        <x:v>0.7833333333333333</x:v>
      </x:c>
      <x:c r="D1708" t="str">
        <x:v>Damak</x:v>
      </x:c>
      <x:c r="E1708" t="str">
        <x:v>Milan’s Bakery</x:v>
      </x:c>
      <x:c r="F1708" t="str">
        <x:v>Vanilla Cake</x:v>
      </x:c>
      <x:c r="G1708" t="str">
        <x:v>Food</x:v>
      </x:c>
      <x:c r="H1708" t="n">
        <x:v>1</x:v>
      </x:c>
      <x:c r="I1708" s="14" t="n">
        <x:v>245</x:v>
      </x:c>
      <x:c r="J1708" s="14" t="n">
        <x:v>245</x:v>
      </x:c>
      <x:c r="K1708" t="str">
        <x:v>DEMO / SIMULATED</x:v>
      </x:c>
    </x:row>
    <x:row r="1709">
      <x:c r="A1709" t="str">
        <x:v>JFD-20241124-0973</x:v>
      </x:c>
      <x:c r="B1709" s="11" t="n">
        <x:v>45620.86666666667</x:v>
      </x:c>
      <x:c r="C1709" s="13" t="n">
        <x:v>0.8666666666666667</x:v>
      </x:c>
      <x:c r="D1709" t="str">
        <x:v>Damak</x:v>
      </x:c>
      <x:c r="E1709" t="str">
        <x:v>Milan’s Bakery</x:v>
      </x:c>
      <x:c r="F1709" t="str">
        <x:v>Chocolate Cake</x:v>
      </x:c>
      <x:c r="G1709" t="str">
        <x:v>Food</x:v>
      </x:c>
      <x:c r="H1709" t="n">
        <x:v>4</x:v>
      </x:c>
      <x:c r="I1709" s="14" t="n">
        <x:v>310</x:v>
      </x:c>
      <x:c r="J1709" s="14" t="n">
        <x:v>1240</x:v>
      </x:c>
      <x:c r="K1709" t="str">
        <x:v>DEMO / SIMULATED</x:v>
      </x:c>
    </x:row>
    <x:row r="1710">
      <x:c r="A1710" t="str">
        <x:v>JFD-20241124-0973</x:v>
      </x:c>
      <x:c r="B1710" s="11" t="n">
        <x:v>45620.81180555555</x:v>
      </x:c>
      <x:c r="C1710" s="13" t="n">
        <x:v>0.8118055555555556</x:v>
      </x:c>
      <x:c r="D1710" t="str">
        <x:v>Damak</x:v>
      </x:c>
      <x:c r="E1710" t="str">
        <x:v>Milan’s Bakery</x:v>
      </x:c>
      <x:c r="F1710" t="str">
        <x:v>Black Forest Cake</x:v>
      </x:c>
      <x:c r="G1710" t="str">
        <x:v>Food</x:v>
      </x:c>
      <x:c r="H1710" t="n">
        <x:v>1</x:v>
      </x:c>
      <x:c r="I1710" s="14" t="n">
        <x:v>265</x:v>
      </x:c>
      <x:c r="J1710" s="14" t="n">
        <x:v>265</x:v>
      </x:c>
      <x:c r="K1710" t="str">
        <x:v>DEMO / SIMULATED</x:v>
      </x:c>
    </x:row>
    <x:row r="1711">
      <x:c r="A1711" t="str">
        <x:v>JFD-20241124-0973</x:v>
      </x:c>
      <x:c r="B1711" s="11" t="n">
        <x:v>45620.80416666667</x:v>
      </x:c>
      <x:c r="C1711" s="13" t="n">
        <x:v>0.8041666666666667</x:v>
      </x:c>
      <x:c r="D1711" t="str">
        <x:v>Damak</x:v>
      </x:c>
      <x:c r="E1711" t="str">
        <x:v>Milan’s Bakery</x:v>
      </x:c>
      <x:c r="F1711" t="str">
        <x:v>Red Velvet Cake</x:v>
      </x:c>
      <x:c r="G1711" t="str">
        <x:v>Food</x:v>
      </x:c>
      <x:c r="H1711" t="n">
        <x:v>3</x:v>
      </x:c>
      <x:c r="I1711" s="14" t="n">
        <x:v>790</x:v>
      </x:c>
      <x:c r="J1711" s="14" t="n">
        <x:v>2370</x:v>
      </x:c>
      <x:c r="K1711" t="str">
        <x:v>DEMO / SIMULATED</x:v>
      </x:c>
    </x:row>
    <x:row r="1712">
      <x:c r="A1712" t="str">
        <x:v>JFD-20260306-0974</x:v>
      </x:c>
      <x:c r="B1712" s="11" t="n">
        <x:v>46087.59444444445</x:v>
      </x:c>
      <x:c r="C1712" s="13" t="n">
        <x:v>0.5944444444444444</x:v>
      </x:c>
      <x:c r="D1712" t="str">
        <x:v>Damak</x:v>
      </x:c>
      <x:c r="E1712" t="str">
        <x:v>Milan’s Bakery</x:v>
      </x:c>
      <x:c r="F1712" t="str">
        <x:v>Coca-Cola 500ml</x:v>
      </x:c>
      <x:c r="G1712" t="str">
        <x:v>Drink</x:v>
      </x:c>
      <x:c r="H1712" t="n">
        <x:v>3</x:v>
      </x:c>
      <x:c r="I1712" s="14" t="n">
        <x:v>100</x:v>
      </x:c>
      <x:c r="J1712" s="14" t="n">
        <x:v>300</x:v>
      </x:c>
      <x:c r="K1712" t="str">
        <x:v>DEMO / SIMULATED</x:v>
      </x:c>
    </x:row>
    <x:row r="1713">
      <x:c r="A1713" t="str">
        <x:v>JFD-20260306-0974</x:v>
      </x:c>
      <x:c r="B1713" s="11" t="n">
        <x:v>46087.481944444444</x:v>
      </x:c>
      <x:c r="C1713" s="13" t="n">
        <x:v>0.48194444444444445</x:v>
      </x:c>
      <x:c r="D1713" t="str">
        <x:v>Damak</x:v>
      </x:c>
      <x:c r="E1713" t="str">
        <x:v>Milan’s Bakery</x:v>
      </x:c>
      <x:c r="F1713" t="str">
        <x:v>Bottled Water 1L</x:v>
      </x:c>
      <x:c r="G1713" t="str">
        <x:v>Drink</x:v>
      </x:c>
      <x:c r="H1713" t="n">
        <x:v>1</x:v>
      </x:c>
      <x:c r="I1713" s="14" t="n">
        <x:v>40</x:v>
      </x:c>
      <x:c r="J1713" s="14" t="n">
        <x:v>40</x:v>
      </x:c>
      <x:c r="K1713" t="str">
        <x:v>DEMO / SIMULATED</x:v>
      </x:c>
    </x:row>
    <x:row r="1714">
      <x:c r="A1714" t="str">
        <x:v>JFD-20230717-0975</x:v>
      </x:c>
      <x:c r="B1714" s="11" t="n">
        <x:v>45124.62777777778</x:v>
      </x:c>
      <x:c r="C1714" s="13" t="n">
        <x:v>0.6277777777777778</x:v>
      </x:c>
      <x:c r="D1714" t="str">
        <x:v>Birtamode</x:v>
      </x:c>
      <x:c r="E1714" t="str">
        <x:v>The Underground Cafe &amp; Restaurant</x:v>
      </x:c>
      <x:c r="F1714" t="str">
        <x:v>Bottled Water 1L</x:v>
      </x:c>
      <x:c r="G1714" t="str">
        <x:v>Drink</x:v>
      </x:c>
      <x:c r="H1714" t="n">
        <x:v>1</x:v>
      </x:c>
      <x:c r="I1714" s="14" t="n">
        <x:v>35</x:v>
      </x:c>
      <x:c r="J1714" s="14" t="n">
        <x:v>35</x:v>
      </x:c>
      <x:c r="K1714" t="str">
        <x:v>DEMO / SIMULATED</x:v>
      </x:c>
    </x:row>
    <x:row r="1715">
      <x:c r="A1715" t="str">
        <x:v>JFD-20230717-0975</x:v>
      </x:c>
      <x:c r="B1715" s="11" t="n">
        <x:v>45124.603472222225</x:v>
      </x:c>
      <x:c r="C1715" s="13" t="n">
        <x:v>0.6034722222222222</x:v>
      </x:c>
      <x:c r="D1715" t="str">
        <x:v>Birtamode</x:v>
      </x:c>
      <x:c r="E1715" t="str">
        <x:v>The Underground Cafe &amp; Restaurant</x:v>
      </x:c>
      <x:c r="F1715" t="str">
        <x:v>Aalu Jeera</x:v>
      </x:c>
      <x:c r="G1715" t="str">
        <x:v>Food</x:v>
      </x:c>
      <x:c r="H1715" t="n">
        <x:v>1</x:v>
      </x:c>
      <x:c r="I1715" s="14" t="n">
        <x:v>125</x:v>
      </x:c>
      <x:c r="J1715" s="14" t="n">
        <x:v>125</x:v>
      </x:c>
      <x:c r="K1715" t="str">
        <x:v>DEMO / SIMULATED</x:v>
      </x:c>
    </x:row>
    <x:row r="1716">
      <x:c r="A1716" t="str">
        <x:v>JFD-20230221-0976</x:v>
      </x:c>
      <x:c r="B1716" s="11" t="n">
        <x:v>44978.87291666667</x:v>
      </x:c>
      <x:c r="C1716" s="13" t="n">
        <x:v>0.8729166666666667</x:v>
      </x:c>
      <x:c r="D1716" t="str">
        <x:v>Damak</x:v>
      </x:c>
      <x:c r="E1716" t="str">
        <x:v>Milan’s Bakery</x:v>
      </x:c>
      <x:c r="F1716" t="str">
        <x:v>Coca-Cola 500ml</x:v>
      </x:c>
      <x:c r="G1716" t="str">
        <x:v>Drink</x:v>
      </x:c>
      <x:c r="H1716" t="n">
        <x:v>2</x:v>
      </x:c>
      <x:c r="I1716" s="14" t="n">
        <x:v>80</x:v>
      </x:c>
      <x:c r="J1716" s="14" t="n">
        <x:v>160</x:v>
      </x:c>
      <x:c r="K1716" t="str">
        <x:v>DEMO / SIMULATED</x:v>
      </x:c>
    </x:row>
    <x:row r="1717">
      <x:c r="A1717" t="str">
        <x:v>JFD-20230221-0976</x:v>
      </x:c>
      <x:c r="B1717" s="11" t="n">
        <x:v>44978.73055555556</x:v>
      </x:c>
      <x:c r="C1717" s="13" t="n">
        <x:v>0.7305555555555555</x:v>
      </x:c>
      <x:c r="D1717" t="str">
        <x:v>Damak</x:v>
      </x:c>
      <x:c r="E1717" t="str">
        <x:v>Milan’s Bakery</x:v>
      </x:c>
      <x:c r="F1717" t="str">
        <x:v>Red Velvet Cake</x:v>
      </x:c>
      <x:c r="G1717" t="str">
        <x:v>Food</x:v>
      </x:c>
      <x:c r="H1717" t="n">
        <x:v>1</x:v>
      </x:c>
      <x:c r="I1717" s="14" t="n">
        <x:v>740</x:v>
      </x:c>
      <x:c r="J1717" s="14" t="n">
        <x:v>740</x:v>
      </x:c>
      <x:c r="K1717" t="str">
        <x:v>DEMO / SIMULATED</x:v>
      </x:c>
    </x:row>
    <x:row r="1718">
      <x:c r="A1718" t="str">
        <x:v>JFD-20260217-0977</x:v>
      </x:c>
      <x:c r="B1718" s="11" t="n">
        <x:v>46070.77847222222</x:v>
      </x:c>
      <x:c r="C1718" s="13" t="n">
        <x:v>0.7784722222222222</x:v>
      </x:c>
      <x:c r="D1718" t="str">
        <x:v>Birtamode</x:v>
      </x:c>
      <x:c r="E1718" t="str">
        <x:v>The Underground Cafe &amp; Restaurant</x:v>
      </x:c>
      <x:c r="F1718" t="str">
        <x:v>Paneer Pakauda</x:v>
      </x:c>
      <x:c r="G1718" t="str">
        <x:v>Food</x:v>
      </x:c>
      <x:c r="H1718" t="n">
        <x:v>1</x:v>
      </x:c>
      <x:c r="I1718" s="14" t="n">
        <x:v>225</x:v>
      </x:c>
      <x:c r="J1718" s="14" t="n">
        <x:v>225</x:v>
      </x:c>
      <x:c r="K1718" t="str">
        <x:v>DEMO / SIMULATED</x:v>
      </x:c>
    </x:row>
    <x:row r="1719">
      <x:c r="A1719" t="str">
        <x:v>JFD-20260217-0977</x:v>
      </x:c>
      <x:c r="B1719" s="11" t="n">
        <x:v>46070.41805555556</x:v>
      </x:c>
      <x:c r="C1719" s="13" t="n">
        <x:v>0.41805555555555557</x:v>
      </x:c>
      <x:c r="D1719" t="str">
        <x:v>Birtamode</x:v>
      </x:c>
      <x:c r="E1719" t="str">
        <x:v>The Underground Cafe &amp; Restaurant</x:v>
      </x:c>
      <x:c r="F1719" t="str">
        <x:v>Veg Pakauda</x:v>
      </x:c>
      <x:c r="G1719" t="str">
        <x:v>Food</x:v>
      </x:c>
      <x:c r="H1719" t="n">
        <x:v>3</x:v>
      </x:c>
      <x:c r="I1719" s="14" t="n">
        <x:v>175</x:v>
      </x:c>
      <x:c r="J1719" s="14" t="n">
        <x:v>525</x:v>
      </x:c>
      <x:c r="K1719" t="str">
        <x:v>DEMO / SIMULATED</x:v>
      </x:c>
    </x:row>
    <x:row r="1720">
      <x:c r="A1720" t="str">
        <x:v>JFD-20240623-0978</x:v>
      </x:c>
      <x:c r="B1720" s="11" t="n">
        <x:v>45466.58819444444</x:v>
      </x:c>
      <x:c r="C1720" s="13" t="n">
        <x:v>0.5881944444444445</x:v>
      </x:c>
      <x:c r="D1720" t="str">
        <x:v>Birtamode</x:v>
      </x:c>
      <x:c r="E1720" t="str">
        <x:v>Pizza Ghar</x:v>
      </x:c>
      <x:c r="F1720" t="str">
        <x:v>Egg Fried Rice</x:v>
      </x:c>
      <x:c r="G1720" t="str">
        <x:v>Food</x:v>
      </x:c>
      <x:c r="H1720" t="n">
        <x:v>3</x:v>
      </x:c>
      <x:c r="I1720" s="14" t="n">
        <x:v>240</x:v>
      </x:c>
      <x:c r="J1720" s="14" t="n">
        <x:v>720</x:v>
      </x:c>
      <x:c r="K1720" t="str">
        <x:v>DEMO / SIMULATED</x:v>
      </x:c>
    </x:row>
    <x:row r="1721">
      <x:c r="A1721" t="str">
        <x:v>JFD-20240623-0978</x:v>
      </x:c>
      <x:c r="B1721" s="11" t="n">
        <x:v>45466.845138888886</x:v>
      </x:c>
      <x:c r="C1721" s="13" t="n">
        <x:v>0.8451388888888889</x:v>
      </x:c>
      <x:c r="D1721" t="str">
        <x:v>Birtamode</x:v>
      </x:c>
      <x:c r="E1721" t="str">
        <x:v>Pizza Ghar</x:v>
      </x:c>
      <x:c r="F1721" t="str">
        <x:v>Chicken BBQ Feast Pizza</x:v>
      </x:c>
      <x:c r="G1721" t="str">
        <x:v>Food</x:v>
      </x:c>
      <x:c r="H1721" t="n">
        <x:v>4</x:v>
      </x:c>
      <x:c r="I1721" s="14" t="n">
        <x:v>510</x:v>
      </x:c>
      <x:c r="J1721" s="14" t="n">
        <x:v>2040</x:v>
      </x:c>
      <x:c r="K1721" t="str">
        <x:v>DEMO / SIMULATED</x:v>
      </x:c>
    </x:row>
    <x:row r="1722">
      <x:c r="A1722" t="str">
        <x:v>JFD-20261005-0979</x:v>
      </x:c>
      <x:c r="B1722" s="11" t="n">
        <x:v>46300.854166666664</x:v>
      </x:c>
      <x:c r="C1722" s="13" t="n">
        <x:v>0.8541666666666666</x:v>
      </x:c>
      <x:c r="D1722" t="str">
        <x:v>Damak</x:v>
      </x:c>
      <x:c r="E1722" t="str">
        <x:v>Late Night Cravings</x:v>
      </x:c>
      <x:c r="F1722" t="str">
        <x:v>Bottled Water 1L</x:v>
      </x:c>
      <x:c r="G1722" t="str">
        <x:v>Drink</x:v>
      </x:c>
      <x:c r="H1722" t="n">
        <x:v>3</x:v>
      </x:c>
      <x:c r="I1722" s="14" t="n">
        <x:v>40</x:v>
      </x:c>
      <x:c r="J1722" s="14" t="n">
        <x:v>120</x:v>
      </x:c>
      <x:c r="K1722" t="str">
        <x:v>DEMO / SIMULATED</x:v>
      </x:c>
    </x:row>
    <x:row r="1723">
      <x:c r="A1723" t="str">
        <x:v>JFD-20261005-0979</x:v>
      </x:c>
      <x:c r="B1723" s="11" t="n">
        <x:v>46300.66527777778</x:v>
      </x:c>
      <x:c r="C1723" s="13" t="n">
        <x:v>0.6652777777777777</x:v>
      </x:c>
      <x:c r="D1723" t="str">
        <x:v>Damak</x:v>
      </x:c>
      <x:c r="E1723" t="str">
        <x:v>Late Night Cravings</x:v>
      </x:c>
      <x:c r="F1723" t="str">
        <x:v>Mix Fry Rice</x:v>
      </x:c>
      <x:c r="G1723" t="str">
        <x:v>Food</x:v>
      </x:c>
      <x:c r="H1723" t="n">
        <x:v>2</x:v>
      </x:c>
      <x:c r="I1723" s="14" t="n">
        <x:v>280</x:v>
      </x:c>
      <x:c r="J1723" s="14" t="n">
        <x:v>560</x:v>
      </x:c>
      <x:c r="K1723" t="str">
        <x:v>DEMO / SIMULATED</x:v>
      </x:c>
    </x:row>
    <x:row r="1724">
      <x:c r="A1724" t="str">
        <x:v>JFD-20231206-0980</x:v>
      </x:c>
      <x:c r="B1724" s="11" t="n">
        <x:v>45266.55902777778</x:v>
      </x:c>
      <x:c r="C1724" s="13" t="n">
        <x:v>0.5590277777777778</x:v>
      </x:c>
      <x:c r="D1724" t="str">
        <x:v>Damak</x:v>
      </x:c>
      <x:c r="E1724" t="str">
        <x:v>Late Night Cravings</x:v>
      </x:c>
      <x:c r="F1724" t="str">
        <x:v>Coca-Cola 500ml</x:v>
      </x:c>
      <x:c r="G1724" t="str">
        <x:v>Drink</x:v>
      </x:c>
      <x:c r="H1724" t="n">
        <x:v>2</x:v>
      </x:c>
      <x:c r="I1724" s="14" t="n">
        <x:v>80</x:v>
      </x:c>
      <x:c r="J1724" s="14" t="n">
        <x:v>160</x:v>
      </x:c>
      <x:c r="K1724" t="str">
        <x:v>DEMO / SIMULATED</x:v>
      </x:c>
    </x:row>
    <x:row r="1725">
      <x:c r="A1725" t="str">
        <x:v>JFD-20231206-0980</x:v>
      </x:c>
      <x:c r="B1725" s="11" t="n">
        <x:v>45266.66527777778</x:v>
      </x:c>
      <x:c r="C1725" s="13" t="n">
        <x:v>0.6652777777777777</x:v>
      </x:c>
      <x:c r="D1725" t="str">
        <x:v>Damak</x:v>
      </x:c>
      <x:c r="E1725" t="str">
        <x:v>Late Night Cravings</x:v>
      </x:c>
      <x:c r="F1725" t="str">
        <x:v>Mix Fry Rice</x:v>
      </x:c>
      <x:c r="G1725" t="str">
        <x:v>Food</x:v>
      </x:c>
      <x:c r="H1725" t="n">
        <x:v>4</x:v>
      </x:c>
      <x:c r="I1725" s="14" t="n">
        <x:v>230</x:v>
      </x:c>
      <x:c r="J1725" s="14" t="n">
        <x:v>920</x:v>
      </x:c>
      <x:c r="K1725" t="str">
        <x:v>DEMO / SIMULATED</x:v>
      </x:c>
    </x:row>
    <x:row r="1726">
      <x:c r="A1726" t="str">
        <x:v>JFD-20240704-0981</x:v>
      </x:c>
      <x:c r="B1726" s="11" t="n">
        <x:v>45477.48055555556</x:v>
      </x:c>
      <x:c r="C1726" s="13" t="n">
        <x:v>0.48055555555555557</x:v>
      </x:c>
      <x:c r="D1726" t="str">
        <x:v>Birtamode</x:v>
      </x:c>
      <x:c r="E1726" t="str">
        <x:v>Pizza Ghar</x:v>
      </x:c>
      <x:c r="F1726" t="str">
        <x:v>Egg Fried Rice</x:v>
      </x:c>
      <x:c r="G1726" t="str">
        <x:v>Food</x:v>
      </x:c>
      <x:c r="H1726" t="n">
        <x:v>3</x:v>
      </x:c>
      <x:c r="I1726" s="14" t="n">
        <x:v>240</x:v>
      </x:c>
      <x:c r="J1726" s="14" t="n">
        <x:v>720</x:v>
      </x:c>
      <x:c r="K1726" t="str">
        <x:v>DEMO / SIMULATED</x:v>
      </x:c>
    </x:row>
    <x:row r="1727">
      <x:c r="A1727" t="str">
        <x:v>JFD-20260408-0982</x:v>
      </x:c>
      <x:c r="B1727" s="11" t="n">
        <x:v>46120.688888888886</x:v>
      </x:c>
      <x:c r="C1727" s="13" t="n">
        <x:v>0.6888888888888889</x:v>
      </x:c>
      <x:c r="D1727" t="str">
        <x:v>Damak</x:v>
      </x:c>
      <x:c r="E1727" t="str">
        <x:v>Milan’s Bakery</x:v>
      </x:c>
      <x:c r="F1727" t="str">
        <x:v>Vanilla Cake</x:v>
      </x:c>
      <x:c r="G1727" t="str">
        <x:v>Food</x:v>
      </x:c>
      <x:c r="H1727" t="n">
        <x:v>2</x:v>
      </x:c>
      <x:c r="I1727" s="14" t="n">
        <x:v>300</x:v>
      </x:c>
      <x:c r="J1727" s="14" t="n">
        <x:v>600</x:v>
      </x:c>
      <x:c r="K1727" t="str">
        <x:v>DEMO / SIMULATED</x:v>
      </x:c>
    </x:row>
    <x:row r="1728">
      <x:c r="A1728" t="str">
        <x:v>JFD-20260523-0983</x:v>
      </x:c>
      <x:c r="B1728" s="11" t="n">
        <x:v>46165.67638888889</x:v>
      </x:c>
      <x:c r="C1728" s="13" t="n">
        <x:v>0.6763888888888889</x:v>
      </x:c>
      <x:c r="D1728" t="str">
        <x:v>Damak</x:v>
      </x:c>
      <x:c r="E1728" t="str">
        <x:v>Milan’s Bakery</x:v>
      </x:c>
      <x:c r="F1728" t="str">
        <x:v>Coca-Cola 500ml</x:v>
      </x:c>
      <x:c r="G1728" t="str">
        <x:v>Drink</x:v>
      </x:c>
      <x:c r="H1728" t="n">
        <x:v>4</x:v>
      </x:c>
      <x:c r="I1728" s="14" t="n">
        <x:v>100</x:v>
      </x:c>
      <x:c r="J1728" s="14" t="n">
        <x:v>400</x:v>
      </x:c>
      <x:c r="K1728" t="str">
        <x:v>DEMO / SIMULATED</x:v>
      </x:c>
    </x:row>
    <x:row r="1729">
      <x:c r="A1729" t="str">
        <x:v>JFD-20260524-0984</x:v>
      </x:c>
      <x:c r="B1729" s="11" t="n">
        <x:v>46166.72638888889</x:v>
      </x:c>
      <x:c r="C1729" s="13" t="n">
        <x:v>0.7263888888888889</x:v>
      </x:c>
      <x:c r="D1729" t="str">
        <x:v>Birtamode</x:v>
      </x:c>
      <x:c r="E1729" t="str">
        <x:v>Pizza Ghar</x:v>
      </x:c>
      <x:c r="F1729" t="str">
        <x:v>Coca-Cola 500ml</x:v>
      </x:c>
      <x:c r="G1729" t="str">
        <x:v>Drink</x:v>
      </x:c>
      <x:c r="H1729" t="n">
        <x:v>1</x:v>
      </x:c>
      <x:c r="I1729" s="14" t="n">
        <x:v>100</x:v>
      </x:c>
      <x:c r="J1729" s="14" t="n">
        <x:v>100</x:v>
      </x:c>
      <x:c r="K1729" t="str">
        <x:v>DEMO / SIMULATED</x:v>
      </x:c>
    </x:row>
    <x:row r="1730">
      <x:c r="A1730" t="str">
        <x:v>JFD-20260518-0985</x:v>
      </x:c>
      <x:c r="B1730" s="11" t="n">
        <x:v>46160.83194444444</x:v>
      </x:c>
      <x:c r="C1730" s="13" t="n">
        <x:v>0.8319444444444445</x:v>
      </x:c>
      <x:c r="D1730" t="str">
        <x:v>Damak</x:v>
      </x:c>
      <x:c r="E1730" t="str">
        <x:v>Milan’s Bakery</x:v>
      </x:c>
      <x:c r="F1730" t="str">
        <x:v>Red Velvet Cake</x:v>
      </x:c>
      <x:c r="G1730" t="str">
        <x:v>Food</x:v>
      </x:c>
      <x:c r="H1730" t="n">
        <x:v>3</x:v>
      </x:c>
      <x:c r="I1730" s="14" t="n">
        <x:v>900</x:v>
      </x:c>
      <x:c r="J1730" s="14" t="n">
        <x:v>2700</x:v>
      </x:c>
      <x:c r="K1730" t="str">
        <x:v>DEMO / SIMULATED</x:v>
      </x:c>
    </x:row>
    <x:row r="1731">
      <x:c r="A1731" t="str">
        <x:v>JFD-20260518-0985</x:v>
      </x:c>
      <x:c r="B1731" s="11" t="n">
        <x:v>46160.71527777778</x:v>
      </x:c>
      <x:c r="C1731" s="13" t="n">
        <x:v>0.7152777777777778</x:v>
      </x:c>
      <x:c r="D1731" t="str">
        <x:v>Damak</x:v>
      </x:c>
      <x:c r="E1731" t="str">
        <x:v>Milan’s Bakery</x:v>
      </x:c>
      <x:c r="F1731" t="str">
        <x:v>Chocolate Cake</x:v>
      </x:c>
      <x:c r="G1731" t="str">
        <x:v>Food</x:v>
      </x:c>
      <x:c r="H1731" t="n">
        <x:v>4</x:v>
      </x:c>
      <x:c r="I1731" s="14" t="n">
        <x:v>350</x:v>
      </x:c>
      <x:c r="J1731" s="14" t="n">
        <x:v>1400</x:v>
      </x:c>
      <x:c r="K1731" t="str">
        <x:v>DEMO / SIMULATED</x:v>
      </x:c>
    </x:row>
    <x:row r="1732">
      <x:c r="A1732" t="str">
        <x:v>JFD-20230502-0986</x:v>
      </x:c>
      <x:c r="B1732" s="11" t="n">
        <x:v>45048.57083333333</x:v>
      </x:c>
      <x:c r="C1732" s="13" t="n">
        <x:v>0.5708333333333333</x:v>
      </x:c>
      <x:c r="D1732" t="str">
        <x:v>Birtamode</x:v>
      </x:c>
      <x:c r="E1732" t="str">
        <x:v>Pizza Ghar</x:v>
      </x:c>
      <x:c r="F1732" t="str">
        <x:v>Chicken BBQ Feast Pizza</x:v>
      </x:c>
      <x:c r="G1732" t="str">
        <x:v>Food</x:v>
      </x:c>
      <x:c r="H1732" t="n">
        <x:v>1</x:v>
      </x:c>
      <x:c r="I1732" s="14" t="n">
        <x:v>475</x:v>
      </x:c>
      <x:c r="J1732" s="14" t="n">
        <x:v>475</x:v>
      </x:c>
      <x:c r="K1732" t="str">
        <x:v>DEMO / SIMULATED</x:v>
      </x:c>
    </x:row>
    <x:row r="1733">
      <x:c r="A1733" t="str">
        <x:v>JFD-20250430-0987</x:v>
      </x:c>
      <x:c r="B1733" s="11" t="n">
        <x:v>45777.89236111111</x:v>
      </x:c>
      <x:c r="C1733" s="13" t="n">
        <x:v>0.8923611111111112</x:v>
      </x:c>
      <x:c r="D1733" t="str">
        <x:v>Damak</x:v>
      </x:c>
      <x:c r="E1733" t="str">
        <x:v>Late Night Cravings</x:v>
      </x:c>
      <x:c r="F1733" t="str">
        <x:v>Mix Fry Rice</x:v>
      </x:c>
      <x:c r="G1733" t="str">
        <x:v>Food</x:v>
      </x:c>
      <x:c r="H1733" t="n">
        <x:v>1</x:v>
      </x:c>
      <x:c r="I1733" s="14" t="n">
        <x:v>265</x:v>
      </x:c>
      <x:c r="J1733" s="14" t="n">
        <x:v>265</x:v>
      </x:c>
      <x:c r="K1733" t="str">
        <x:v>DEMO / SIMULATED</x:v>
      </x:c>
    </x:row>
    <x:row r="1734">
      <x:c r="A1734" t="str">
        <x:v>JFD-20230115-0988</x:v>
      </x:c>
      <x:c r="B1734" s="11" t="n">
        <x:v>44941.61041666667</x:v>
      </x:c>
      <x:c r="C1734" s="13" t="n">
        <x:v>0.6104166666666667</x:v>
      </x:c>
      <x:c r="D1734" t="str">
        <x:v>Birtamode</x:v>
      </x:c>
      <x:c r="E1734" t="str">
        <x:v>Pizza Ghar</x:v>
      </x:c>
      <x:c r="F1734" t="str">
        <x:v>Coca-Cola 500ml</x:v>
      </x:c>
      <x:c r="G1734" t="str">
        <x:v>Drink</x:v>
      </x:c>
      <x:c r="H1734" t="n">
        <x:v>3</x:v>
      </x:c>
      <x:c r="I1734" s="14" t="n">
        <x:v>80</x:v>
      </x:c>
      <x:c r="J1734" s="14" t="n">
        <x:v>240</x:v>
      </x:c>
      <x:c r="K1734" t="str">
        <x:v>DEMO / SIMULATED</x:v>
      </x:c>
    </x:row>
    <x:row r="1735">
      <x:c r="A1735" t="str">
        <x:v>JFD-20230115-0988</x:v>
      </x:c>
      <x:c r="B1735" s="11" t="n">
        <x:v>44941.78680555556</x:v>
      </x:c>
      <x:c r="C1735" s="13" t="n">
        <x:v>0.7868055555555555</x:v>
      </x:c>
      <x:c r="D1735" t="str">
        <x:v>Birtamode</x:v>
      </x:c>
      <x:c r="E1735" t="str">
        <x:v>Pizza Ghar</x:v>
      </x:c>
      <x:c r="F1735" t="str">
        <x:v>Bottled Water 1L</x:v>
      </x:c>
      <x:c r="G1735" t="str">
        <x:v>Drink</x:v>
      </x:c>
      <x:c r="H1735" t="n">
        <x:v>4</x:v>
      </x:c>
      <x:c r="I1735" s="14" t="n">
        <x:v>35</x:v>
      </x:c>
      <x:c r="J1735" s="14" t="n">
        <x:v>140</x:v>
      </x:c>
      <x:c r="K1735" t="str">
        <x:v>DEMO / SIMULATED</x:v>
      </x:c>
    </x:row>
    <x:row r="1736">
      <x:c r="A1736" t="str">
        <x:v>JFD-20230620-0989</x:v>
      </x:c>
      <x:c r="B1736" s="11" t="n">
        <x:v>45097.61736111111</x:v>
      </x:c>
      <x:c r="C1736" s="13" t="n">
        <x:v>0.6173611111111111</x:v>
      </x:c>
      <x:c r="D1736" t="str">
        <x:v>Damak</x:v>
      </x:c>
      <x:c r="E1736" t="str">
        <x:v>Milan’s Bakery</x:v>
      </x:c>
      <x:c r="F1736" t="str">
        <x:v>Red Velvet Cake</x:v>
      </x:c>
      <x:c r="G1736" t="str">
        <x:v>Food</x:v>
      </x:c>
      <x:c r="H1736" t="n">
        <x:v>3</x:v>
      </x:c>
      <x:c r="I1736" s="14" t="n">
        <x:v>740</x:v>
      </x:c>
      <x:c r="J1736" s="14" t="n">
        <x:v>2220</x:v>
      </x:c>
      <x:c r="K1736" t="str">
        <x:v>DEMO / SIMULATED</x:v>
      </x:c>
    </x:row>
    <x:row r="1737">
      <x:c r="A1737" t="str">
        <x:v>JFD-20230620-0989</x:v>
      </x:c>
      <x:c r="B1737" s="11" t="n">
        <x:v>45097.56736111111</x:v>
      </x:c>
      <x:c r="C1737" s="13" t="n">
        <x:v>0.5673611111111111</x:v>
      </x:c>
      <x:c r="D1737" t="str">
        <x:v>Damak</x:v>
      </x:c>
      <x:c r="E1737" t="str">
        <x:v>Milan’s Bakery</x:v>
      </x:c>
      <x:c r="F1737" t="str">
        <x:v>Black Forest Cake</x:v>
      </x:c>
      <x:c r="G1737" t="str">
        <x:v>Food</x:v>
      </x:c>
      <x:c r="H1737" t="n">
        <x:v>1</x:v>
      </x:c>
      <x:c r="I1737" s="14" t="n">
        <x:v>245</x:v>
      </x:c>
      <x:c r="J1737" s="14" t="n">
        <x:v>245</x:v>
      </x:c>
      <x:c r="K1737" t="str">
        <x:v>DEMO / SIMULATED</x:v>
      </x:c>
    </x:row>
    <x:row r="1738">
      <x:c r="A1738" t="str">
        <x:v>JFD-20241231-0990</x:v>
      </x:c>
      <x:c r="B1738" s="11" t="n">
        <x:v>45657.745833333334</x:v>
      </x:c>
      <x:c r="C1738" s="13" t="n">
        <x:v>0.7458333333333333</x:v>
      </x:c>
      <x:c r="D1738" t="str">
        <x:v>Damak</x:v>
      </x:c>
      <x:c r="E1738" t="str">
        <x:v>Late Night Cravings</x:v>
      </x:c>
      <x:c r="F1738" t="str">
        <x:v>Mix Fry Rice</x:v>
      </x:c>
      <x:c r="G1738" t="str">
        <x:v>Food</x:v>
      </x:c>
      <x:c r="H1738" t="n">
        <x:v>1</x:v>
      </x:c>
      <x:c r="I1738" s="14" t="n">
        <x:v>245</x:v>
      </x:c>
      <x:c r="J1738" s="14" t="n">
        <x:v>245</x:v>
      </x:c>
      <x:c r="K1738" t="str">
        <x:v>DEMO / SIMULATED</x:v>
      </x:c>
    </x:row>
    <x:row r="1739">
      <x:c r="A1739" t="str">
        <x:v>JFD-20240507-0991</x:v>
      </x:c>
      <x:c r="B1739" s="11" t="n">
        <x:v>45419.75763888889</x:v>
      </x:c>
      <x:c r="C1739" s="13" t="n">
        <x:v>0.7576388888888889</x:v>
      </x:c>
      <x:c r="D1739" t="str">
        <x:v>Damak</x:v>
      </x:c>
      <x:c r="E1739" t="str">
        <x:v>Late Night Cravings</x:v>
      </x:c>
      <x:c r="F1739" t="str">
        <x:v>Veg Fry Rice</x:v>
      </x:c>
      <x:c r="G1739" t="str">
        <x:v>Food</x:v>
      </x:c>
      <x:c r="H1739" t="n">
        <x:v>2</x:v>
      </x:c>
      <x:c r="I1739" s="14" t="n">
        <x:v>140</x:v>
      </x:c>
      <x:c r="J1739" s="14" t="n">
        <x:v>280</x:v>
      </x:c>
      <x:c r="K1739" t="str">
        <x:v>DEMO / SIMULATED</x:v>
      </x:c>
    </x:row>
    <x:row r="1740">
      <x:c r="A1740" t="str">
        <x:v>JFD-20230705-0992</x:v>
      </x:c>
      <x:c r="B1740" s="11" t="n">
        <x:v>45112.50902777778</x:v>
      </x:c>
      <x:c r="C1740" s="13" t="n">
        <x:v>0.5090277777777777</x:v>
      </x:c>
      <x:c r="D1740" t="str">
        <x:v>Damak</x:v>
      </x:c>
      <x:c r="E1740" t="str">
        <x:v>Milan’s Bakery</x:v>
      </x:c>
      <x:c r="F1740" t="str">
        <x:v>Black Forest Cake</x:v>
      </x:c>
      <x:c r="G1740" t="str">
        <x:v>Food</x:v>
      </x:c>
      <x:c r="H1740" t="n">
        <x:v>4</x:v>
      </x:c>
      <x:c r="I1740" s="14" t="n">
        <x:v>245</x:v>
      </x:c>
      <x:c r="J1740" s="14" t="n">
        <x:v>980</x:v>
      </x:c>
      <x:c r="K1740" t="str">
        <x:v>DEMO / SIMULATED</x:v>
      </x:c>
    </x:row>
    <x:row r="1741">
      <x:c r="A1741" t="str">
        <x:v>JFD-20230705-0992</x:v>
      </x:c>
      <x:c r="B1741" s="11" t="n">
        <x:v>45112.50902777778</x:v>
      </x:c>
      <x:c r="C1741" s="13" t="n">
        <x:v>0.5090277777777777</x:v>
      </x:c>
      <x:c r="D1741" t="str">
        <x:v>Damak</x:v>
      </x:c>
      <x:c r="E1741" t="str">
        <x:v>Milan’s Bakery</x:v>
      </x:c>
      <x:c r="F1741" t="str">
        <x:v>Bottled Water 1L</x:v>
      </x:c>
      <x:c r="G1741" t="str">
        <x:v>Drink</x:v>
      </x:c>
      <x:c r="H1741" t="n">
        <x:v>4</x:v>
      </x:c>
      <x:c r="I1741" s="14" t="n">
        <x:v>35</x:v>
      </x:c>
      <x:c r="J1741" s="14" t="n">
        <x:v>140</x:v>
      </x:c>
      <x:c r="K1741" t="str">
        <x:v>DEMO / SIMULATED</x:v>
      </x:c>
    </x:row>
    <x:row r="1742">
      <x:c r="A1742" t="str">
        <x:v>JFD-20260714-0993</x:v>
      </x:c>
      <x:c r="B1742" s="11" t="n">
        <x:v>46217.62013888889</x:v>
      </x:c>
      <x:c r="C1742" s="13" t="n">
        <x:v>0.6201388888888889</x:v>
      </x:c>
      <x:c r="D1742" t="str">
        <x:v>Birtamode</x:v>
      </x:c>
      <x:c r="E1742" t="str">
        <x:v>The Underground Cafe &amp; Restaurant</x:v>
      </x:c>
      <x:c r="F1742" t="str">
        <x:v>Paneer Pakauda</x:v>
      </x:c>
      <x:c r="G1742" t="str">
        <x:v>Food</x:v>
      </x:c>
      <x:c r="H1742" t="n">
        <x:v>1</x:v>
      </x:c>
      <x:c r="I1742" s="14" t="n">
        <x:v>225</x:v>
      </x:c>
      <x:c r="J1742" s="14" t="n">
        <x:v>225</x:v>
      </x:c>
      <x:c r="K1742" t="str">
        <x:v>DEMO / SIMULATED</x:v>
      </x:c>
    </x:row>
    <x:row r="1743">
      <x:c r="A1743" t="str">
        <x:v>JFD-20260714-0993</x:v>
      </x:c>
      <x:c r="B1743" s="11" t="n">
        <x:v>46217.74930555555</x:v>
      </x:c>
      <x:c r="C1743" s="13" t="n">
        <x:v>0.7493055555555556</x:v>
      </x:c>
      <x:c r="D1743" t="str">
        <x:v>Birtamode</x:v>
      </x:c>
      <x:c r="E1743" t="str">
        <x:v>The Underground Cafe &amp; Restaurant</x:v>
      </x:c>
      <x:c r="F1743" t="str">
        <x:v>Bottled Water 1L</x:v>
      </x:c>
      <x:c r="G1743" t="str">
        <x:v>Drink</x:v>
      </x:c>
      <x:c r="H1743" t="n">
        <x:v>4</x:v>
      </x:c>
      <x:c r="I1743" s="14" t="n">
        <x:v>40</x:v>
      </x:c>
      <x:c r="J1743" s="14" t="n">
        <x:v>160</x:v>
      </x:c>
      <x:c r="K1743" t="str">
        <x:v>DEMO / SIMULATED</x:v>
      </x:c>
    </x:row>
    <x:row r="1744">
      <x:c r="A1744" t="str">
        <x:v>JFD-20250426-0994</x:v>
      </x:c>
      <x:c r="B1744" s="11" t="n">
        <x:v>45773.59861111111</x:v>
      </x:c>
      <x:c r="C1744" s="13" t="n">
        <x:v>0.5986111111111111</x:v>
      </x:c>
      <x:c r="D1744" t="str">
        <x:v>Birtamode</x:v>
      </x:c>
      <x:c r="E1744" t="str">
        <x:v>Pizza Ghar</x:v>
      </x:c>
      <x:c r="F1744" t="str">
        <x:v>Bottled Water 1L</x:v>
      </x:c>
      <x:c r="G1744" t="str">
        <x:v>Drink</x:v>
      </x:c>
      <x:c r="H1744" t="n">
        <x:v>1</x:v>
      </x:c>
      <x:c r="I1744" s="14" t="n">
        <x:v>40</x:v>
      </x:c>
      <x:c r="J1744" s="14" t="n">
        <x:v>40</x:v>
      </x:c>
      <x:c r="K1744" t="str">
        <x:v>DEMO / SIMULATED</x:v>
      </x:c>
    </x:row>
    <x:row r="1745">
      <x:c r="A1745" t="str">
        <x:v>JFD-20250620-0995</x:v>
      </x:c>
      <x:c r="B1745" s="11" t="n">
        <x:v>45828.46875</x:v>
      </x:c>
      <x:c r="C1745" s="13" t="n">
        <x:v>0.46875</x:v>
      </x:c>
      <x:c r="D1745" t="str">
        <x:v>Damak</x:v>
      </x:c>
      <x:c r="E1745" t="str">
        <x:v>Milan’s Bakery</x:v>
      </x:c>
      <x:c r="F1745" t="str">
        <x:v>Vanilla Cake</x:v>
      </x:c>
      <x:c r="G1745" t="str">
        <x:v>Food</x:v>
      </x:c>
      <x:c r="H1745" t="n">
        <x:v>2</x:v>
      </x:c>
      <x:c r="I1745" s="14" t="n">
        <x:v>280</x:v>
      </x:c>
      <x:c r="J1745" s="14" t="n">
        <x:v>560</x:v>
      </x:c>
      <x:c r="K1745" t="str">
        <x:v>DEMO / SIMULATED</x:v>
      </x:c>
    </x:row>
    <x:row r="1746">
      <x:c r="A1746" t="str">
        <x:v>JFD-20250620-0995</x:v>
      </x:c>
      <x:c r="B1746" s="11" t="n">
        <x:v>45828.520833333336</x:v>
      </x:c>
      <x:c r="C1746" s="13" t="n">
        <x:v>0.5208333333333334</x:v>
      </x:c>
      <x:c r="D1746" t="str">
        <x:v>Damak</x:v>
      </x:c>
      <x:c r="E1746" t="str">
        <x:v>Milan’s Bakery</x:v>
      </x:c>
      <x:c r="F1746" t="str">
        <x:v>Red Velvet Cake</x:v>
      </x:c>
      <x:c r="G1746" t="str">
        <x:v>Food</x:v>
      </x:c>
      <x:c r="H1746" t="n">
        <x:v>2</x:v>
      </x:c>
      <x:c r="I1746" s="14" t="n">
        <x:v>845</x:v>
      </x:c>
      <x:c r="J1746" s="14" t="n">
        <x:v>1690</x:v>
      </x:c>
      <x:c r="K1746" t="str">
        <x:v>DEMO / SIMULATED</x:v>
      </x:c>
    </x:row>
    <x:row r="1747">
      <x:c r="A1747" t="str">
        <x:v>JFD-20250620-0995</x:v>
      </x:c>
      <x:c r="B1747" s="11" t="n">
        <x:v>45828.739583333336</x:v>
      </x:c>
      <x:c r="C1747" s="13" t="n">
        <x:v>0.7395833333333334</x:v>
      </x:c>
      <x:c r="D1747" t="str">
        <x:v>Damak</x:v>
      </x:c>
      <x:c r="E1747" t="str">
        <x:v>Milan’s Bakery</x:v>
      </x:c>
      <x:c r="F1747" t="str">
        <x:v>Black Forest Cake</x:v>
      </x:c>
      <x:c r="G1747" t="str">
        <x:v>Food</x:v>
      </x:c>
      <x:c r="H1747" t="n">
        <x:v>3</x:v>
      </x:c>
      <x:c r="I1747" s="14" t="n">
        <x:v>280</x:v>
      </x:c>
      <x:c r="J1747" s="14" t="n">
        <x:v>840</x:v>
      </x:c>
      <x:c r="K1747" t="str">
        <x:v>DEMO / SIMULATED</x:v>
      </x:c>
    </x:row>
    <x:row r="1748">
      <x:c r="A1748" t="str">
        <x:v>JFD-20250203-0996</x:v>
      </x:c>
      <x:c r="B1748" s="11" t="n">
        <x:v>45691.84652777778</x:v>
      </x:c>
      <x:c r="C1748" s="13" t="n">
        <x:v>0.8465277777777778</x:v>
      </x:c>
      <x:c r="D1748" t="str">
        <x:v>Damak</x:v>
      </x:c>
      <x:c r="E1748" t="str">
        <x:v>Milan’s Bakery</x:v>
      </x:c>
      <x:c r="F1748" t="str">
        <x:v>Black Forest Cake</x:v>
      </x:c>
      <x:c r="G1748" t="str">
        <x:v>Food</x:v>
      </x:c>
      <x:c r="H1748" t="n">
        <x:v>3</x:v>
      </x:c>
      <x:c r="I1748" s="14" t="n">
        <x:v>280</x:v>
      </x:c>
      <x:c r="J1748" s="14" t="n">
        <x:v>840</x:v>
      </x:c>
      <x:c r="K1748" t="str">
        <x:v>DEMO / SIMULATED</x:v>
      </x:c>
    </x:row>
    <x:row r="1749">
      <x:c r="A1749" t="str">
        <x:v>JFD-20250203-0996</x:v>
      </x:c>
      <x:c r="B1749" s="11" t="n">
        <x:v>45691.60625</x:v>
      </x:c>
      <x:c r="C1749" s="13" t="n">
        <x:v>0.60625</x:v>
      </x:c>
      <x:c r="D1749" t="str">
        <x:v>Damak</x:v>
      </x:c>
      <x:c r="E1749" t="str">
        <x:v>Milan’s Bakery</x:v>
      </x:c>
      <x:c r="F1749" t="str">
        <x:v>Red Velvet Cake</x:v>
      </x:c>
      <x:c r="G1749" t="str">
        <x:v>Food</x:v>
      </x:c>
      <x:c r="H1749" t="n">
        <x:v>4</x:v>
      </x:c>
      <x:c r="I1749" s="14" t="n">
        <x:v>845</x:v>
      </x:c>
      <x:c r="J1749" s="14" t="n">
        <x:v>3380</x:v>
      </x:c>
      <x:c r="K1749" t="str">
        <x:v>DEMO / SIMULATED</x:v>
      </x:c>
    </x:row>
    <x:row r="1750">
      <x:c r="A1750" t="str">
        <x:v>JFD-20260911-0997</x:v>
      </x:c>
      <x:c r="B1750" s="11" t="n">
        <x:v>46276.71875</x:v>
      </x:c>
      <x:c r="C1750" s="13" t="n">
        <x:v>0.71875</x:v>
      </x:c>
      <x:c r="D1750" t="str">
        <x:v>Birtamode</x:v>
      </x:c>
      <x:c r="E1750" t="str">
        <x:v>The Underground Cafe &amp; Restaurant</x:v>
      </x:c>
      <x:c r="F1750" t="str">
        <x:v>Veg Pakauda</x:v>
      </x:c>
      <x:c r="G1750" t="str">
        <x:v>Food</x:v>
      </x:c>
      <x:c r="H1750" t="n">
        <x:v>4</x:v>
      </x:c>
      <x:c r="I1750" s="14" t="n">
        <x:v>175</x:v>
      </x:c>
      <x:c r="J1750" s="14" t="n">
        <x:v>700</x:v>
      </x:c>
      <x:c r="K1750" t="str">
        <x:v>DEMO / SIMULATED</x:v>
      </x:c>
    </x:row>
    <x:row r="1751">
      <x:c r="A1751" t="str">
        <x:v>JFD-20240910-0998</x:v>
      </x:c>
      <x:c r="B1751" s="11" t="n">
        <x:v>45545.48263888889</x:v>
      </x:c>
      <x:c r="C1751" s="13" t="n">
        <x:v>0.4826388888888889</x:v>
      </x:c>
      <x:c r="D1751" t="str">
        <x:v>Damak</x:v>
      </x:c>
      <x:c r="E1751" t="str">
        <x:v>Milan’s Bakery</x:v>
      </x:c>
      <x:c r="F1751" t="str">
        <x:v>Red Velvet Cake</x:v>
      </x:c>
      <x:c r="G1751" t="str">
        <x:v>Food</x:v>
      </x:c>
      <x:c r="H1751" t="n">
        <x:v>1</x:v>
      </x:c>
      <x:c r="I1751" s="14" t="n">
        <x:v>790</x:v>
      </x:c>
      <x:c r="J1751" s="14" t="n">
        <x:v>790</x:v>
      </x:c>
      <x:c r="K1751" t="str">
        <x:v>DEMO / SIMULATED</x:v>
      </x:c>
    </x:row>
    <x:row r="1752">
      <x:c r="A1752" t="str">
        <x:v>JFD-20241221-0999</x:v>
      </x:c>
      <x:c r="B1752" s="11" t="n">
        <x:v>45647.81875</x:v>
      </x:c>
      <x:c r="C1752" s="13" t="n">
        <x:v>0.81875</x:v>
      </x:c>
      <x:c r="D1752" t="str">
        <x:v>Damak</x:v>
      </x:c>
      <x:c r="E1752" t="str">
        <x:v>Late Night Cravings</x:v>
      </x:c>
      <x:c r="F1752" t="str">
        <x:v>Coca-Cola 500ml</x:v>
      </x:c>
      <x:c r="G1752" t="str">
        <x:v>Drink</x:v>
      </x:c>
      <x:c r="H1752" t="n">
        <x:v>2</x:v>
      </x:c>
      <x:c r="I1752" s="14" t="n">
        <x:v>90</x:v>
      </x:c>
      <x:c r="J1752" s="14" t="n">
        <x:v>180</x:v>
      </x:c>
      <x:c r="K1752" t="str">
        <x:v>DEMO / SIMULATED</x:v>
      </x:c>
    </x:row>
    <x:row r="1753">
      <x:c r="A1753" t="str">
        <x:v>JFD-20241221-0999</x:v>
      </x:c>
      <x:c r="B1753" s="11" t="n">
        <x:v>45647.87708333333</x:v>
      </x:c>
      <x:c r="C1753" s="13" t="n">
        <x:v>0.8770833333333333</x:v>
      </x:c>
      <x:c r="D1753" t="str">
        <x:v>Damak</x:v>
      </x:c>
      <x:c r="E1753" t="str">
        <x:v>Late Night Cravings</x:v>
      </x:c>
      <x:c r="F1753" t="str">
        <x:v>Veg Fry Rice</x:v>
      </x:c>
      <x:c r="G1753" t="str">
        <x:v>Food</x:v>
      </x:c>
      <x:c r="H1753" t="n">
        <x:v>1</x:v>
      </x:c>
      <x:c r="I1753" s="14" t="n">
        <x:v>140</x:v>
      </x:c>
      <x:c r="J1753" s="14" t="n">
        <x:v>140</x:v>
      </x:c>
      <x:c r="K1753" t="str">
        <x:v>DEMO / SIMULATED</x:v>
      </x:c>
    </x:row>
    <x:row r="1754">
      <x:c r="A1754" t="str">
        <x:v>JFD-20250505-1000</x:v>
      </x:c>
      <x:c r="B1754" s="11" t="n">
        <x:v>45782.48402777778</x:v>
      </x:c>
      <x:c r="C1754" s="13" t="n">
        <x:v>0.4840277777777778</x:v>
      </x:c>
      <x:c r="D1754" t="str">
        <x:v>Damak</x:v>
      </x:c>
      <x:c r="E1754" t="str">
        <x:v>Late Night Cravings</x:v>
      </x:c>
      <x:c r="F1754" t="str">
        <x:v>Veg Fry Rice</x:v>
      </x:c>
      <x:c r="G1754" t="str">
        <x:v>Food</x:v>
      </x:c>
      <x:c r="H1754" t="n">
        <x:v>2</x:v>
      </x:c>
      <x:c r="I1754" s="14" t="n">
        <x:v>150</x:v>
      </x:c>
      <x:c r="J1754" s="14" t="n">
        <x:v>300</x:v>
      </x:c>
      <x:c r="K1754" t="str">
        <x:v>DEMO / SIMULATED</x:v>
      </x:c>
    </x:row>
    <x:row r="1755">
      <x:c r="A1755" t="str">
        <x:v>JFD-20250505-1000</x:v>
      </x:c>
      <x:c r="B1755" s="11" t="n">
        <x:v>45782.60486111111</x:v>
      </x:c>
      <x:c r="C1755" s="13" t="n">
        <x:v>0.6048611111111111</x:v>
      </x:c>
      <x:c r="D1755" t="str">
        <x:v>Damak</x:v>
      </x:c>
      <x:c r="E1755" t="str">
        <x:v>Late Night Cravings</x:v>
      </x:c>
      <x:c r="F1755" t="str">
        <x:v>Coca-Cola 500ml</x:v>
      </x:c>
      <x:c r="G1755" t="str">
        <x:v>Drink</x:v>
      </x:c>
      <x:c r="H1755" t="n">
        <x:v>4</x:v>
      </x:c>
      <x:c r="I1755" s="14" t="n">
        <x:v>95</x:v>
      </x:c>
      <x:c r="J1755" s="14" t="n">
        <x:v>380</x:v>
      </x:c>
      <x:c r="K1755" t="str">
        <x:v>DEMO / SIMULATED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93e98a52a4f4bc2"/>
  </x:tableParts>
</x:worksheet>
</file>

<file path=xl/worksheets/sheet5.xml><?xml version="1.0" encoding="utf-8"?>
<x:worksheet xmlns:x="http://schemas.openxmlformats.org/spreadsheetml/2006/main">
  <x:sheetPr>
    <x:tabColor rgb="FF3B3B3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6" hidden="0" customWidth="1"/>
    <x:col min="5" max="5" width="36" hidden="0" customWidth="1"/>
    <x:col min="6" max="6" width="20" hidden="0" customWidth="1"/>
    <x:col min="7" max="7" width="22" hidden="0" customWidth="1"/>
  </x:cols>
  <x:sheetData>
    <x:row r="1" ht="36" customHeight="1">
      <x:c r="A1" s="4" t="str">
        <x:v>ORDER SUMMARY  |  One row per sale ID</x:v>
      </x:c>
      <x:c r="B1" s="4"/>
      <x:c r="C1" s="4"/>
      <x:c r="D1" s="4"/>
      <x:c r="E1" s="4"/>
      <x:c r="F1" s="4"/>
      <x:c r="G1" s="4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8" t="str">
        <x:v>Sale ID</x:v>
      </x:c>
      <x:c r="B2" s="8" t="str">
        <x:v>Sale Date</x:v>
      </x:c>
      <x:c r="C2" s="8" t="str">
        <x:v>Sale Time</x:v>
      </x:c>
      <x:c r="D2" s="8" t="str">
        <x:v>Branch</x:v>
      </x:c>
      <x:c r="E2" s="8" t="str">
        <x:v>Restaurant</x:v>
      </x:c>
      <x:c r="F2" s="8" t="str">
        <x:v>Sale Total (NPR)</x:v>
      </x:c>
      <x:c r="G2" s="8" t="str">
        <x:v>Data Status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JFD-20230619-0001</x:v>
      </x:c>
      <x:c r="B3" s="9" t="n">
        <x:v>45096.756944444445</x:v>
      </x:c>
      <x:c r="C3" s="12" t="n">
        <x:v>0.7569444444444444</x:v>
      </x:c>
      <x:c r="D3" s="1" t="str">
        <x:v>Birtamode</x:v>
      </x:c>
      <x:c r="E3" s="1" t="str">
        <x:v>The Underground Cafe &amp; Restaurant</x:v>
      </x:c>
      <x:c r="F3" s="10" t="n">
        <x:v>500</x:v>
      </x:c>
      <x:c r="G3" s="1" t="str">
        <x:v>DEMO / SIMULATED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JFD-20230717-0002</x:v>
      </x:c>
      <x:c r="B4" s="9" t="n">
        <x:v>45124.5125</x:v>
      </x:c>
      <x:c r="C4" s="12" t="n">
        <x:v>0.5125</x:v>
      </x:c>
      <x:c r="D4" s="1" t="str">
        <x:v>Birtamode</x:v>
      </x:c>
      <x:c r="E4" s="1" t="str">
        <x:v>The Underground Cafe &amp; Restaurant</x:v>
      </x:c>
      <x:c r="F4" s="10" t="n">
        <x:v>435</x:v>
      </x:c>
      <x:c r="G4" s="1" t="str">
        <x:v>DEMO / SIMULATED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JFD-20240416-0003</x:v>
      </x:c>
      <x:c r="B5" s="9" t="n">
        <x:v>45398.86319444444</x:v>
      </x:c>
      <x:c r="C5" s="12" t="n">
        <x:v>0.8631944444444445</x:v>
      </x:c>
      <x:c r="D5" s="1" t="str">
        <x:v>Damak</x:v>
      </x:c>
      <x:c r="E5" s="1" t="str">
        <x:v>Milan’s Bakery</x:v>
      </x:c>
      <x:c r="F5" s="10" t="n">
        <x:v>1590</x:v>
      </x:c>
      <x:c r="G5" s="1" t="str">
        <x:v>DEMO / SIMULATED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JFD-20230914-0004</x:v>
      </x:c>
      <x:c r="B6" s="9" t="n">
        <x:v>45183.63888888889</x:v>
      </x:c>
      <x:c r="C6" s="12" t="n">
        <x:v>0.6388888888888888</x:v>
      </x:c>
      <x:c r="D6" s="1" t="str">
        <x:v>Damak</x:v>
      </x:c>
      <x:c r="E6" s="1" t="str">
        <x:v>Late Night Cravings</x:v>
      </x:c>
      <x:c r="F6" s="10" t="n">
        <x:v>495</x:v>
      </x:c>
      <x:c r="G6" s="1" t="str">
        <x:v>DEMO / SIMULATED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JFD-20240519-0005</x:v>
      </x:c>
      <x:c r="B7" s="9" t="n">
        <x:v>45431.6375</x:v>
      </x:c>
      <x:c r="C7" s="12" t="n">
        <x:v>0.6375</x:v>
      </x:c>
      <x:c r="D7" s="1" t="str">
        <x:v>Damak</x:v>
      </x:c>
      <x:c r="E7" s="1" t="str">
        <x:v>Milan’s Bakery</x:v>
      </x:c>
      <x:c r="F7" s="10" t="n">
        <x:v>535</x:v>
      </x:c>
      <x:c r="G7" s="1" t="str">
        <x:v>DEMO / SIMULATED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JFD-20251223-0006</x:v>
      </x:c>
      <x:c r="B8" s="9" t="n">
        <x:v>46014.472916666666</x:v>
      </x:c>
      <x:c r="C8" s="12" t="n">
        <x:v>0.47291666666666665</x:v>
      </x:c>
      <x:c r="D8" s="1" t="str">
        <x:v>Damak</x:v>
      </x:c>
      <x:c r="E8" s="1" t="str">
        <x:v>Milan’s Bakery</x:v>
      </x:c>
      <x:c r="F8" s="10" t="n">
        <x:v>95</x:v>
      </x:c>
      <x:c r="G8" s="1" t="str">
        <x:v>DEMO / SIMULATED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JFD-20240421-0007</x:v>
      </x:c>
      <x:c r="B9" s="9" t="n">
        <x:v>45403.68263888889</x:v>
      </x:c>
      <x:c r="C9" s="12" t="n">
        <x:v>0.6826388888888889</x:v>
      </x:c>
      <x:c r="D9" s="1" t="str">
        <x:v>Damak</x:v>
      </x:c>
      <x:c r="E9" s="1" t="str">
        <x:v>Milan’s Bakery</x:v>
      </x:c>
      <x:c r="F9" s="10" t="n">
        <x:v>1160</x:v>
      </x:c>
      <x:c r="G9" s="1" t="str">
        <x:v>DEMO / SIMULATED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JFD-20251004-0008</x:v>
      </x:c>
      <x:c r="B10" s="9" t="n">
        <x:v>45934.893055555556</x:v>
      </x:c>
      <x:c r="C10" s="12" t="n">
        <x:v>0.8930555555555556</x:v>
      </x:c>
      <x:c r="D10" s="1" t="str">
        <x:v>Birtamode</x:v>
      </x:c>
      <x:c r="E10" s="1" t="str">
        <x:v>Pizza Ghar</x:v>
      </x:c>
      <x:c r="F10" s="10" t="n">
        <x:v>820</x:v>
      </x:c>
      <x:c r="G10" s="1" t="str">
        <x:v>DEMO / SIMULATED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JFD-20240519-0009</x:v>
      </x:c>
      <x:c r="B11" s="9" t="n">
        <x:v>45431.87152777778</x:v>
      </x:c>
      <x:c r="C11" s="12" t="n">
        <x:v>0.8715277777777778</x:v>
      </x:c>
      <x:c r="D11" s="1" t="str">
        <x:v>Damak</x:v>
      </x:c>
      <x:c r="E11" s="1" t="str">
        <x:v>Late Night Cravings</x:v>
      </x:c>
      <x:c r="F11" s="10" t="n">
        <x:v>700</x:v>
      </x:c>
      <x:c r="G11" s="1" t="str">
        <x:v>DEMO / SIMULATED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JFD-20241118-0010</x:v>
      </x:c>
      <x:c r="B12" s="9" t="n">
        <x:v>45614.77916666667</x:v>
      </x:c>
      <x:c r="C12" s="12" t="n">
        <x:v>0.7791666666666667</x:v>
      </x:c>
      <x:c r="D12" s="1" t="str">
        <x:v>Damak</x:v>
      </x:c>
      <x:c r="E12" s="1" t="str">
        <x:v>Late Night Cravings</x:v>
      </x:c>
      <x:c r="F12" s="10" t="n">
        <x:v>655</x:v>
      </x:c>
      <x:c r="G12" s="1" t="str">
        <x:v>DEMO / SIMULATED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JFD-20250830-0011</x:v>
      </x:c>
      <x:c r="B13" s="9" t="n">
        <x:v>45899.884722222225</x:v>
      </x:c>
      <x:c r="C13" s="12" t="n">
        <x:v>0.8847222222222222</x:v>
      </x:c>
      <x:c r="D13" s="1" t="str">
        <x:v>Damak</x:v>
      </x:c>
      <x:c r="E13" s="1" t="str">
        <x:v>Milan’s Bakery</x:v>
      </x:c>
      <x:c r="F13" s="10" t="n">
        <x:v>1505</x:v>
      </x:c>
      <x:c r="G13" s="1" t="str">
        <x:v>DEMO / SIMULATED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JFD-20240821-0012</x:v>
      </x:c>
      <x:c r="B14" s="9" t="n">
        <x:v>45525.44305555556</x:v>
      </x:c>
      <x:c r="C14" s="12" t="n">
        <x:v>0.44305555555555554</x:v>
      </x:c>
      <x:c r="D14" s="1" t="str">
        <x:v>Birtamode</x:v>
      </x:c>
      <x:c r="E14" s="1" t="str">
        <x:v>The Underground Cafe &amp; Restaurant</x:v>
      </x:c>
      <x:c r="F14" s="10" t="n">
        <x:v>35</x:v>
      </x:c>
      <x:c r="G14" s="1" t="str">
        <x:v>DEMO / SIMULATED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JFD-20251012-0013</x:v>
      </x:c>
      <x:c r="B15" s="9" t="n">
        <x:v>45942.45972222222</x:v>
      </x:c>
      <x:c r="C15" s="12" t="n">
        <x:v>0.4597222222222222</x:v>
      </x:c>
      <x:c r="D15" s="1" t="str">
        <x:v>Birtamode</x:v>
      </x:c>
      <x:c r="E15" s="1" t="str">
        <x:v>The Underground Cafe &amp; Restaurant</x:v>
      </x:c>
      <x:c r="F15" s="10" t="n">
        <x:v>190</x:v>
      </x:c>
      <x:c r="G15" s="1" t="str">
        <x:v>DEMO / SIMULATED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JFD-20250409-0014</x:v>
      </x:c>
      <x:c r="B16" s="9" t="n">
        <x:v>45756.57013888889</x:v>
      </x:c>
      <x:c r="C16" s="12" t="n">
        <x:v>0.5701388888888889</x:v>
      </x:c>
      <x:c r="D16" s="1" t="str">
        <x:v>Birtamode</x:v>
      </x:c>
      <x:c r="E16" s="1" t="str">
        <x:v>The Underground Cafe &amp; Restaurant</x:v>
      </x:c>
      <x:c r="F16" s="10" t="n">
        <x:v>920</x:v>
      </x:c>
      <x:c r="G16" s="1" t="str">
        <x:v>DEMO / SIMULATED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JFD-20250303-0015</x:v>
      </x:c>
      <x:c r="B17" s="9" t="n">
        <x:v>45719.65</x:v>
      </x:c>
      <x:c r="C17" s="12" t="n">
        <x:v>0.65</x:v>
      </x:c>
      <x:c r="D17" s="1" t="str">
        <x:v>Birtamode</x:v>
      </x:c>
      <x:c r="E17" s="1" t="str">
        <x:v>The Underground Cafe &amp; Restaurant</x:v>
      </x:c>
      <x:c r="F17" s="10" t="n">
        <x:v>40</x:v>
      </x:c>
      <x:c r="G17" s="1" t="str">
        <x:v>DEMO / SIMULATED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JFD-20251102-0016</x:v>
      </x:c>
      <x:c r="B18" s="9" t="n">
        <x:v>45963.62847222222</x:v>
      </x:c>
      <x:c r="C18" s="12" t="n">
        <x:v>0.6284722222222222</x:v>
      </x:c>
      <x:c r="D18" s="1" t="str">
        <x:v>Birtamode</x:v>
      </x:c>
      <x:c r="E18" s="1" t="str">
        <x:v>Pizza Ghar</x:v>
      </x:c>
      <x:c r="F18" s="10" t="n">
        <x:v>2180</x:v>
      </x:c>
      <x:c r="G18" s="1" t="str">
        <x:v>DEMO / SIMULATED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JFD-20250418-0017</x:v>
      </x:c>
      <x:c r="B19" s="9" t="n">
        <x:v>45765.42222222222</x:v>
      </x:c>
      <x:c r="C19" s="12" t="n">
        <x:v>0.4222222222222222</x:v>
      </x:c>
      <x:c r="D19" s="1" t="str">
        <x:v>Damak</x:v>
      </x:c>
      <x:c r="E19" s="1" t="str">
        <x:v>Milan’s Bakery</x:v>
      </x:c>
      <x:c r="F19" s="10" t="n">
        <x:v>940</x:v>
      </x:c>
      <x:c r="G19" s="1" t="str">
        <x:v>DEMO / SIMULATED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JFD-20260916-0018</x:v>
      </x:c>
      <x:c r="B20" s="9" t="n">
        <x:v>46281.67847222222</x:v>
      </x:c>
      <x:c r="C20" s="12" t="n">
        <x:v>0.6784722222222223</x:v>
      </x:c>
      <x:c r="D20" s="1" t="str">
        <x:v>Damak</x:v>
      </x:c>
      <x:c r="E20" s="1" t="str">
        <x:v>Milan’s Bakery</x:v>
      </x:c>
      <x:c r="F20" s="10" t="n">
        <x:v>420</x:v>
      </x:c>
      <x:c r="G20" s="1" t="str">
        <x:v>DEMO / SIMULATED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JFD-20230813-0019</x:v>
      </x:c>
      <x:c r="B21" s="9" t="n">
        <x:v>45151.756944444445</x:v>
      </x:c>
      <x:c r="C21" s="12" t="n">
        <x:v>0.7569444444444444</x:v>
      </x:c>
      <x:c r="D21" s="1" t="str">
        <x:v>Damak</x:v>
      </x:c>
      <x:c r="E21" s="1" t="str">
        <x:v>Late Night Cravings</x:v>
      </x:c>
      <x:c r="F21" s="10" t="n">
        <x:v>660</x:v>
      </x:c>
      <x:c r="G21" s="1" t="str">
        <x:v>DEMO / SIMULATED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JFD-20230207-0020</x:v>
      </x:c>
      <x:c r="B22" s="9" t="n">
        <x:v>44964.669444444444</x:v>
      </x:c>
      <x:c r="C22" s="12" t="n">
        <x:v>0.6694444444444444</x:v>
      </x:c>
      <x:c r="D22" s="1" t="str">
        <x:v>Damak</x:v>
      </x:c>
      <x:c r="E22" s="1" t="str">
        <x:v>Late Night Cravings</x:v>
      </x:c>
      <x:c r="F22" s="10" t="n">
        <x:v>760</x:v>
      </x:c>
      <x:c r="G22" s="1" t="str">
        <x:v>DEMO / SIMULATED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JFD-20250519-0021</x:v>
      </x:c>
      <x:c r="B23" s="9" t="n">
        <x:v>45796.717361111114</x:v>
      </x:c>
      <x:c r="C23" s="12" t="n">
        <x:v>0.7173611111111111</x:v>
      </x:c>
      <x:c r="D23" s="1" t="str">
        <x:v>Birtamode</x:v>
      </x:c>
      <x:c r="E23" s="1" t="str">
        <x:v>The Underground Cafe &amp; Restaurant</x:v>
      </x:c>
      <x:c r="F23" s="10" t="n">
        <x:v>160</x:v>
      </x:c>
      <x:c r="G23" s="1" t="str">
        <x:v>DEMO / SIMULATED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JFD-20250124-0022</x:v>
      </x:c>
      <x:c r="B24" s="9" t="n">
        <x:v>45681.62777777778</x:v>
      </x:c>
      <x:c r="C24" s="12" t="n">
        <x:v>0.6277777777777778</x:v>
      </x:c>
      <x:c r="D24" s="1" t="str">
        <x:v>Damak</x:v>
      </x:c>
      <x:c r="E24" s="1" t="str">
        <x:v>Milan’s Bakery</x:v>
      </x:c>
      <x:c r="F24" s="10" t="n">
        <x:v>470</x:v>
      </x:c>
      <x:c r="G24" s="1" t="str">
        <x:v>DEMO / SIMULATED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JFD-20240405-0023</x:v>
      </x:c>
      <x:c r="B25" s="9" t="n">
        <x:v>45387.66111111111</x:v>
      </x:c>
      <x:c r="C25" s="12" t="n">
        <x:v>0.6611111111111111</x:v>
      </x:c>
      <x:c r="D25" s="1" t="str">
        <x:v>Birtamode</x:v>
      </x:c>
      <x:c r="E25" s="1" t="str">
        <x:v>Pizza Ghar</x:v>
      </x:c>
      <x:c r="F25" s="10" t="n">
        <x:v>140</x:v>
      </x:c>
      <x:c r="G25" s="1" t="str">
        <x:v>DEMO / SIMULATED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JFD-20250506-0024</x:v>
      </x:c>
      <x:c r="B26" s="9" t="n">
        <x:v>45783.555555555555</x:v>
      </x:c>
      <x:c r="C26" s="12" t="n">
        <x:v>0.5555555555555556</x:v>
      </x:c>
      <x:c r="D26" s="1" t="str">
        <x:v>Damak</x:v>
      </x:c>
      <x:c r="E26" s="1" t="str">
        <x:v>Milan’s Bakery</x:v>
      </x:c>
      <x:c r="F26" s="10" t="n">
        <x:v>360</x:v>
      </x:c>
      <x:c r="G26" s="1" t="str">
        <x:v>DEMO / SIMULATED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JFD-20250904-0025</x:v>
      </x:c>
      <x:c r="B27" s="9" t="n">
        <x:v>45904.86875</x:v>
      </x:c>
      <x:c r="C27" s="12" t="n">
        <x:v>0.86875</x:v>
      </x:c>
      <x:c r="D27" s="1" t="str">
        <x:v>Birtamode</x:v>
      </x:c>
      <x:c r="E27" s="1" t="str">
        <x:v>The Underground Cafe &amp; Restaurant</x:v>
      </x:c>
      <x:c r="F27" s="10" t="n">
        <x:v>960</x:v>
      </x:c>
      <x:c r="G27" s="1" t="str">
        <x:v>DEMO / SIMULATED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JFD-20230917-0026</x:v>
      </x:c>
      <x:c r="B28" s="9" t="n">
        <x:v>45186.80416666667</x:v>
      </x:c>
      <x:c r="C28" s="12" t="n">
        <x:v>0.8041666666666667</x:v>
      </x:c>
      <x:c r="D28" s="1" t="str">
        <x:v>Birtamode</x:v>
      </x:c>
      <x:c r="E28" s="1" t="str">
        <x:v>Pizza Ghar</x:v>
      </x:c>
      <x:c r="F28" s="10" t="n">
        <x:v>905</x:v>
      </x:c>
      <x:c r="G28" s="1" t="str">
        <x:v>DEMO / SIMULATED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JFD-20260529-0027</x:v>
      </x:c>
      <x:c r="B29" s="9" t="n">
        <x:v>46171.865277777775</x:v>
      </x:c>
      <x:c r="C29" s="12" t="n">
        <x:v>0.8652777777777778</x:v>
      </x:c>
      <x:c r="D29" s="1" t="str">
        <x:v>Birtamode</x:v>
      </x:c>
      <x:c r="E29" s="1" t="str">
        <x:v>The Underground Cafe &amp; Restaurant</x:v>
      </x:c>
      <x:c r="F29" s="10" t="n">
        <x:v>350</x:v>
      </x:c>
      <x:c r="G29" s="1" t="str">
        <x:v>DEMO / SIMULATED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 t="str">
        <x:v>JFD-20241012-0028</x:v>
      </x:c>
      <x:c r="B30" s="9" t="n">
        <x:v>45577.44583333333</x:v>
      </x:c>
      <x:c r="C30" s="12" t="n">
        <x:v>0.44583333333333336</x:v>
      </x:c>
      <x:c r="D30" s="1" t="str">
        <x:v>Birtamode</x:v>
      </x:c>
      <x:c r="E30" s="1" t="str">
        <x:v>Pizza Ghar</x:v>
      </x:c>
      <x:c r="F30" s="10" t="n">
        <x:v>1310</x:v>
      </x:c>
      <x:c r="G30" s="1" t="str">
        <x:v>DEMO / SIMULATED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 t="str">
        <x:v>JFD-20240101-0029</x:v>
      </x:c>
      <x:c r="B31" s="9" t="n">
        <x:v>45292.65138888889</x:v>
      </x:c>
      <x:c r="C31" s="12" t="n">
        <x:v>0.6513888888888889</x:v>
      </x:c>
      <x:c r="D31" s="1" t="str">
        <x:v>Birtamode</x:v>
      </x:c>
      <x:c r="E31" s="1" t="str">
        <x:v>Pizza Ghar</x:v>
      </x:c>
      <x:c r="F31" s="10" t="n">
        <x:v>230</x:v>
      </x:c>
      <x:c r="G31" s="1" t="str">
        <x:v>DEMO / SIMULATED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 t="str">
        <x:v>JFD-20230330-0030</x:v>
      </x:c>
      <x:c r="B32" s="9" t="n">
        <x:v>45015.875</x:v>
      </x:c>
      <x:c r="C32" s="12" t="n">
        <x:v>0.875</x:v>
      </x:c>
      <x:c r="D32" s="1" t="str">
        <x:v>Birtamode</x:v>
      </x:c>
      <x:c r="E32" s="1" t="str">
        <x:v>Pizza Ghar</x:v>
      </x:c>
      <x:c r="F32" s="10" t="n">
        <x:v>1390</x:v>
      </x:c>
      <x:c r="G32" s="1" t="str">
        <x:v>DEMO / SIMULATED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 t="str">
        <x:v>JFD-20241117-0031</x:v>
      </x:c>
      <x:c r="B33" s="9" t="n">
        <x:v>45613.80694444444</x:v>
      </x:c>
      <x:c r="C33" s="12" t="n">
        <x:v>0.8069444444444445</x:v>
      </x:c>
      <x:c r="D33" s="1" t="str">
        <x:v>Damak</x:v>
      </x:c>
      <x:c r="E33" s="1" t="str">
        <x:v>Late Night Cravings</x:v>
      </x:c>
      <x:c r="F33" s="10" t="n">
        <x:v>1340</x:v>
      </x:c>
      <x:c r="G33" s="1" t="str">
        <x:v>DEMO / SIMULATED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 t="str">
        <x:v>JFD-20230412-0032</x:v>
      </x:c>
      <x:c r="B34" s="9" t="n">
        <x:v>45028.493055555555</x:v>
      </x:c>
      <x:c r="C34" s="12" t="n">
        <x:v>0.4930555555555556</x:v>
      </x:c>
      <x:c r="D34" s="1" t="str">
        <x:v>Damak</x:v>
      </x:c>
      <x:c r="E34" s="1" t="str">
        <x:v>Late Night Cravings</x:v>
      </x:c>
      <x:c r="F34" s="10" t="n">
        <x:v>1015</x:v>
      </x:c>
      <x:c r="G34" s="1" t="str">
        <x:v>DEMO / SIMULATED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 t="str">
        <x:v>JFD-20250914-0033</x:v>
      </x:c>
      <x:c r="B35" s="9" t="n">
        <x:v>45914.62152777778</x:v>
      </x:c>
      <x:c r="C35" s="12" t="n">
        <x:v>0.6215277777777778</x:v>
      </x:c>
      <x:c r="D35" s="1" t="str">
        <x:v>Damak</x:v>
      </x:c>
      <x:c r="E35" s="1" t="str">
        <x:v>Milan’s Bakery</x:v>
      </x:c>
      <x:c r="F35" s="10" t="n">
        <x:v>320</x:v>
      </x:c>
      <x:c r="G35" s="1" t="str">
        <x:v>DEMO / SIMULATED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 t="str">
        <x:v>JFD-20260327-0034</x:v>
      </x:c>
      <x:c r="B36" s="9" t="n">
        <x:v>46108.75486111111</x:v>
      </x:c>
      <x:c r="C36" s="12" t="n">
        <x:v>0.7548611111111111</x:v>
      </x:c>
      <x:c r="D36" s="1" t="str">
        <x:v>Damak</x:v>
      </x:c>
      <x:c r="E36" s="1" t="str">
        <x:v>Late Night Cravings</x:v>
      </x:c>
      <x:c r="F36" s="10" t="n">
        <x:v>480</x:v>
      </x:c>
      <x:c r="G36" s="1" t="str">
        <x:v>DEMO / SIMULATED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 t="str">
        <x:v>JFD-20241013-0035</x:v>
      </x:c>
      <x:c r="B37" s="9" t="n">
        <x:v>45578.63263888889</x:v>
      </x:c>
      <x:c r="C37" s="12" t="n">
        <x:v>0.6326388888888889</x:v>
      </x:c>
      <x:c r="D37" s="1" t="str">
        <x:v>Damak</x:v>
      </x:c>
      <x:c r="E37" s="1" t="str">
        <x:v>Late Night Cravings</x:v>
      </x:c>
      <x:c r="F37" s="10" t="n">
        <x:v>230</x:v>
      </x:c>
      <x:c r="G37" s="1" t="str">
        <x:v>DEMO / SIMULATED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 t="str">
        <x:v>JFD-20251112-0036</x:v>
      </x:c>
      <x:c r="B38" s="9" t="n">
        <x:v>45973.794444444444</x:v>
      </x:c>
      <x:c r="C38" s="12" t="n">
        <x:v>0.7944444444444444</x:v>
      </x:c>
      <x:c r="D38" s="1" t="str">
        <x:v>Birtamode</x:v>
      </x:c>
      <x:c r="E38" s="1" t="str">
        <x:v>Pizza Ghar</x:v>
      </x:c>
      <x:c r="F38" s="10" t="n">
        <x:v>955</x:v>
      </x:c>
      <x:c r="G38" s="1" t="str">
        <x:v>DEMO / SIMULATED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 t="str">
        <x:v>JFD-20250805-0037</x:v>
      </x:c>
      <x:c r="B39" s="9" t="n">
        <x:v>45874.77361111111</x:v>
      </x:c>
      <x:c r="C39" s="12" t="n">
        <x:v>0.7736111111111111</x:v>
      </x:c>
      <x:c r="D39" s="1" t="str">
        <x:v>Birtamode</x:v>
      </x:c>
      <x:c r="E39" s="1" t="str">
        <x:v>The Underground Cafe &amp; Restaurant</x:v>
      </x:c>
      <x:c r="F39" s="10" t="n">
        <x:v>630</x:v>
      </x:c>
      <x:c r="G39" s="1" t="str">
        <x:v>DEMO / SIMULATED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 t="str">
        <x:v>JFD-20231210-0038</x:v>
      </x:c>
      <x:c r="B40" s="9" t="n">
        <x:v>45270.88125</x:v>
      </x:c>
      <x:c r="C40" s="12" t="n">
        <x:v>0.88125</x:v>
      </x:c>
      <x:c r="D40" s="1" t="str">
        <x:v>Birtamode</x:v>
      </x:c>
      <x:c r="E40" s="1" t="str">
        <x:v>The Underground Cafe &amp; Restaurant</x:v>
      </x:c>
      <x:c r="F40" s="10" t="n">
        <x:v>105</x:v>
      </x:c>
      <x:c r="G40" s="1" t="str">
        <x:v>DEMO / SIMULATED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 t="str">
        <x:v>JFD-20260303-0039</x:v>
      </x:c>
      <x:c r="B41" s="9" t="n">
        <x:v>46084.79861111111</x:v>
      </x:c>
      <x:c r="C41" s="12" t="n">
        <x:v>0.7986111111111112</x:v>
      </x:c>
      <x:c r="D41" s="1" t="str">
        <x:v>Birtamode</x:v>
      </x:c>
      <x:c r="E41" s="1" t="str">
        <x:v>Pizza Ghar</x:v>
      </x:c>
      <x:c r="F41" s="10" t="n">
        <x:v>850</x:v>
      </x:c>
      <x:c r="G41" s="1" t="str">
        <x:v>DEMO / SIMULATED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 t="str">
        <x:v>JFD-20240429-0040</x:v>
      </x:c>
      <x:c r="B42" s="9" t="n">
        <x:v>45411.56805555556</x:v>
      </x:c>
      <x:c r="C42" s="12" t="n">
        <x:v>0.5680555555555555</x:v>
      </x:c>
      <x:c r="D42" s="1" t="str">
        <x:v>Damak</x:v>
      </x:c>
      <x:c r="E42" s="1" t="str">
        <x:v>Late Night Cravings</x:v>
      </x:c>
      <x:c r="F42" s="10" t="n">
        <x:v>570</x:v>
      </x:c>
      <x:c r="G42" s="1" t="str">
        <x:v>DEMO / SIMULATED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 t="str">
        <x:v>JFD-20260223-0041</x:v>
      </x:c>
      <x:c r="B43" s="9" t="n">
        <x:v>46076.80902777778</x:v>
      </x:c>
      <x:c r="C43" s="12" t="n">
        <x:v>0.8090277777777778</x:v>
      </x:c>
      <x:c r="D43" s="1" t="str">
        <x:v>Birtamode</x:v>
      </x:c>
      <x:c r="E43" s="1" t="str">
        <x:v>Pizza Ghar</x:v>
      </x:c>
      <x:c r="F43" s="10" t="n">
        <x:v>2740</x:v>
      </x:c>
      <x:c r="G43" s="1" t="str">
        <x:v>DEMO / SIMULATED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 t="str">
        <x:v>JFD-20260312-0042</x:v>
      </x:c>
      <x:c r="B44" s="9" t="n">
        <x:v>46093.4875</x:v>
      </x:c>
      <x:c r="C44" s="12" t="n">
        <x:v>0.4875</x:v>
      </x:c>
      <x:c r="D44" s="1" t="str">
        <x:v>Birtamode</x:v>
      </x:c>
      <x:c r="E44" s="1" t="str">
        <x:v>Pizza Ghar</x:v>
      </x:c>
      <x:c r="F44" s="10" t="n">
        <x:v>140</x:v>
      </x:c>
      <x:c r="G44" s="1" t="str">
        <x:v>DEMO / SIMULATED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 t="str">
        <x:v>JFD-20240604-0043</x:v>
      </x:c>
      <x:c r="B45" s="9" t="n">
        <x:v>45447.64444444444</x:v>
      </x:c>
      <x:c r="C45" s="12" t="n">
        <x:v>0.6444444444444445</x:v>
      </x:c>
      <x:c r="D45" s="1" t="str">
        <x:v>Damak</x:v>
      </x:c>
      <x:c r="E45" s="1" t="str">
        <x:v>Milan’s Bakery</x:v>
      </x:c>
      <x:c r="F45" s="10" t="n">
        <x:v>1615</x:v>
      </x:c>
      <x:c r="G45" s="1" t="str">
        <x:v>DEMO / SIMULATED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 t="str">
        <x:v>JFD-20260514-0044</x:v>
      </x:c>
      <x:c r="B46" s="9" t="n">
        <x:v>46156.876388888886</x:v>
      </x:c>
      <x:c r="C46" s="12" t="n">
        <x:v>0.8763888888888889</x:v>
      </x:c>
      <x:c r="D46" s="1" t="str">
        <x:v>Birtamode</x:v>
      </x:c>
      <x:c r="E46" s="1" t="str">
        <x:v>The Underground Cafe &amp; Restaurant</x:v>
      </x:c>
      <x:c r="F46" s="10" t="n">
        <x:v>590</x:v>
      </x:c>
      <x:c r="G46" s="1" t="str">
        <x:v>DEMO / SIMULATED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 t="str">
        <x:v>JFD-20240705-0045</x:v>
      </x:c>
      <x:c r="B47" s="9" t="n">
        <x:v>45478.82430555556</x:v>
      </x:c>
      <x:c r="C47" s="12" t="n">
        <x:v>0.8243055555555555</x:v>
      </x:c>
      <x:c r="D47" s="1" t="str">
        <x:v>Birtamode</x:v>
      </x:c>
      <x:c r="E47" s="1" t="str">
        <x:v>The Underground Cafe &amp; Restaurant</x:v>
      </x:c>
      <x:c r="F47" s="10" t="n">
        <x:v>140</x:v>
      </x:c>
      <x:c r="G47" s="1" t="str">
        <x:v>DEMO / SIMULATED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 t="str">
        <x:v>JFD-20231103-0046</x:v>
      </x:c>
      <x:c r="B48" s="9" t="n">
        <x:v>45233.56597222222</x:v>
      </x:c>
      <x:c r="C48" s="12" t="n">
        <x:v>0.5659722222222222</x:v>
      </x:c>
      <x:c r="D48" s="1" t="str">
        <x:v>Damak</x:v>
      </x:c>
      <x:c r="E48" s="1" t="str">
        <x:v>Late Night Cravings</x:v>
      </x:c>
      <x:c r="F48" s="10" t="n">
        <x:v>1640</x:v>
      </x:c>
      <x:c r="G48" s="1" t="str">
        <x:v>DEMO / SIMULATED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 t="str">
        <x:v>JFD-20250315-0047</x:v>
      </x:c>
      <x:c r="B49" s="9" t="n">
        <x:v>45731.84930555556</x:v>
      </x:c>
      <x:c r="C49" s="12" t="n">
        <x:v>0.8493055555555555</x:v>
      </x:c>
      <x:c r="D49" s="1" t="str">
        <x:v>Birtamode</x:v>
      </x:c>
      <x:c r="E49" s="1" t="str">
        <x:v>The Underground Cafe &amp; Restaurant</x:v>
      </x:c>
      <x:c r="F49" s="10" t="n">
        <x:v>165</x:v>
      </x:c>
      <x:c r="G49" s="1" t="str">
        <x:v>DEMO / SIMULATED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 t="str">
        <x:v>JFD-20260104-0048</x:v>
      </x:c>
      <x:c r="B50" s="9" t="n">
        <x:v>46026.853472222225</x:v>
      </x:c>
      <x:c r="C50" s="12" t="n">
        <x:v>0.8534722222222222</x:v>
      </x:c>
      <x:c r="D50" s="1" t="str">
        <x:v>Damak</x:v>
      </x:c>
      <x:c r="E50" s="1" t="str">
        <x:v>Milan’s Bakery</x:v>
      </x:c>
      <x:c r="F50" s="10" t="n">
        <x:v>860</x:v>
      </x:c>
      <x:c r="G50" s="1" t="str">
        <x:v>DEMO / SIMULATED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 t="str">
        <x:v>JFD-20231007-0049</x:v>
      </x:c>
      <x:c r="B51" s="9" t="n">
        <x:v>45206.84722222222</x:v>
      </x:c>
      <x:c r="C51" s="12" t="n">
        <x:v>0.8472222222222222</x:v>
      </x:c>
      <x:c r="D51" s="1" t="str">
        <x:v>Birtamode</x:v>
      </x:c>
      <x:c r="E51" s="1" t="str">
        <x:v>The Underground Cafe &amp; Restaurant</x:v>
      </x:c>
      <x:c r="F51" s="10" t="n">
        <x:v>640</x:v>
      </x:c>
      <x:c r="G51" s="1" t="str">
        <x:v>DEMO / SIMULATED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 t="str">
        <x:v>JFD-20260409-0050</x:v>
      </x:c>
      <x:c r="B52" s="9" t="n">
        <x:v>46121.44027777778</x:v>
      </x:c>
      <x:c r="C52" s="12" t="n">
        <x:v>0.44027777777777777</x:v>
      </x:c>
      <x:c r="D52" s="1" t="str">
        <x:v>Birtamode</x:v>
      </x:c>
      <x:c r="E52" s="1" t="str">
        <x:v>Pizza Ghar</x:v>
      </x:c>
      <x:c r="F52" s="10" t="n">
        <x:v>580</x:v>
      </x:c>
      <x:c r="G52" s="1" t="str">
        <x:v>DEMO / SIMULATED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 t="str">
        <x:v>JFD-20230708-0051</x:v>
      </x:c>
      <x:c r="B53" s="9" t="n">
        <x:v>45115.42013888889</x:v>
      </x:c>
      <x:c r="C53" s="12" t="n">
        <x:v>0.4201388888888889</x:v>
      </x:c>
      <x:c r="D53" s="1" t="str">
        <x:v>Damak</x:v>
      </x:c>
      <x:c r="E53" s="1" t="str">
        <x:v>Late Night Cravings</x:v>
      </x:c>
      <x:c r="F53" s="10" t="n">
        <x:v>690</x:v>
      </x:c>
      <x:c r="G53" s="1" t="str">
        <x:v>DEMO / SIMULATED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 t="str">
        <x:v>JFD-20230107-0052</x:v>
      </x:c>
      <x:c r="B54" s="9" t="n">
        <x:v>44933.711805555555</x:v>
      </x:c>
      <x:c r="C54" s="12" t="n">
        <x:v>0.7118055555555556</x:v>
      </x:c>
      <x:c r="D54" s="1" t="str">
        <x:v>Birtamode</x:v>
      </x:c>
      <x:c r="E54" s="1" t="str">
        <x:v>The Underground Cafe &amp; Restaurant</x:v>
      </x:c>
      <x:c r="F54" s="10" t="n">
        <x:v>70</x:v>
      </x:c>
      <x:c r="G54" s="1" t="str">
        <x:v>DEMO / SIMULATED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 t="str">
        <x:v>JFD-20240619-0053</x:v>
      </x:c>
      <x:c r="B55" s="9" t="n">
        <x:v>45462.666666666664</x:v>
      </x:c>
      <x:c r="C55" s="12" t="n">
        <x:v>0.6666666666666666</x:v>
      </x:c>
      <x:c r="D55" s="1" t="str">
        <x:v>Damak</x:v>
      </x:c>
      <x:c r="E55" s="1" t="str">
        <x:v>Milan’s Bakery</x:v>
      </x:c>
      <x:c r="F55" s="10" t="n">
        <x:v>2640</x:v>
      </x:c>
      <x:c r="G55" s="1" t="str">
        <x:v>DEMO / SIMULATED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 t="str">
        <x:v>JFD-20240411-0054</x:v>
      </x:c>
      <x:c r="B56" s="9" t="n">
        <x:v>45393.80347222222</x:v>
      </x:c>
      <x:c r="C56" s="12" t="n">
        <x:v>0.8034722222222223</x:v>
      </x:c>
      <x:c r="D56" s="1" t="str">
        <x:v>Birtamode</x:v>
      </x:c>
      <x:c r="E56" s="1" t="str">
        <x:v>Pizza Ghar</x:v>
      </x:c>
      <x:c r="F56" s="10" t="n">
        <x:v>655</x:v>
      </x:c>
      <x:c r="G56" s="1" t="str">
        <x:v>DEMO / SIMULATED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 t="str">
        <x:v>JFD-20240611-0055</x:v>
      </x:c>
      <x:c r="B57" s="9" t="n">
        <x:v>45454.89444444444</x:v>
      </x:c>
      <x:c r="C57" s="12" t="n">
        <x:v>0.8944444444444445</x:v>
      </x:c>
      <x:c r="D57" s="1" t="str">
        <x:v>Birtamode</x:v>
      </x:c>
      <x:c r="E57" s="1" t="str">
        <x:v>The Underground Cafe &amp; Restaurant</x:v>
      </x:c>
      <x:c r="F57" s="10" t="n">
        <x:v>585</x:v>
      </x:c>
      <x:c r="G57" s="1" t="str">
        <x:v>DEMO / SIMULATED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 t="str">
        <x:v>JFD-20260221-0056</x:v>
      </x:c>
      <x:c r="B58" s="9" t="n">
        <x:v>46074.881944444445</x:v>
      </x:c>
      <x:c r="C58" s="12" t="n">
        <x:v>0.8819444444444444</x:v>
      </x:c>
      <x:c r="D58" s="1" t="str">
        <x:v>Damak</x:v>
      </x:c>
      <x:c r="E58" s="1" t="str">
        <x:v>Milan’s Bakery</x:v>
      </x:c>
      <x:c r="F58" s="10" t="n">
        <x:v>760</x:v>
      </x:c>
      <x:c r="G58" s="1" t="str">
        <x:v>DEMO / SIMULATED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 t="str">
        <x:v>JFD-20250609-0057</x:v>
      </x:c>
      <x:c r="B59" s="9" t="n">
        <x:v>45817.75347222222</x:v>
      </x:c>
      <x:c r="C59" s="12" t="n">
        <x:v>0.7534722222222222</x:v>
      </x:c>
      <x:c r="D59" s="1" t="str">
        <x:v>Birtamode</x:v>
      </x:c>
      <x:c r="E59" s="1" t="str">
        <x:v>Pizza Ghar</x:v>
      </x:c>
      <x:c r="F59" s="10" t="n">
        <x:v>445</x:v>
      </x:c>
      <x:c r="G59" s="1" t="str">
        <x:v>DEMO / SIMULATED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 t="str">
        <x:v>JFD-20250201-0058</x:v>
      </x:c>
      <x:c r="B60" s="9" t="n">
        <x:v>45689.89375</x:v>
      </x:c>
      <x:c r="C60" s="12" t="n">
        <x:v>0.89375</x:v>
      </x:c>
      <x:c r="D60" s="1" t="str">
        <x:v>Birtamode</x:v>
      </x:c>
      <x:c r="E60" s="1" t="str">
        <x:v>Pizza Ghar</x:v>
      </x:c>
      <x:c r="F60" s="10" t="n">
        <x:v>3200</x:v>
      </x:c>
      <x:c r="G60" s="1" t="str">
        <x:v>DEMO / SIMULATED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 t="str">
        <x:v>JFD-20250627-0059</x:v>
      </x:c>
      <x:c r="B61" s="9" t="n">
        <x:v>45835.82638888889</x:v>
      </x:c>
      <x:c r="C61" s="12" t="n">
        <x:v>0.8263888888888888</x:v>
      </x:c>
      <x:c r="D61" s="1" t="str">
        <x:v>Birtamode</x:v>
      </x:c>
      <x:c r="E61" s="1" t="str">
        <x:v>The Underground Cafe &amp; Restaurant</x:v>
      </x:c>
      <x:c r="F61" s="10" t="n">
        <x:v>625</x:v>
      </x:c>
      <x:c r="G61" s="1" t="str">
        <x:v>DEMO / SIMULATED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 t="str">
        <x:v>JFD-20250901-0060</x:v>
      </x:c>
      <x:c r="B62" s="9" t="n">
        <x:v>45901.538194444445</x:v>
      </x:c>
      <x:c r="C62" s="12" t="n">
        <x:v>0.5381944444444444</x:v>
      </x:c>
      <x:c r="D62" s="1" t="str">
        <x:v>Damak</x:v>
      </x:c>
      <x:c r="E62" s="1" t="str">
        <x:v>Late Night Cravings</x:v>
      </x:c>
      <x:c r="F62" s="10" t="n">
        <x:v>285</x:v>
      </x:c>
      <x:c r="G62" s="1" t="str">
        <x:v>DEMO / SIMULATED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 t="str">
        <x:v>JFD-20250407-0061</x:v>
      </x:c>
      <x:c r="B63" s="9" t="n">
        <x:v>45754.532638888886</x:v>
      </x:c>
      <x:c r="C63" s="12" t="n">
        <x:v>0.5326388888888889</x:v>
      </x:c>
      <x:c r="D63" s="1" t="str">
        <x:v>Birtamode</x:v>
      </x:c>
      <x:c r="E63" s="1" t="str">
        <x:v>Pizza Ghar</x:v>
      </x:c>
      <x:c r="F63" s="10" t="n">
        <x:v>95</x:v>
      </x:c>
      <x:c r="G63" s="1" t="str">
        <x:v>DEMO / SIMULATED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 t="str">
        <x:v>JFD-20250203-0062</x:v>
      </x:c>
      <x:c r="B64" s="9" t="n">
        <x:v>45691.575</x:v>
      </x:c>
      <x:c r="C64" s="12" t="n">
        <x:v>0.575</x:v>
      </x:c>
      <x:c r="D64" s="1" t="str">
        <x:v>Birtamode</x:v>
      </x:c>
      <x:c r="E64" s="1" t="str">
        <x:v>Pizza Ghar</x:v>
      </x:c>
      <x:c r="F64" s="10" t="n">
        <x:v>160</x:v>
      </x:c>
      <x:c r="G64" s="1" t="str">
        <x:v>DEMO / SIMULATED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 t="str">
        <x:v>JFD-20260217-0063</x:v>
      </x:c>
      <x:c r="B65" s="9" t="n">
        <x:v>46070.43472222222</x:v>
      </x:c>
      <x:c r="C65" s="12" t="n">
        <x:v>0.43472222222222223</x:v>
      </x:c>
      <x:c r="D65" s="1" t="str">
        <x:v>Damak</x:v>
      </x:c>
      <x:c r="E65" s="1" t="str">
        <x:v>Late Night Cravings</x:v>
      </x:c>
      <x:c r="F65" s="10" t="n">
        <x:v>2080</x:v>
      </x:c>
      <x:c r="G65" s="1" t="str">
        <x:v>DEMO / SIMULATED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 t="str">
        <x:v>JFD-20241122-0064</x:v>
      </x:c>
      <x:c r="B66" s="9" t="n">
        <x:v>45618.847916666666</x:v>
      </x:c>
      <x:c r="C66" s="12" t="n">
        <x:v>0.8479166666666667</x:v>
      </x:c>
      <x:c r="D66" s="1" t="str">
        <x:v>Birtamode</x:v>
      </x:c>
      <x:c r="E66" s="1" t="str">
        <x:v>The Underground Cafe &amp; Restaurant</x:v>
      </x:c>
      <x:c r="F66" s="10" t="n">
        <x:v>825</x:v>
      </x:c>
      <x:c r="G66" s="1" t="str">
        <x:v>DEMO / SIMULATED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 t="str">
        <x:v>JFD-20250430-0065</x:v>
      </x:c>
      <x:c r="B67" s="9" t="n">
        <x:v>45777.433333333334</x:v>
      </x:c>
      <x:c r="C67" s="12" t="n">
        <x:v>0.43333333333333335</x:v>
      </x:c>
      <x:c r="D67" s="1" t="str">
        <x:v>Damak</x:v>
      </x:c>
      <x:c r="E67" s="1" t="str">
        <x:v>Late Night Cravings</x:v>
      </x:c>
      <x:c r="F67" s="10" t="n">
        <x:v>1010</x:v>
      </x:c>
      <x:c r="G67" s="1" t="str">
        <x:v>DEMO / SIMULATED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 t="str">
        <x:v>JFD-20260422-0066</x:v>
      </x:c>
      <x:c r="B68" s="9" t="n">
        <x:v>46134.53402777778</x:v>
      </x:c>
      <x:c r="C68" s="12" t="n">
        <x:v>0.5340277777777778</x:v>
      </x:c>
      <x:c r="D68" s="1" t="str">
        <x:v>Birtamode</x:v>
      </x:c>
      <x:c r="E68" s="1" t="str">
        <x:v>The Underground Cafe &amp; Restaurant</x:v>
      </x:c>
      <x:c r="F68" s="10" t="n">
        <x:v>160</x:v>
      </x:c>
      <x:c r="G68" s="1" t="str">
        <x:v>DEMO / SIMULATED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 t="str">
        <x:v>JFD-20260831-0067</x:v>
      </x:c>
      <x:c r="B69" s="9" t="n">
        <x:v>46265.563888888886</x:v>
      </x:c>
      <x:c r="C69" s="12" t="n">
        <x:v>0.5638888888888889</x:v>
      </x:c>
      <x:c r="D69" s="1" t="str">
        <x:v>Damak</x:v>
      </x:c>
      <x:c r="E69" s="1" t="str">
        <x:v>Late Night Cravings</x:v>
      </x:c>
      <x:c r="F69" s="10" t="n">
        <x:v>640</x:v>
      </x:c>
      <x:c r="G69" s="1" t="str">
        <x:v>DEMO / SIMULATED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 t="str">
        <x:v>JFD-20250708-0068</x:v>
      </x:c>
      <x:c r="B70" s="9" t="n">
        <x:v>45846.70208333333</x:v>
      </x:c>
      <x:c r="C70" s="12" t="n">
        <x:v>0.7020833333333333</x:v>
      </x:c>
      <x:c r="D70" s="1" t="str">
        <x:v>Birtamode</x:v>
      </x:c>
      <x:c r="E70" s="1" t="str">
        <x:v>The Underground Cafe &amp; Restaurant</x:v>
      </x:c>
      <x:c r="F70" s="10" t="n">
        <x:v>335</x:v>
      </x:c>
      <x:c r="G70" s="1" t="str">
        <x:v>DEMO / SIMULATED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 t="str">
        <x:v>JFD-20240523-0069</x:v>
      </x:c>
      <x:c r="B71" s="9" t="n">
        <x:v>45435.834027777775</x:v>
      </x:c>
      <x:c r="C71" s="12" t="n">
        <x:v>0.8340277777777778</x:v>
      </x:c>
      <x:c r="D71" s="1" t="str">
        <x:v>Birtamode</x:v>
      </x:c>
      <x:c r="E71" s="1" t="str">
        <x:v>Pizza Ghar</x:v>
      </x:c>
      <x:c r="F71" s="10" t="n">
        <x:v>1690</x:v>
      </x:c>
      <x:c r="G71" s="1" t="str">
        <x:v>DEMO / SIMULATED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 t="str">
        <x:v>JFD-20250108-0070</x:v>
      </x:c>
      <x:c r="B72" s="9" t="n">
        <x:v>45665.51666666667</x:v>
      </x:c>
      <x:c r="C72" s="12" t="n">
        <x:v>0.5166666666666667</x:v>
      </x:c>
      <x:c r="D72" s="1" t="str">
        <x:v>Damak</x:v>
      </x:c>
      <x:c r="E72" s="1" t="str">
        <x:v>Late Night Cravings</x:v>
      </x:c>
      <x:c r="F72" s="10" t="n">
        <x:v>610</x:v>
      </x:c>
      <x:c r="G72" s="1" t="str">
        <x:v>DEMO / SIMULATED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 t="str">
        <x:v>JFD-20260726-0071</x:v>
      </x:c>
      <x:c r="B73" s="9" t="n">
        <x:v>46229.64861111111</x:v>
      </x:c>
      <x:c r="C73" s="12" t="n">
        <x:v>0.6486111111111111</x:v>
      </x:c>
      <x:c r="D73" s="1" t="str">
        <x:v>Birtamode</x:v>
      </x:c>
      <x:c r="E73" s="1" t="str">
        <x:v>Pizza Ghar</x:v>
      </x:c>
      <x:c r="F73" s="10" t="n">
        <x:v>1380</x:v>
      </x:c>
      <x:c r="G73" s="1" t="str">
        <x:v>DEMO / SIMULATED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 t="str">
        <x:v>JFD-20250417-0072</x:v>
      </x:c>
      <x:c r="B74" s="9" t="n">
        <x:v>45764.649305555555</x:v>
      </x:c>
      <x:c r="C74" s="12" t="n">
        <x:v>0.6493055555555556</x:v>
      </x:c>
      <x:c r="D74" s="1" t="str">
        <x:v>Birtamode</x:v>
      </x:c>
      <x:c r="E74" s="1" t="str">
        <x:v>Pizza Ghar</x:v>
      </x:c>
      <x:c r="F74" s="10" t="n">
        <x:v>1665</x:v>
      </x:c>
      <x:c r="G74" s="1" t="str">
        <x:v>DEMO / SIMULATED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 t="str">
        <x:v>JFD-20230413-0073</x:v>
      </x:c>
      <x:c r="B75" s="9" t="n">
        <x:v>45029.833333333336</x:v>
      </x:c>
      <x:c r="C75" s="12" t="n">
        <x:v>0.8333333333333334</x:v>
      </x:c>
      <x:c r="D75" s="1" t="str">
        <x:v>Damak</x:v>
      </x:c>
      <x:c r="E75" s="1" t="str">
        <x:v>Milan’s Bakery</x:v>
      </x:c>
      <x:c r="F75" s="10" t="n">
        <x:v>3310</x:v>
      </x:c>
      <x:c r="G75" s="1" t="str">
        <x:v>DEMO / SIMULATED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 t="str">
        <x:v>JFD-20240120-0074</x:v>
      </x:c>
      <x:c r="B76" s="9" t="n">
        <x:v>45311.42013888889</x:v>
      </x:c>
      <x:c r="C76" s="12" t="n">
        <x:v>0.4201388888888889</x:v>
      </x:c>
      <x:c r="D76" s="1" t="str">
        <x:v>Damak</x:v>
      </x:c>
      <x:c r="E76" s="1" t="str">
        <x:v>Late Night Cravings</x:v>
      </x:c>
      <x:c r="F76" s="10" t="n">
        <x:v>280</x:v>
      </x:c>
      <x:c r="G76" s="1" t="str">
        <x:v>DEMO / SIMULATED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 t="str">
        <x:v>JFD-20241017-0075</x:v>
      </x:c>
      <x:c r="B77" s="9" t="n">
        <x:v>45582.67152777778</x:v>
      </x:c>
      <x:c r="C77" s="12" t="n">
        <x:v>0.6715277777777777</x:v>
      </x:c>
      <x:c r="D77" s="1" t="str">
        <x:v>Birtamode</x:v>
      </x:c>
      <x:c r="E77" s="1" t="str">
        <x:v>The Underground Cafe &amp; Restaurant</x:v>
      </x:c>
      <x:c r="F77" s="10" t="n">
        <x:v>70</x:v>
      </x:c>
      <x:c r="G77" s="1" t="str">
        <x:v>DEMO / SIMULATED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 t="str">
        <x:v>JFD-20231019-0076</x:v>
      </x:c>
      <x:c r="B78" s="9" t="n">
        <x:v>45218.7125</x:v>
      </x:c>
      <x:c r="C78" s="12" t="n">
        <x:v>0.7125</x:v>
      </x:c>
      <x:c r="D78" s="1" t="str">
        <x:v>Damak</x:v>
      </x:c>
      <x:c r="E78" s="1" t="str">
        <x:v>Milan’s Bakery</x:v>
      </x:c>
      <x:c r="F78" s="10" t="n">
        <x:v>810</x:v>
      </x:c>
      <x:c r="G78" s="1" t="str">
        <x:v>DEMO / SIMULATED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 t="str">
        <x:v>JFD-20260610-0077</x:v>
      </x:c>
      <x:c r="B79" s="9" t="n">
        <x:v>46183.53888888889</x:v>
      </x:c>
      <x:c r="C79" s="12" t="n">
        <x:v>0.5388888888888889</x:v>
      </x:c>
      <x:c r="D79" s="1" t="str">
        <x:v>Damak</x:v>
      </x:c>
      <x:c r="E79" s="1" t="str">
        <x:v>Late Night Cravings</x:v>
      </x:c>
      <x:c r="F79" s="10" t="n">
        <x:v>240</x:v>
      </x:c>
      <x:c r="G79" s="1" t="str">
        <x:v>DEMO / SIMULATED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 t="str">
        <x:v>JFD-20230215-0078</x:v>
      </x:c>
      <x:c r="B80" s="9" t="n">
        <x:v>44972.811111111114</x:v>
      </x:c>
      <x:c r="C80" s="12" t="n">
        <x:v>0.8111111111111111</x:v>
      </x:c>
      <x:c r="D80" s="1" t="str">
        <x:v>Birtamode</x:v>
      </x:c>
      <x:c r="E80" s="1" t="str">
        <x:v>The Underground Cafe &amp; Restaurant</x:v>
      </x:c>
      <x:c r="F80" s="10" t="n">
        <x:v>80</x:v>
      </x:c>
      <x:c r="G80" s="1" t="str">
        <x:v>DEMO / SIMULATED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 t="str">
        <x:v>JFD-20260718-0079</x:v>
      </x:c>
      <x:c r="B81" s="9" t="n">
        <x:v>46221.60625</x:v>
      </x:c>
      <x:c r="C81" s="12" t="n">
        <x:v>0.60625</x:v>
      </x:c>
      <x:c r="D81" s="1" t="str">
        <x:v>Birtamode</x:v>
      </x:c>
      <x:c r="E81" s="1" t="str">
        <x:v>The Underground Cafe &amp; Restaurant</x:v>
      </x:c>
      <x:c r="F81" s="10" t="n">
        <x:v>1245</x:v>
      </x:c>
      <x:c r="G81" s="1" t="str">
        <x:v>DEMO / SIMULATED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 t="str">
        <x:v>JFD-20240125-0080</x:v>
      </x:c>
      <x:c r="B82" s="9" t="n">
        <x:v>45316.60972222222</x:v>
      </x:c>
      <x:c r="C82" s="12" t="n">
        <x:v>0.6097222222222223</x:v>
      </x:c>
      <x:c r="D82" s="1" t="str">
        <x:v>Birtamode</x:v>
      </x:c>
      <x:c r="E82" s="1" t="str">
        <x:v>The Underground Cafe &amp; Restaurant</x:v>
      </x:c>
      <x:c r="F82" s="10" t="n">
        <x:v>535</x:v>
      </x:c>
      <x:c r="G82" s="1" t="str">
        <x:v>DEMO / SIMULATED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 t="str">
        <x:v>JFD-20250122-0081</x:v>
      </x:c>
      <x:c r="B83" s="9" t="n">
        <x:v>45679.82013888889</x:v>
      </x:c>
      <x:c r="C83" s="12" t="n">
        <x:v>0.8201388888888889</x:v>
      </x:c>
      <x:c r="D83" s="1" t="str">
        <x:v>Birtamode</x:v>
      </x:c>
      <x:c r="E83" s="1" t="str">
        <x:v>The Underground Cafe &amp; Restaurant</x:v>
      </x:c>
      <x:c r="F83" s="10" t="n">
        <x:v>410</x:v>
      </x:c>
      <x:c r="G83" s="1" t="str">
        <x:v>DEMO / SIMULATED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 t="str">
        <x:v>JFD-20260327-0082</x:v>
      </x:c>
      <x:c r="B84" s="9" t="n">
        <x:v>46108.575</x:v>
      </x:c>
      <x:c r="C84" s="12" t="n">
        <x:v>0.575</x:v>
      </x:c>
      <x:c r="D84" s="1" t="str">
        <x:v>Damak</x:v>
      </x:c>
      <x:c r="E84" s="1" t="str">
        <x:v>Late Night Cravings</x:v>
      </x:c>
      <x:c r="F84" s="10" t="n">
        <x:v>300</x:v>
      </x:c>
      <x:c r="G84" s="1" t="str">
        <x:v>DEMO / SIMULATED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 t="str">
        <x:v>JFD-20250514-0083</x:v>
      </x:c>
      <x:c r="B85" s="9" t="n">
        <x:v>45791.56875</x:v>
      </x:c>
      <x:c r="C85" s="12" t="n">
        <x:v>0.56875</x:v>
      </x:c>
      <x:c r="D85" s="1" t="str">
        <x:v>Birtamode</x:v>
      </x:c>
      <x:c r="E85" s="1" t="str">
        <x:v>The Underground Cafe &amp; Restaurant</x:v>
      </x:c>
      <x:c r="F85" s="10" t="n">
        <x:v>1205</x:v>
      </x:c>
      <x:c r="G85" s="1" t="str">
        <x:v>DEMO / SIMULATED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 t="str">
        <x:v>JFD-20240707-0084</x:v>
      </x:c>
      <x:c r="B86" s="9" t="n">
        <x:v>45480.82777777778</x:v>
      </x:c>
      <x:c r="C86" s="12" t="n">
        <x:v>0.8277777777777777</x:v>
      </x:c>
      <x:c r="D86" s="1" t="str">
        <x:v>Damak</x:v>
      </x:c>
      <x:c r="E86" s="1" t="str">
        <x:v>Milan’s Bakery</x:v>
      </x:c>
      <x:c r="F86" s="10" t="n">
        <x:v>1680</x:v>
      </x:c>
      <x:c r="G86" s="1" t="str">
        <x:v>DEMO / SIMULATED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 t="str">
        <x:v>JFD-20250702-0085</x:v>
      </x:c>
      <x:c r="B87" s="9" t="n">
        <x:v>45840.62847222222</x:v>
      </x:c>
      <x:c r="C87" s="12" t="n">
        <x:v>0.6284722222222222</x:v>
      </x:c>
      <x:c r="D87" s="1" t="str">
        <x:v>Birtamode</x:v>
      </x:c>
      <x:c r="E87" s="1" t="str">
        <x:v>The Underground Cafe &amp; Restaurant</x:v>
      </x:c>
      <x:c r="F87" s="10" t="n">
        <x:v>1010</x:v>
      </x:c>
      <x:c r="G87" s="1" t="str">
        <x:v>DEMO / SIMULATED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 t="str">
        <x:v>JFD-20250430-0086</x:v>
      </x:c>
      <x:c r="B88" s="9" t="n">
        <x:v>45777.44930555556</x:v>
      </x:c>
      <x:c r="C88" s="12" t="n">
        <x:v>0.44930555555555557</x:v>
      </x:c>
      <x:c r="D88" s="1" t="str">
        <x:v>Damak</x:v>
      </x:c>
      <x:c r="E88" s="1" t="str">
        <x:v>Late Night Cravings</x:v>
      </x:c>
      <x:c r="F88" s="10" t="n">
        <x:v>585</x:v>
      </x:c>
      <x:c r="G88" s="1" t="str">
        <x:v>DEMO / SIMULATED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 t="str">
        <x:v>JFD-20250329-0087</x:v>
      </x:c>
      <x:c r="B89" s="9" t="n">
        <x:v>45745.69861111111</x:v>
      </x:c>
      <x:c r="C89" s="12" t="n">
        <x:v>0.6986111111111111</x:v>
      </x:c>
      <x:c r="D89" s="1" t="str">
        <x:v>Birtamode</x:v>
      </x:c>
      <x:c r="E89" s="1" t="str">
        <x:v>The Underground Cafe &amp; Restaurant</x:v>
      </x:c>
      <x:c r="F89" s="10" t="n">
        <x:v>675</x:v>
      </x:c>
      <x:c r="G89" s="1" t="str">
        <x:v>DEMO / SIMULATED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 t="str">
        <x:v>JFD-20240724-0088</x:v>
      </x:c>
      <x:c r="B90" s="9" t="n">
        <x:v>45497.84930555556</x:v>
      </x:c>
      <x:c r="C90" s="12" t="n">
        <x:v>0.8493055555555555</x:v>
      </x:c>
      <x:c r="D90" s="1" t="str">
        <x:v>Damak</x:v>
      </x:c>
      <x:c r="E90" s="1" t="str">
        <x:v>Milan’s Bakery</x:v>
      </x:c>
      <x:c r="F90" s="10" t="n">
        <x:v>530</x:v>
      </x:c>
      <x:c r="G90" s="1" t="str">
        <x:v>DEMO / SIMULATED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 t="str">
        <x:v>JFD-20230708-0089</x:v>
      </x:c>
      <x:c r="B91" s="9" t="n">
        <x:v>45115.66736111111</x:v>
      </x:c>
      <x:c r="C91" s="12" t="n">
        <x:v>0.6673611111111111</x:v>
      </x:c>
      <x:c r="D91" s="1" t="str">
        <x:v>Damak</x:v>
      </x:c>
      <x:c r="E91" s="1" t="str">
        <x:v>Milan’s Bakery</x:v>
      </x:c>
      <x:c r="F91" s="10" t="n">
        <x:v>1120</x:v>
      </x:c>
      <x:c r="G91" s="1" t="str">
        <x:v>DEMO / SIMULATED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 t="str">
        <x:v>JFD-20230221-0090</x:v>
      </x:c>
      <x:c r="B92" s="9" t="n">
        <x:v>44978.544444444444</x:v>
      </x:c>
      <x:c r="C92" s="12" t="n">
        <x:v>0.5444444444444444</x:v>
      </x:c>
      <x:c r="D92" s="1" t="str">
        <x:v>Damak</x:v>
      </x:c>
      <x:c r="E92" s="1" t="str">
        <x:v>Milan’s Bakery</x:v>
      </x:c>
      <x:c r="F92" s="10" t="n">
        <x:v>740</x:v>
      </x:c>
      <x:c r="G92" s="1" t="str">
        <x:v>DEMO / SIMULATED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 t="str">
        <x:v>JFD-20250804-0091</x:v>
      </x:c>
      <x:c r="B93" s="9" t="n">
        <x:v>45873.654861111114</x:v>
      </x:c>
      <x:c r="C93" s="12" t="n">
        <x:v>0.6548611111111111</x:v>
      </x:c>
      <x:c r="D93" s="1" t="str">
        <x:v>Damak</x:v>
      </x:c>
      <x:c r="E93" s="1" t="str">
        <x:v>Milan’s Bakery</x:v>
      </x:c>
      <x:c r="F93" s="10" t="n">
        <x:v>3650</x:v>
      </x:c>
      <x:c r="G93" s="1" t="str">
        <x:v>DEMO / SIMULATED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 t="str">
        <x:v>JFD-20260804-0092</x:v>
      </x:c>
      <x:c r="B94" s="9" t="n">
        <x:v>46238.60138888889</x:v>
      </x:c>
      <x:c r="C94" s="12" t="n">
        <x:v>0.6013888888888889</x:v>
      </x:c>
      <x:c r="D94" s="1" t="str">
        <x:v>Damak</x:v>
      </x:c>
      <x:c r="E94" s="1" t="str">
        <x:v>Milan’s Bakery</x:v>
      </x:c>
      <x:c r="F94" s="10" t="n">
        <x:v>1550</x:v>
      </x:c>
      <x:c r="G94" s="1" t="str">
        <x:v>DEMO / SIMULATED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 t="str">
        <x:v>JFD-20250714-0093</x:v>
      </x:c>
      <x:c r="B95" s="9" t="n">
        <x:v>45852.80138888889</x:v>
      </x:c>
      <x:c r="C95" s="12" t="n">
        <x:v>0.8013888888888889</x:v>
      </x:c>
      <x:c r="D95" s="1" t="str">
        <x:v>Birtamode</x:v>
      </x:c>
      <x:c r="E95" s="1" t="str">
        <x:v>The Underground Cafe &amp; Restaurant</x:v>
      </x:c>
      <x:c r="F95" s="10" t="n">
        <x:v>160</x:v>
      </x:c>
      <x:c r="G95" s="1" t="str">
        <x:v>DEMO / SIMULATED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 t="str">
        <x:v>JFD-20230610-0094</x:v>
      </x:c>
      <x:c r="B96" s="9" t="n">
        <x:v>45087.714583333334</x:v>
      </x:c>
      <x:c r="C96" s="12" t="n">
        <x:v>0.7145833333333333</x:v>
      </x:c>
      <x:c r="D96" s="1" t="str">
        <x:v>Damak</x:v>
      </x:c>
      <x:c r="E96" s="1" t="str">
        <x:v>Late Night Cravings</x:v>
      </x:c>
      <x:c r="F96" s="10" t="n">
        <x:v>720</x:v>
      </x:c>
      <x:c r="G96" s="1" t="str">
        <x:v>DEMO / SIMULATED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 t="str">
        <x:v>JFD-20230310-0095</x:v>
      </x:c>
      <x:c r="B97" s="9" t="n">
        <x:v>44995.506944444445</x:v>
      </x:c>
      <x:c r="C97" s="12" t="n">
        <x:v>0.5069444444444444</x:v>
      </x:c>
      <x:c r="D97" s="1" t="str">
        <x:v>Damak</x:v>
      </x:c>
      <x:c r="E97" s="1" t="str">
        <x:v>Milan’s Bakery</x:v>
      </x:c>
      <x:c r="F97" s="10" t="n">
        <x:v>2960</x:v>
      </x:c>
      <x:c r="G97" s="1" t="str">
        <x:v>DEMO / SIMULATED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 t="str">
        <x:v>JFD-20250816-0096</x:v>
      </x:c>
      <x:c r="B98" s="9" t="n">
        <x:v>45885.885416666664</x:v>
      </x:c>
      <x:c r="C98" s="12" t="n">
        <x:v>0.8854166666666666</x:v>
      </x:c>
      <x:c r="D98" s="1" t="str">
        <x:v>Birtamode</x:v>
      </x:c>
      <x:c r="E98" s="1" t="str">
        <x:v>The Underground Cafe &amp; Restaurant</x:v>
      </x:c>
      <x:c r="F98" s="10" t="n">
        <x:v>80</x:v>
      </x:c>
      <x:c r="G98" s="1" t="str">
        <x:v>DEMO / SIMULATED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 t="str">
        <x:v>JFD-20240130-0097</x:v>
      </x:c>
      <x:c r="B99" s="9" t="n">
        <x:v>45321.53125</x:v>
      </x:c>
      <x:c r="C99" s="12" t="n">
        <x:v>0.53125</x:v>
      </x:c>
      <x:c r="D99" s="1" t="str">
        <x:v>Damak</x:v>
      </x:c>
      <x:c r="E99" s="1" t="str">
        <x:v>Milan’s Bakery</x:v>
      </x:c>
      <x:c r="F99" s="10" t="n">
        <x:v>530</x:v>
      </x:c>
      <x:c r="G99" s="1" t="str">
        <x:v>DEMO / SIMULATED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 t="str">
        <x:v>JFD-20240717-0098</x:v>
      </x:c>
      <x:c r="B100" s="9" t="n">
        <x:v>45490.53958333333</x:v>
      </x:c>
      <x:c r="C100" s="12" t="n">
        <x:v>0.5395833333333333</x:v>
      </x:c>
      <x:c r="D100" s="1" t="str">
        <x:v>Birtamode</x:v>
      </x:c>
      <x:c r="E100" s="1" t="str">
        <x:v>The Underground Cafe &amp; Restaurant</x:v>
      </x:c>
      <x:c r="F100" s="10" t="n">
        <x:v>655</x:v>
      </x:c>
      <x:c r="G100" s="1" t="str">
        <x:v>DEMO / SIMULATED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t="str">
        <x:v>JFD-20250329-0099</x:v>
      </x:c>
      <x:c r="B101" s="11" t="n">
        <x:v>45745.70416666667</x:v>
      </x:c>
      <x:c r="C101" s="13" t="n">
        <x:v>0.7041666666666667</x:v>
      </x:c>
      <x:c r="D101" t="str">
        <x:v>Damak</x:v>
      </x:c>
      <x:c r="E101" t="str">
        <x:v>Late Night Cravings</x:v>
      </x:c>
      <x:c r="F101" s="14" t="n">
        <x:v>1060</x:v>
      </x:c>
      <x:c r="G101" t="str">
        <x:v>DEMO / SIMULATED</x:v>
      </x:c>
    </x:row>
    <x:row r="102">
      <x:c r="A102" t="str">
        <x:v>JFD-20240619-0100</x:v>
      </x:c>
      <x:c r="B102" s="11" t="n">
        <x:v>45462.86736111111</x:v>
      </x:c>
      <x:c r="C102" s="13" t="n">
        <x:v>0.8673611111111111</x:v>
      </x:c>
      <x:c r="D102" t="str">
        <x:v>Damak</x:v>
      </x:c>
      <x:c r="E102" t="str">
        <x:v>Milan’s Bakery</x:v>
      </x:c>
      <x:c r="F102" s="14" t="n">
        <x:v>2405</x:v>
      </x:c>
      <x:c r="G102" t="str">
        <x:v>DEMO / SIMULATED</x:v>
      </x:c>
    </x:row>
    <x:row r="103">
      <x:c r="A103" t="str">
        <x:v>JFD-20241006-0101</x:v>
      </x:c>
      <x:c r="B103" s="11" t="n">
        <x:v>45571.79583333333</x:v>
      </x:c>
      <x:c r="C103" s="13" t="n">
        <x:v>0.7958333333333333</x:v>
      </x:c>
      <x:c r="D103" t="str">
        <x:v>Damak</x:v>
      </x:c>
      <x:c r="E103" t="str">
        <x:v>Late Night Cravings</x:v>
      </x:c>
      <x:c r="F103" s="14" t="n">
        <x:v>315</x:v>
      </x:c>
      <x:c r="G103" t="str">
        <x:v>DEMO / SIMULATED</x:v>
      </x:c>
    </x:row>
    <x:row r="104">
      <x:c r="A104" t="str">
        <x:v>JFD-20260926-0102</x:v>
      </x:c>
      <x:c r="B104" s="11" t="n">
        <x:v>46291.458333333336</x:v>
      </x:c>
      <x:c r="C104" s="13" t="n">
        <x:v>0.4583333333333333</x:v>
      </x:c>
      <x:c r="D104" t="str">
        <x:v>Birtamode</x:v>
      </x:c>
      <x:c r="E104" t="str">
        <x:v>The Underground Cafe &amp; Restaurant</x:v>
      </x:c>
      <x:c r="F104" s="14" t="n">
        <x:v>525</x:v>
      </x:c>
      <x:c r="G104" t="str">
        <x:v>DEMO / SIMULATED</x:v>
      </x:c>
    </x:row>
    <x:row r="105">
      <x:c r="A105" t="str">
        <x:v>JFD-20250412-0103</x:v>
      </x:c>
      <x:c r="B105" s="11" t="n">
        <x:v>45759.85486111111</x:v>
      </x:c>
      <x:c r="C105" s="13" t="n">
        <x:v>0.8548611111111111</x:v>
      </x:c>
      <x:c r="D105" t="str">
        <x:v>Birtamode</x:v>
      </x:c>
      <x:c r="E105" t="str">
        <x:v>Pizza Ghar</x:v>
      </x:c>
      <x:c r="F105" s="14" t="n">
        <x:v>1660</x:v>
      </x:c>
      <x:c r="G105" t="str">
        <x:v>DEMO / SIMULATED</x:v>
      </x:c>
    </x:row>
    <x:row r="106">
      <x:c r="A106" t="str">
        <x:v>JFD-20240903-0104</x:v>
      </x:c>
      <x:c r="B106" s="11" t="n">
        <x:v>45538.73333333333</x:v>
      </x:c>
      <x:c r="C106" s="13" t="n">
        <x:v>0.7333333333333333</x:v>
      </x:c>
      <x:c r="D106" t="str">
        <x:v>Birtamode</x:v>
      </x:c>
      <x:c r="E106" t="str">
        <x:v>The Underground Cafe &amp; Restaurant</x:v>
      </x:c>
      <x:c r="F106" s="14" t="n">
        <x:v>540</x:v>
      </x:c>
      <x:c r="G106" t="str">
        <x:v>DEMO / SIMULATED</x:v>
      </x:c>
    </x:row>
    <x:row r="107">
      <x:c r="A107" t="str">
        <x:v>JFD-20240825-0105</x:v>
      </x:c>
      <x:c r="B107" s="11" t="n">
        <x:v>45529.89722222222</x:v>
      </x:c>
      <x:c r="C107" s="13" t="n">
        <x:v>0.8972222222222223</x:v>
      </x:c>
      <x:c r="D107" t="str">
        <x:v>Damak</x:v>
      </x:c>
      <x:c r="E107" t="str">
        <x:v>Late Night Cravings</x:v>
      </x:c>
      <x:c r="F107" s="14" t="n">
        <x:v>230</x:v>
      </x:c>
      <x:c r="G107" t="str">
        <x:v>DEMO / SIMULATED</x:v>
      </x:c>
    </x:row>
    <x:row r="108">
      <x:c r="A108" t="str">
        <x:v>JFD-20240101-0106</x:v>
      </x:c>
      <x:c r="B108" s="11" t="n">
        <x:v>45292.78958333333</x:v>
      </x:c>
      <x:c r="C108" s="13" t="n">
        <x:v>0.7895833333333333</x:v>
      </x:c>
      <x:c r="D108" t="str">
        <x:v>Damak</x:v>
      </x:c>
      <x:c r="E108" t="str">
        <x:v>Late Night Cravings</x:v>
      </x:c>
      <x:c r="F108" s="14" t="n">
        <x:v>725</x:v>
      </x:c>
      <x:c r="G108" t="str">
        <x:v>DEMO / SIMULATED</x:v>
      </x:c>
    </x:row>
    <x:row r="109">
      <x:c r="A109" t="str">
        <x:v>JFD-20250421-0107</x:v>
      </x:c>
      <x:c r="B109" s="11" t="n">
        <x:v>45768.475</x:v>
      </x:c>
      <x:c r="C109" s="13" t="n">
        <x:v>0.475</x:v>
      </x:c>
      <x:c r="D109" t="str">
        <x:v>Damak</x:v>
      </x:c>
      <x:c r="E109" t="str">
        <x:v>Late Night Cravings</x:v>
      </x:c>
      <x:c r="F109" s="14" t="n">
        <x:v>570</x:v>
      </x:c>
      <x:c r="G109" t="str">
        <x:v>DEMO / SIMULATED</x:v>
      </x:c>
    </x:row>
    <x:row r="110">
      <x:c r="A110" t="str">
        <x:v>JFD-20260713-0108</x:v>
      </x:c>
      <x:c r="B110" s="11" t="n">
        <x:v>46216.70138888889</x:v>
      </x:c>
      <x:c r="C110" s="13" t="n">
        <x:v>0.7013888888888888</x:v>
      </x:c>
      <x:c r="D110" t="str">
        <x:v>Damak</x:v>
      </x:c>
      <x:c r="E110" t="str">
        <x:v>Late Night Cravings</x:v>
      </x:c>
      <x:c r="F110" s="14" t="n">
        <x:v>80</x:v>
      </x:c>
      <x:c r="G110" t="str">
        <x:v>DEMO / SIMULATED</x:v>
      </x:c>
    </x:row>
    <x:row r="111">
      <x:c r="A111" t="str">
        <x:v>JFD-20241129-0109</x:v>
      </x:c>
      <x:c r="B111" s="11" t="n">
        <x:v>45625.64722222222</x:v>
      </x:c>
      <x:c r="C111" s="13" t="n">
        <x:v>0.6472222222222223</x:v>
      </x:c>
      <x:c r="D111" t="str">
        <x:v>Damak</x:v>
      </x:c>
      <x:c r="E111" t="str">
        <x:v>Milan’s Bakery</x:v>
      </x:c>
      <x:c r="F111" s="14" t="n">
        <x:v>4090</x:v>
      </x:c>
      <x:c r="G111" t="str">
        <x:v>DEMO / SIMULATED</x:v>
      </x:c>
    </x:row>
    <x:row r="112">
      <x:c r="A112" t="str">
        <x:v>JFD-20230204-0110</x:v>
      </x:c>
      <x:c r="B112" s="11" t="n">
        <x:v>44961.572222222225</x:v>
      </x:c>
      <x:c r="C112" s="13" t="n">
        <x:v>0.5722222222222222</x:v>
      </x:c>
      <x:c r="D112" t="str">
        <x:v>Damak</x:v>
      </x:c>
      <x:c r="E112" t="str">
        <x:v>Late Night Cravings</x:v>
      </x:c>
      <x:c r="F112" s="14" t="n">
        <x:v>1010</x:v>
      </x:c>
      <x:c r="G112" t="str">
        <x:v>DEMO / SIMULATED</x:v>
      </x:c>
    </x:row>
    <x:row r="113">
      <x:c r="A113" t="str">
        <x:v>JFD-20251216-0111</x:v>
      </x:c>
      <x:c r="B113" s="11" t="n">
        <x:v>46007.72361111111</x:v>
      </x:c>
      <x:c r="C113" s="13" t="n">
        <x:v>0.7236111111111111</x:v>
      </x:c>
      <x:c r="D113" t="str">
        <x:v>Damak</x:v>
      </x:c>
      <x:c r="E113" t="str">
        <x:v>Milan’s Bakery</x:v>
      </x:c>
      <x:c r="F113" s="14" t="n">
        <x:v>1780</x:v>
      </x:c>
      <x:c r="G113" t="str">
        <x:v>DEMO / SIMULATED</x:v>
      </x:c>
    </x:row>
    <x:row r="114">
      <x:c r="A114" t="str">
        <x:v>JFD-20250125-0112</x:v>
      </x:c>
      <x:c r="B114" s="11" t="n">
        <x:v>45682.8375</x:v>
      </x:c>
      <x:c r="C114" s="13" t="n">
        <x:v>0.8375</x:v>
      </x:c>
      <x:c r="D114" t="str">
        <x:v>Damak</x:v>
      </x:c>
      <x:c r="E114" t="str">
        <x:v>Late Night Cravings</x:v>
      </x:c>
      <x:c r="F114" s="14" t="n">
        <x:v>610</x:v>
      </x:c>
      <x:c r="G114" t="str">
        <x:v>DEMO / SIMULATED</x:v>
      </x:c>
    </x:row>
    <x:row r="115">
      <x:c r="A115" t="str">
        <x:v>JFD-20250526-0113</x:v>
      </x:c>
      <x:c r="B115" s="11" t="n">
        <x:v>45803.74097222222</x:v>
      </x:c>
      <x:c r="C115" s="13" t="n">
        <x:v>0.7409722222222223</x:v>
      </x:c>
      <x:c r="D115" t="str">
        <x:v>Damak</x:v>
      </x:c>
      <x:c r="E115" t="str">
        <x:v>Milan’s Bakery</x:v>
      </x:c>
      <x:c r="F115" s="14" t="n">
        <x:v>2815</x:v>
      </x:c>
      <x:c r="G115" t="str">
        <x:v>DEMO / SIMULATED</x:v>
      </x:c>
    </x:row>
    <x:row r="116">
      <x:c r="A116" t="str">
        <x:v>JFD-20250907-0114</x:v>
      </x:c>
      <x:c r="B116" s="11" t="n">
        <x:v>45907.63333333333</x:v>
      </x:c>
      <x:c r="C116" s="13" t="n">
        <x:v>0.6333333333333333</x:v>
      </x:c>
      <x:c r="D116" t="str">
        <x:v>Birtamode</x:v>
      </x:c>
      <x:c r="E116" t="str">
        <x:v>The Underground Cafe &amp; Restaurant</x:v>
      </x:c>
      <x:c r="F116" s="14" t="n">
        <x:v>1000</x:v>
      </x:c>
      <x:c r="G116" t="str">
        <x:v>DEMO / SIMULATED</x:v>
      </x:c>
    </x:row>
    <x:row r="117">
      <x:c r="A117" t="str">
        <x:v>JFD-20260701-0115</x:v>
      </x:c>
      <x:c r="B117" s="11" t="n">
        <x:v>46204.73055555556</x:v>
      </x:c>
      <x:c r="C117" s="13" t="n">
        <x:v>0.7305555555555555</x:v>
      </x:c>
      <x:c r="D117" t="str">
        <x:v>Birtamode</x:v>
      </x:c>
      <x:c r="E117" t="str">
        <x:v>Pizza Ghar</x:v>
      </x:c>
      <x:c r="F117" s="14" t="n">
        <x:v>1680</x:v>
      </x:c>
      <x:c r="G117" t="str">
        <x:v>DEMO / SIMULATED</x:v>
      </x:c>
    </x:row>
    <x:row r="118">
      <x:c r="A118" t="str">
        <x:v>JFD-20240401-0116</x:v>
      </x:c>
      <x:c r="B118" s="11" t="n">
        <x:v>45383.50763888889</x:v>
      </x:c>
      <x:c r="C118" s="13" t="n">
        <x:v>0.5076388888888889</x:v>
      </x:c>
      <x:c r="D118" t="str">
        <x:v>Birtamode</x:v>
      </x:c>
      <x:c r="E118" t="str">
        <x:v>Pizza Ghar</x:v>
      </x:c>
      <x:c r="F118" s="14" t="n">
        <x:v>690</x:v>
      </x:c>
      <x:c r="G118" t="str">
        <x:v>DEMO / SIMULATED</x:v>
      </x:c>
    </x:row>
    <x:row r="119">
      <x:c r="A119" t="str">
        <x:v>JFD-20260313-0117</x:v>
      </x:c>
      <x:c r="B119" s="11" t="n">
        <x:v>46094.80694444444</x:v>
      </x:c>
      <x:c r="C119" s="13" t="n">
        <x:v>0.8069444444444445</x:v>
      </x:c>
      <x:c r="D119" t="str">
        <x:v>Damak</x:v>
      </x:c>
      <x:c r="E119" t="str">
        <x:v>Milan’s Bakery</x:v>
      </x:c>
      <x:c r="F119" s="14" t="n">
        <x:v>900</x:v>
      </x:c>
      <x:c r="G119" t="str">
        <x:v>DEMO / SIMULATED</x:v>
      </x:c>
    </x:row>
    <x:row r="120">
      <x:c r="A120" t="str">
        <x:v>JFD-20231231-0118</x:v>
      </x:c>
      <x:c r="B120" s="11" t="n">
        <x:v>45291.62013888889</x:v>
      </x:c>
      <x:c r="C120" s="13" t="n">
        <x:v>0.6201388888888889</x:v>
      </x:c>
      <x:c r="D120" t="str">
        <x:v>Birtamode</x:v>
      </x:c>
      <x:c r="E120" t="str">
        <x:v>Pizza Ghar</x:v>
      </x:c>
      <x:c r="F120" s="14" t="n">
        <x:v>180</x:v>
      </x:c>
      <x:c r="G120" t="str">
        <x:v>DEMO / SIMULATED</x:v>
      </x:c>
    </x:row>
    <x:row r="121">
      <x:c r="A121" t="str">
        <x:v>JFD-20230302-0119</x:v>
      </x:c>
      <x:c r="B121" s="11" t="n">
        <x:v>44987.884722222225</x:v>
      </x:c>
      <x:c r="C121" s="13" t="n">
        <x:v>0.8847222222222222</x:v>
      </x:c>
      <x:c r="D121" t="str">
        <x:v>Birtamode</x:v>
      </x:c>
      <x:c r="E121" t="str">
        <x:v>Pizza Ghar</x:v>
      </x:c>
      <x:c r="F121" s="14" t="n">
        <x:v>240</x:v>
      </x:c>
      <x:c r="G121" t="str">
        <x:v>DEMO / SIMULATED</x:v>
      </x:c>
    </x:row>
    <x:row r="122">
      <x:c r="A122" t="str">
        <x:v>JFD-20230313-0120</x:v>
      </x:c>
      <x:c r="B122" s="11" t="n">
        <x:v>44998.90972222222</x:v>
      </x:c>
      <x:c r="C122" s="13" t="n">
        <x:v>0.9097222222222222</x:v>
      </x:c>
      <x:c r="D122" t="str">
        <x:v>Birtamode</x:v>
      </x:c>
      <x:c r="E122" t="str">
        <x:v>Pizza Ghar</x:v>
      </x:c>
      <x:c r="F122" s="14" t="n">
        <x:v>320</x:v>
      </x:c>
      <x:c r="G122" t="str">
        <x:v>DEMO / SIMULATED</x:v>
      </x:c>
    </x:row>
    <x:row r="123">
      <x:c r="A123" t="str">
        <x:v>JFD-20250113-0121</x:v>
      </x:c>
      <x:c r="B123" s="11" t="n">
        <x:v>45670.76388888889</x:v>
      </x:c>
      <x:c r="C123" s="13" t="n">
        <x:v>0.7638888888888888</x:v>
      </x:c>
      <x:c r="D123" t="str">
        <x:v>Damak</x:v>
      </x:c>
      <x:c r="E123" t="str">
        <x:v>Late Night Cravings</x:v>
      </x:c>
      <x:c r="F123" s="14" t="n">
        <x:v>120</x:v>
      </x:c>
      <x:c r="G123" t="str">
        <x:v>DEMO / SIMULATED</x:v>
      </x:c>
    </x:row>
    <x:row r="124">
      <x:c r="A124" t="str">
        <x:v>JFD-20230830-0122</x:v>
      </x:c>
      <x:c r="B124" s="11" t="n">
        <x:v>45168.71875</x:v>
      </x:c>
      <x:c r="C124" s="13" t="n">
        <x:v>0.71875</x:v>
      </x:c>
      <x:c r="D124" t="str">
        <x:v>Birtamode</x:v>
      </x:c>
      <x:c r="E124" t="str">
        <x:v>Pizza Ghar</x:v>
      </x:c>
      <x:c r="F124" s="14" t="n">
        <x:v>245</x:v>
      </x:c>
      <x:c r="G124" t="str">
        <x:v>DEMO / SIMULATED</x:v>
      </x:c>
    </x:row>
    <x:row r="125">
      <x:c r="A125" t="str">
        <x:v>JFD-20250125-0123</x:v>
      </x:c>
      <x:c r="B125" s="11" t="n">
        <x:v>45682.524305555555</x:v>
      </x:c>
      <x:c r="C125" s="13" t="n">
        <x:v>0.5243055555555556</x:v>
      </x:c>
      <x:c r="D125" t="str">
        <x:v>Birtamode</x:v>
      </x:c>
      <x:c r="E125" t="str">
        <x:v>The Underground Cafe &amp; Restaurant</x:v>
      </x:c>
      <x:c r="F125" s="14" t="n">
        <x:v>520</x:v>
      </x:c>
      <x:c r="G125" t="str">
        <x:v>DEMO / SIMULATED</x:v>
      </x:c>
    </x:row>
    <x:row r="126">
      <x:c r="A126" t="str">
        <x:v>JFD-20231209-0124</x:v>
      </x:c>
      <x:c r="B126" s="11" t="n">
        <x:v>45269.416666666664</x:v>
      </x:c>
      <x:c r="C126" s="13" t="n">
        <x:v>0.4166666666666667</x:v>
      </x:c>
      <x:c r="D126" t="str">
        <x:v>Damak</x:v>
      </x:c>
      <x:c r="E126" t="str">
        <x:v>Late Night Cravings</x:v>
      </x:c>
      <x:c r="F126" s="14" t="n">
        <x:v>460</x:v>
      </x:c>
      <x:c r="G126" t="str">
        <x:v>DEMO / SIMULATED</x:v>
      </x:c>
    </x:row>
    <x:row r="127">
      <x:c r="A127" t="str">
        <x:v>JFD-20260906-0125</x:v>
      </x:c>
      <x:c r="B127" s="11" t="n">
        <x:v>46271.759722222225</x:v>
      </x:c>
      <x:c r="C127" s="13" t="n">
        <x:v>0.7597222222222222</x:v>
      </x:c>
      <x:c r="D127" t="str">
        <x:v>Birtamode</x:v>
      </x:c>
      <x:c r="E127" t="str">
        <x:v>The Underground Cafe &amp; Restaurant</x:v>
      </x:c>
      <x:c r="F127" s="14" t="n">
        <x:v>155</x:v>
      </x:c>
      <x:c r="G127" t="str">
        <x:v>DEMO / SIMULATED</x:v>
      </x:c>
    </x:row>
    <x:row r="128">
      <x:c r="A128" t="str">
        <x:v>JFD-20230901-0126</x:v>
      </x:c>
      <x:c r="B128" s="11" t="n">
        <x:v>45170.5875</x:v>
      </x:c>
      <x:c r="C128" s="13" t="n">
        <x:v>0.5875</x:v>
      </x:c>
      <x:c r="D128" t="str">
        <x:v>Damak</x:v>
      </x:c>
      <x:c r="E128" t="str">
        <x:v>Milan’s Bakery</x:v>
      </x:c>
      <x:c r="F128" s="14" t="n">
        <x:v>1835</x:v>
      </x:c>
      <x:c r="G128" t="str">
        <x:v>DEMO / SIMULATED</x:v>
      </x:c>
    </x:row>
    <x:row r="129">
      <x:c r="A129" t="str">
        <x:v>JFD-20251111-0127</x:v>
      </x:c>
      <x:c r="B129" s="11" t="n">
        <x:v>45972.527083333334</x:v>
      </x:c>
      <x:c r="C129" s="13" t="n">
        <x:v>0.5270833333333333</x:v>
      </x:c>
      <x:c r="D129" t="str">
        <x:v>Damak</x:v>
      </x:c>
      <x:c r="E129" t="str">
        <x:v>Milan’s Bakery</x:v>
      </x:c>
      <x:c r="F129" s="14" t="n">
        <x:v>425</x:v>
      </x:c>
      <x:c r="G129" t="str">
        <x:v>DEMO / SIMULATED</x:v>
      </x:c>
    </x:row>
    <x:row r="130">
      <x:c r="A130" t="str">
        <x:v>JFD-20240224-0128</x:v>
      </x:c>
      <x:c r="B130" s="11" t="n">
        <x:v>45346.63958333333</x:v>
      </x:c>
      <x:c r="C130" s="13" t="n">
        <x:v>0.6395833333333333</x:v>
      </x:c>
      <x:c r="D130" t="str">
        <x:v>Damak</x:v>
      </x:c>
      <x:c r="E130" t="str">
        <x:v>Milan’s Bakery</x:v>
      </x:c>
      <x:c r="F130" s="14" t="n">
        <x:v>2370</x:v>
      </x:c>
      <x:c r="G130" t="str">
        <x:v>DEMO / SIMULATED</x:v>
      </x:c>
    </x:row>
    <x:row r="131">
      <x:c r="A131" t="str">
        <x:v>JFD-20260220-0129</x:v>
      </x:c>
      <x:c r="B131" s="11" t="n">
        <x:v>46073.895833333336</x:v>
      </x:c>
      <x:c r="C131" s="13" t="n">
        <x:v>0.8958333333333334</x:v>
      </x:c>
      <x:c r="D131" t="str">
        <x:v>Damak</x:v>
      </x:c>
      <x:c r="E131" t="str">
        <x:v>Late Night Cravings</x:v>
      </x:c>
      <x:c r="F131" s="14" t="n">
        <x:v>780</x:v>
      </x:c>
      <x:c r="G131" t="str">
        <x:v>DEMO / SIMULATED</x:v>
      </x:c>
    </x:row>
    <x:row r="132">
      <x:c r="A132" t="str">
        <x:v>JFD-20260325-0130</x:v>
      </x:c>
      <x:c r="B132" s="11" t="n">
        <x:v>46106.64444444444</x:v>
      </x:c>
      <x:c r="C132" s="13" t="n">
        <x:v>0.6444444444444445</x:v>
      </x:c>
      <x:c r="D132" t="str">
        <x:v>Damak</x:v>
      </x:c>
      <x:c r="E132" t="str">
        <x:v>Late Night Cravings</x:v>
      </x:c>
      <x:c r="F132" s="14" t="n">
        <x:v>840</x:v>
      </x:c>
      <x:c r="G132" t="str">
        <x:v>DEMO / SIMULATED</x:v>
      </x:c>
    </x:row>
    <x:row r="133">
      <x:c r="A133" t="str">
        <x:v>JFD-20240325-0131</x:v>
      </x:c>
      <x:c r="B133" s="11" t="n">
        <x:v>45376.54861111111</x:v>
      </x:c>
      <x:c r="C133" s="13" t="n">
        <x:v>0.5486111111111112</x:v>
      </x:c>
      <x:c r="D133" t="str">
        <x:v>Damak</x:v>
      </x:c>
      <x:c r="E133" t="str">
        <x:v>Late Night Cravings</x:v>
      </x:c>
      <x:c r="F133" s="14" t="n">
        <x:v>735</x:v>
      </x:c>
      <x:c r="G133" t="str">
        <x:v>DEMO / SIMULATED</x:v>
      </x:c>
    </x:row>
    <x:row r="134">
      <x:c r="A134" t="str">
        <x:v>JFD-20250601-0132</x:v>
      </x:c>
      <x:c r="B134" s="11" t="n">
        <x:v>45809.63680555556</x:v>
      </x:c>
      <x:c r="C134" s="13" t="n">
        <x:v>0.6368055555555555</x:v>
      </x:c>
      <x:c r="D134" t="str">
        <x:v>Damak</x:v>
      </x:c>
      <x:c r="E134" t="str">
        <x:v>Milan’s Bakery</x:v>
      </x:c>
      <x:c r="F134" s="14" t="n">
        <x:v>1505</x:v>
      </x:c>
      <x:c r="G134" t="str">
        <x:v>DEMO / SIMULATED</x:v>
      </x:c>
    </x:row>
    <x:row r="135">
      <x:c r="A135" t="str">
        <x:v>JFD-20250710-0133</x:v>
      </x:c>
      <x:c r="B135" s="11" t="n">
        <x:v>45848.60486111111</x:v>
      </x:c>
      <x:c r="C135" s="13" t="n">
        <x:v>0.6048611111111111</x:v>
      </x:c>
      <x:c r="D135" t="str">
        <x:v>Damak</x:v>
      </x:c>
      <x:c r="E135" t="str">
        <x:v>Late Night Cravings</x:v>
      </x:c>
      <x:c r="F135" s="14" t="n">
        <x:v>900</x:v>
      </x:c>
      <x:c r="G135" t="str">
        <x:v>DEMO / SIMULATED</x:v>
      </x:c>
    </x:row>
    <x:row r="136">
      <x:c r="A136" t="str">
        <x:v>JFD-20250120-0134</x:v>
      </x:c>
      <x:c r="B136" s="11" t="n">
        <x:v>45677.79583333333</x:v>
      </x:c>
      <x:c r="C136" s="13" t="n">
        <x:v>0.7958333333333333</x:v>
      </x:c>
      <x:c r="D136" t="str">
        <x:v>Damak</x:v>
      </x:c>
      <x:c r="E136" t="str">
        <x:v>Milan’s Bakery</x:v>
      </x:c>
      <x:c r="F136" s="14" t="n">
        <x:v>2440</x:v>
      </x:c>
      <x:c r="G136" t="str">
        <x:v>DEMO / SIMULATED</x:v>
      </x:c>
    </x:row>
    <x:row r="137">
      <x:c r="A137" t="str">
        <x:v>JFD-20241207-0135</x:v>
      </x:c>
      <x:c r="B137" s="11" t="n">
        <x:v>45633.84305555555</x:v>
      </x:c>
      <x:c r="C137" s="13" t="n">
        <x:v>0.8430555555555556</x:v>
      </x:c>
      <x:c r="D137" t="str">
        <x:v>Birtamode</x:v>
      </x:c>
      <x:c r="E137" t="str">
        <x:v>The Underground Cafe &amp; Restaurant</x:v>
      </x:c>
      <x:c r="F137" s="14" t="n">
        <x:v>310</x:v>
      </x:c>
      <x:c r="G137" t="str">
        <x:v>DEMO / SIMULATED</x:v>
      </x:c>
    </x:row>
    <x:row r="138">
      <x:c r="A138" t="str">
        <x:v>JFD-20230904-0136</x:v>
      </x:c>
      <x:c r="B138" s="11" t="n">
        <x:v>45173.424305555556</x:v>
      </x:c>
      <x:c r="C138" s="13" t="n">
        <x:v>0.42430555555555555</x:v>
      </x:c>
      <x:c r="D138" t="str">
        <x:v>Birtamode</x:v>
      </x:c>
      <x:c r="E138" t="str">
        <x:v>Pizza Ghar</x:v>
      </x:c>
      <x:c r="F138" s="14" t="n">
        <x:v>780</x:v>
      </x:c>
      <x:c r="G138" t="str">
        <x:v>DEMO / SIMULATED</x:v>
      </x:c>
    </x:row>
    <x:row r="139">
      <x:c r="A139" t="str">
        <x:v>JFD-20240129-0137</x:v>
      </x:c>
      <x:c r="B139" s="11" t="n">
        <x:v>45320.811111111114</x:v>
      </x:c>
      <x:c r="C139" s="13" t="n">
        <x:v>0.8111111111111111</x:v>
      </x:c>
      <x:c r="D139" t="str">
        <x:v>Birtamode</x:v>
      </x:c>
      <x:c r="E139" t="str">
        <x:v>The Underground Cafe &amp; Restaurant</x:v>
      </x:c>
      <x:c r="F139" s="14" t="n">
        <x:v>310</x:v>
      </x:c>
      <x:c r="G139" t="str">
        <x:v>DEMO / SIMULATED</x:v>
      </x:c>
    </x:row>
    <x:row r="140">
      <x:c r="A140" t="str">
        <x:v>JFD-20230512-0138</x:v>
      </x:c>
      <x:c r="B140" s="11" t="n">
        <x:v>45058.80625</x:v>
      </x:c>
      <x:c r="C140" s="13" t="n">
        <x:v>0.80625</x:v>
      </x:c>
      <x:c r="D140" t="str">
        <x:v>Damak</x:v>
      </x:c>
      <x:c r="E140" t="str">
        <x:v>Late Night Cravings</x:v>
      </x:c>
      <x:c r="F140" s="14" t="n">
        <x:v>660</x:v>
      </x:c>
      <x:c r="G140" t="str">
        <x:v>DEMO / SIMULATED</x:v>
      </x:c>
    </x:row>
    <x:row r="141">
      <x:c r="A141" t="str">
        <x:v>JFD-20230210-0139</x:v>
      </x:c>
      <x:c r="B141" s="11" t="n">
        <x:v>44967.57986111111</x:v>
      </x:c>
      <x:c r="C141" s="13" t="n">
        <x:v>0.5798611111111112</x:v>
      </x:c>
      <x:c r="D141" t="str">
        <x:v>Birtamode</x:v>
      </x:c>
      <x:c r="E141" t="str">
        <x:v>The Underground Cafe &amp; Restaurant</x:v>
      </x:c>
      <x:c r="F141" s="14" t="n">
        <x:v>1135</x:v>
      </x:c>
      <x:c r="G141" t="str">
        <x:v>DEMO / SIMULATED</x:v>
      </x:c>
    </x:row>
    <x:row r="142">
      <x:c r="A142" t="str">
        <x:v>JFD-20250521-0140</x:v>
      </x:c>
      <x:c r="B142" s="11" t="n">
        <x:v>45798.8625</x:v>
      </x:c>
      <x:c r="C142" s="13" t="n">
        <x:v>0.8625</x:v>
      </x:c>
      <x:c r="D142" t="str">
        <x:v>Birtamode</x:v>
      </x:c>
      <x:c r="E142" t="str">
        <x:v>Pizza Ghar</x:v>
      </x:c>
      <x:c r="F142" s="14" t="n">
        <x:v>2180</x:v>
      </x:c>
      <x:c r="G142" t="str">
        <x:v>DEMO / SIMULATED</x:v>
      </x:c>
    </x:row>
    <x:row r="143">
      <x:c r="A143" t="str">
        <x:v>JFD-20241024-0141</x:v>
      </x:c>
      <x:c r="B143" s="11" t="n">
        <x:v>45589.544444444444</x:v>
      </x:c>
      <x:c r="C143" s="13" t="n">
        <x:v>0.5444444444444444</x:v>
      </x:c>
      <x:c r="D143" t="str">
        <x:v>Birtamode</x:v>
      </x:c>
      <x:c r="E143" t="str">
        <x:v>The Underground Cafe &amp; Restaurant</x:v>
      </x:c>
      <x:c r="F143" s="14" t="n">
        <x:v>335</x:v>
      </x:c>
      <x:c r="G143" t="str">
        <x:v>DEMO / SIMULATED</x:v>
      </x:c>
    </x:row>
    <x:row r="144">
      <x:c r="A144" t="str">
        <x:v>JFD-20251022-0142</x:v>
      </x:c>
      <x:c r="B144" s="11" t="n">
        <x:v>45952.845138888886</x:v>
      </x:c>
      <x:c r="C144" s="13" t="n">
        <x:v>0.8451388888888889</x:v>
      </x:c>
      <x:c r="D144" t="str">
        <x:v>Damak</x:v>
      </x:c>
      <x:c r="E144" t="str">
        <x:v>Late Night Cravings</x:v>
      </x:c>
      <x:c r="F144" s="14" t="n">
        <x:v>410</x:v>
      </x:c>
      <x:c r="G144" t="str">
        <x:v>DEMO / SIMULATED</x:v>
      </x:c>
    </x:row>
    <x:row r="145">
      <x:c r="A145" t="str">
        <x:v>JFD-20250521-0143</x:v>
      </x:c>
      <x:c r="B145" s="11" t="n">
        <x:v>45798.53125</x:v>
      </x:c>
      <x:c r="C145" s="13" t="n">
        <x:v>0.53125</x:v>
      </x:c>
      <x:c r="D145" t="str">
        <x:v>Damak</x:v>
      </x:c>
      <x:c r="E145" t="str">
        <x:v>Milan’s Bakery</x:v>
      </x:c>
      <x:c r="F145" s="14" t="n">
        <x:v>440</x:v>
      </x:c>
      <x:c r="G145" t="str">
        <x:v>DEMO / SIMULATED</x:v>
      </x:c>
    </x:row>
    <x:row r="146">
      <x:c r="A146" t="str">
        <x:v>JFD-20260407-0144</x:v>
      </x:c>
      <x:c r="B146" s="11" t="n">
        <x:v>46119.586805555555</x:v>
      </x:c>
      <x:c r="C146" s="13" t="n">
        <x:v>0.5868055555555556</x:v>
      </x:c>
      <x:c r="D146" t="str">
        <x:v>Damak</x:v>
      </x:c>
      <x:c r="E146" t="str">
        <x:v>Milan’s Bakery</x:v>
      </x:c>
      <x:c r="F146" s="14" t="n">
        <x:v>700</x:v>
      </x:c>
      <x:c r="G146" t="str">
        <x:v>DEMO / SIMULATED</x:v>
      </x:c>
    </x:row>
    <x:row r="147">
      <x:c r="A147" t="str">
        <x:v>JFD-20241217-0145</x:v>
      </x:c>
      <x:c r="B147" s="11" t="n">
        <x:v>45643.59444444445</x:v>
      </x:c>
      <x:c r="C147" s="13" t="n">
        <x:v>0.5944444444444444</x:v>
      </x:c>
      <x:c r="D147" t="str">
        <x:v>Birtamode</x:v>
      </x:c>
      <x:c r="E147" t="str">
        <x:v>Pizza Ghar</x:v>
      </x:c>
      <x:c r="F147" s="14" t="n">
        <x:v>2430</x:v>
      </x:c>
      <x:c r="G147" t="str">
        <x:v>DEMO / SIMULATED</x:v>
      </x:c>
    </x:row>
    <x:row r="148">
      <x:c r="A148" t="str">
        <x:v>JFD-20250120-0146</x:v>
      </x:c>
      <x:c r="B148" s="11" t="n">
        <x:v>45677.71388888889</x:v>
      </x:c>
      <x:c r="C148" s="13" t="n">
        <x:v>0.7138888888888889</x:v>
      </x:c>
      <x:c r="D148" t="str">
        <x:v>Birtamode</x:v>
      </x:c>
      <x:c r="E148" t="str">
        <x:v>The Underground Cafe &amp; Restaurant</x:v>
      </x:c>
      <x:c r="F148" s="14" t="n">
        <x:v>290</x:v>
      </x:c>
      <x:c r="G148" t="str">
        <x:v>DEMO / SIMULATED</x:v>
      </x:c>
    </x:row>
    <x:row r="149">
      <x:c r="A149" t="str">
        <x:v>JFD-20260516-0147</x:v>
      </x:c>
      <x:c r="B149" s="11" t="n">
        <x:v>46158.63958333333</x:v>
      </x:c>
      <x:c r="C149" s="13" t="n">
        <x:v>0.6395833333333333</x:v>
      </x:c>
      <x:c r="D149" t="str">
        <x:v>Birtamode</x:v>
      </x:c>
      <x:c r="E149" t="str">
        <x:v>The Underground Cafe &amp; Restaurant</x:v>
      </x:c>
      <x:c r="F149" s="14" t="n">
        <x:v>1230</x:v>
      </x:c>
      <x:c r="G149" t="str">
        <x:v>DEMO / SIMULATED</x:v>
      </x:c>
    </x:row>
    <x:row r="150">
      <x:c r="A150" t="str">
        <x:v>JFD-20240201-0148</x:v>
      </x:c>
      <x:c r="B150" s="11" t="n">
        <x:v>45323.708333333336</x:v>
      </x:c>
      <x:c r="C150" s="13" t="n">
        <x:v>0.7083333333333334</x:v>
      </x:c>
      <x:c r="D150" t="str">
        <x:v>Birtamode</x:v>
      </x:c>
      <x:c r="E150" t="str">
        <x:v>The Underground Cafe &amp; Restaurant</x:v>
      </x:c>
      <x:c r="F150" s="14" t="n">
        <x:v>415</x:v>
      </x:c>
      <x:c r="G150" t="str">
        <x:v>DEMO / SIMULATED</x:v>
      </x:c>
    </x:row>
    <x:row r="151">
      <x:c r="A151" t="str">
        <x:v>JFD-20240914-0149</x:v>
      </x:c>
      <x:c r="B151" s="11" t="n">
        <x:v>45549.834027777775</x:v>
      </x:c>
      <x:c r="C151" s="13" t="n">
        <x:v>0.8340277777777778</x:v>
      </x:c>
      <x:c r="D151" t="str">
        <x:v>Birtamode</x:v>
      </x:c>
      <x:c r="E151" t="str">
        <x:v>Pizza Ghar</x:v>
      </x:c>
      <x:c r="F151" s="14" t="n">
        <x:v>620</x:v>
      </x:c>
      <x:c r="G151" t="str">
        <x:v>DEMO / SIMULATED</x:v>
      </x:c>
    </x:row>
    <x:row r="152">
      <x:c r="A152" t="str">
        <x:v>JFD-20251120-0150</x:v>
      </x:c>
      <x:c r="B152" s="11" t="n">
        <x:v>45981.69375</x:v>
      </x:c>
      <x:c r="C152" s="13" t="n">
        <x:v>0.69375</x:v>
      </x:c>
      <x:c r="D152" t="str">
        <x:v>Damak</x:v>
      </x:c>
      <x:c r="E152" t="str">
        <x:v>Milan’s Bakery</x:v>
      </x:c>
      <x:c r="F152" s="14" t="n">
        <x:v>160</x:v>
      </x:c>
      <x:c r="G152" t="str">
        <x:v>DEMO / SIMULATED</x:v>
      </x:c>
    </x:row>
    <x:row r="153">
      <x:c r="A153" t="str">
        <x:v>JFD-20230126-0151</x:v>
      </x:c>
      <x:c r="B153" s="11" t="n">
        <x:v>44952.62777777778</x:v>
      </x:c>
      <x:c r="C153" s="13" t="n">
        <x:v>0.6277777777777778</x:v>
      </x:c>
      <x:c r="D153" t="str">
        <x:v>Damak</x:v>
      </x:c>
      <x:c r="E153" t="str">
        <x:v>Late Night Cravings</x:v>
      </x:c>
      <x:c r="F153" s="14" t="n">
        <x:v>230</x:v>
      </x:c>
      <x:c r="G153" t="str">
        <x:v>DEMO / SIMULATED</x:v>
      </x:c>
    </x:row>
    <x:row r="154">
      <x:c r="A154" t="str">
        <x:v>JFD-20230408-0152</x:v>
      </x:c>
      <x:c r="B154" s="11" t="n">
        <x:v>45024.42083333333</x:v>
      </x:c>
      <x:c r="C154" s="13" t="n">
        <x:v>0.42083333333333334</x:v>
      </x:c>
      <x:c r="D154" t="str">
        <x:v>Birtamode</x:v>
      </x:c>
      <x:c r="E154" t="str">
        <x:v>Pizza Ghar</x:v>
      </x:c>
      <x:c r="F154" s="14" t="n">
        <x:v>660</x:v>
      </x:c>
      <x:c r="G154" t="str">
        <x:v>DEMO / SIMULATED</x:v>
      </x:c>
    </x:row>
    <x:row r="155">
      <x:c r="A155" t="str">
        <x:v>JFD-20240710-0153</x:v>
      </x:c>
      <x:c r="B155" s="11" t="n">
        <x:v>45484</x:v>
      </x:c>
      <x:c r="C155" s="13" t="n">
        <x:v>0.7604166666666666</x:v>
      </x:c>
      <x:c r="D155" t="str">
        <x:v>Damak</x:v>
      </x:c>
      <x:c r="E155" t="str">
        <x:v>Late Night Cravings</x:v>
      </x:c>
      <x:c r="F155" s="14" t="n">
        <x:v>530</x:v>
      </x:c>
      <x:c r="G155" t="str">
        <x:v>DEMO / SIMULATED</x:v>
      </x:c>
    </x:row>
    <x:row r="156">
      <x:c r="A156" t="str">
        <x:v>JFD-20260329-0154</x:v>
      </x:c>
      <x:c r="B156" s="11" t="n">
        <x:v>46110.527083333334</x:v>
      </x:c>
      <x:c r="C156" s="13" t="n">
        <x:v>0.5270833333333333</x:v>
      </x:c>
      <x:c r="D156" t="str">
        <x:v>Birtamode</x:v>
      </x:c>
      <x:c r="E156" t="str">
        <x:v>The Underground Cafe &amp; Restaurant</x:v>
      </x:c>
      <x:c r="F156" s="14" t="n">
        <x:v>990</x:v>
      </x:c>
      <x:c r="G156" t="str">
        <x:v>DEMO / SIMULATED</x:v>
      </x:c>
    </x:row>
    <x:row r="157">
      <x:c r="A157" t="str">
        <x:v>JFD-20230105-0155</x:v>
      </x:c>
      <x:c r="B157" s="11" t="n">
        <x:v>44931.873611111114</x:v>
      </x:c>
      <x:c r="C157" s="13" t="n">
        <x:v>0.8736111111111111</x:v>
      </x:c>
      <x:c r="D157" t="str">
        <x:v>Birtamode</x:v>
      </x:c>
      <x:c r="E157" t="str">
        <x:v>The Underground Cafe &amp; Restaurant</x:v>
      </x:c>
      <x:c r="F157" s="14" t="n">
        <x:v>480</x:v>
      </x:c>
      <x:c r="G157" t="str">
        <x:v>DEMO / SIMULATED</x:v>
      </x:c>
    </x:row>
    <x:row r="158">
      <x:c r="A158" t="str">
        <x:v>JFD-20240226-0156</x:v>
      </x:c>
      <x:c r="B158" s="11" t="n">
        <x:v>45348.51875</x:v>
      </x:c>
      <x:c r="C158" s="13" t="n">
        <x:v>0.51875</x:v>
      </x:c>
      <x:c r="D158" t="str">
        <x:v>Birtamode</x:v>
      </x:c>
      <x:c r="E158" t="str">
        <x:v>Pizza Ghar</x:v>
      </x:c>
      <x:c r="F158" s="14" t="n">
        <x:v>390</x:v>
      </x:c>
      <x:c r="G158" t="str">
        <x:v>DEMO / SIMULATED</x:v>
      </x:c>
    </x:row>
    <x:row r="159">
      <x:c r="A159" t="str">
        <x:v>JFD-20230125-0157</x:v>
      </x:c>
      <x:c r="B159" s="11" t="n">
        <x:v>44951.90694444445</x:v>
      </x:c>
      <x:c r="C159" s="13" t="n">
        <x:v>0.9069444444444444</x:v>
      </x:c>
      <x:c r="D159" t="str">
        <x:v>Damak</x:v>
      </x:c>
      <x:c r="E159" t="str">
        <x:v>Milan’s Bakery</x:v>
      </x:c>
      <x:c r="F159" s="14" t="n">
        <x:v>2465</x:v>
      </x:c>
      <x:c r="G159" t="str">
        <x:v>DEMO / SIMULATED</x:v>
      </x:c>
    </x:row>
    <x:row r="160">
      <x:c r="A160" t="str">
        <x:v>JFD-20230923-0158</x:v>
      </x:c>
      <x:c r="B160" s="11" t="n">
        <x:v>45192.506944444445</x:v>
      </x:c>
      <x:c r="C160" s="13" t="n">
        <x:v>0.5069444444444444</x:v>
      </x:c>
      <x:c r="D160" t="str">
        <x:v>Birtamode</x:v>
      </x:c>
      <x:c r="E160" t="str">
        <x:v>The Underground Cafe &amp; Restaurant</x:v>
      </x:c>
      <x:c r="F160" s="14" t="n">
        <x:v>1015</x:v>
      </x:c>
      <x:c r="G160" t="str">
        <x:v>DEMO / SIMULATED</x:v>
      </x:c>
    </x:row>
    <x:row r="161">
      <x:c r="A161" t="str">
        <x:v>JFD-20231017-0159</x:v>
      </x:c>
      <x:c r="B161" s="11" t="n">
        <x:v>45216.634722222225</x:v>
      </x:c>
      <x:c r="C161" s="13" t="n">
        <x:v>0.6347222222222222</x:v>
      </x:c>
      <x:c r="D161" t="str">
        <x:v>Birtamode</x:v>
      </x:c>
      <x:c r="E161" t="str">
        <x:v>The Underground Cafe &amp; Restaurant</x:v>
      </x:c>
      <x:c r="F161" s="14" t="n">
        <x:v>185</x:v>
      </x:c>
      <x:c r="G161" t="str">
        <x:v>DEMO / SIMULATED</x:v>
      </x:c>
    </x:row>
    <x:row r="162">
      <x:c r="A162" t="str">
        <x:v>JFD-20251216-0160</x:v>
      </x:c>
      <x:c r="B162" s="11" t="n">
        <x:v>46007.73888888889</x:v>
      </x:c>
      <x:c r="C162" s="13" t="n">
        <x:v>0.7388888888888889</x:v>
      </x:c>
      <x:c r="D162" t="str">
        <x:v>Birtamode</x:v>
      </x:c>
      <x:c r="E162" t="str">
        <x:v>Pizza Ghar</x:v>
      </x:c>
      <x:c r="F162" s="14" t="n">
        <x:v>1255</x:v>
      </x:c>
      <x:c r="G162" t="str">
        <x:v>DEMO / SIMULATED</x:v>
      </x:c>
    </x:row>
    <x:row r="163">
      <x:c r="A163" t="str">
        <x:v>JFD-20240914-0161</x:v>
      </x:c>
      <x:c r="B163" s="11" t="n">
        <x:v>45549.63125</x:v>
      </x:c>
      <x:c r="C163" s="13" t="n">
        <x:v>0.63125</x:v>
      </x:c>
      <x:c r="D163" t="str">
        <x:v>Birtamode</x:v>
      </x:c>
      <x:c r="E163" t="str">
        <x:v>The Underground Cafe &amp; Restaurant</x:v>
      </x:c>
      <x:c r="F163" s="14" t="n">
        <x:v>735</x:v>
      </x:c>
      <x:c r="G163" t="str">
        <x:v>DEMO / SIMULATED</x:v>
      </x:c>
    </x:row>
    <x:row r="164">
      <x:c r="A164" t="str">
        <x:v>JFD-20250919-0162</x:v>
      </x:c>
      <x:c r="B164" s="11" t="n">
        <x:v>45919.54027777778</x:v>
      </x:c>
      <x:c r="C164" s="13" t="n">
        <x:v>0.5402777777777777</x:v>
      </x:c>
      <x:c r="D164" t="str">
        <x:v>Damak</x:v>
      </x:c>
      <x:c r="E164" t="str">
        <x:v>Milan’s Bakery</x:v>
      </x:c>
      <x:c r="F164" s="14" t="n">
        <x:v>1320</x:v>
      </x:c>
      <x:c r="G164" t="str">
        <x:v>DEMO / SIMULATED</x:v>
      </x:c>
    </x:row>
    <x:row r="165">
      <x:c r="A165" t="str">
        <x:v>JFD-20230105-0163</x:v>
      </x:c>
      <x:c r="B165" s="11" t="n">
        <x:v>44931.49930555555</x:v>
      </x:c>
      <x:c r="C165" s="13" t="n">
        <x:v>0.49930555555555556</x:v>
      </x:c>
      <x:c r="D165" t="str">
        <x:v>Damak</x:v>
      </x:c>
      <x:c r="E165" t="str">
        <x:v>Milan’s Bakery</x:v>
      </x:c>
      <x:c r="F165" s="14" t="n">
        <x:v>320</x:v>
      </x:c>
      <x:c r="G165" t="str">
        <x:v>DEMO / SIMULATED</x:v>
      </x:c>
    </x:row>
    <x:row r="166">
      <x:c r="A166" t="str">
        <x:v>JFD-20250918-0164</x:v>
      </x:c>
      <x:c r="B166" s="11" t="n">
        <x:v>45918.538194444445</x:v>
      </x:c>
      <x:c r="C166" s="13" t="n">
        <x:v>0.5381944444444444</x:v>
      </x:c>
      <x:c r="D166" t="str">
        <x:v>Damak</x:v>
      </x:c>
      <x:c r="E166" t="str">
        <x:v>Late Night Cravings</x:v>
      </x:c>
      <x:c r="F166" s="14" t="n">
        <x:v>820</x:v>
      </x:c>
      <x:c r="G166" t="str">
        <x:v>DEMO / SIMULATED</x:v>
      </x:c>
    </x:row>
    <x:row r="167">
      <x:c r="A167" t="str">
        <x:v>JFD-20230208-0165</x:v>
      </x:c>
      <x:c r="B167" s="11" t="n">
        <x:v>44965.90833333333</x:v>
      </x:c>
      <x:c r="C167" s="13" t="n">
        <x:v>0.9083333333333333</x:v>
      </x:c>
      <x:c r="D167" t="str">
        <x:v>Damak</x:v>
      </x:c>
      <x:c r="E167" t="str">
        <x:v>Milan’s Bakery</x:v>
      </x:c>
      <x:c r="F167" s="14" t="n">
        <x:v>975</x:v>
      </x:c>
      <x:c r="G167" t="str">
        <x:v>DEMO / SIMULATED</x:v>
      </x:c>
    </x:row>
    <x:row r="168">
      <x:c r="A168" t="str">
        <x:v>JFD-20251017-0166</x:v>
      </x:c>
      <x:c r="B168" s="11" t="n">
        <x:v>45947.83125</x:v>
      </x:c>
      <x:c r="C168" s="13" t="n">
        <x:v>0.83125</x:v>
      </x:c>
      <x:c r="D168" t="str">
        <x:v>Birtamode</x:v>
      </x:c>
      <x:c r="E168" t="str">
        <x:v>The Underground Cafe &amp; Restaurant</x:v>
      </x:c>
      <x:c r="F168" s="14" t="n">
        <x:v>120</x:v>
      </x:c>
      <x:c r="G168" t="str">
        <x:v>DEMO / SIMULATED</x:v>
      </x:c>
    </x:row>
    <x:row r="169">
      <x:c r="A169" t="str">
        <x:v>JFD-20250912-0167</x:v>
      </x:c>
      <x:c r="B169" s="11" t="n">
        <x:v>45912.44375</x:v>
      </x:c>
      <x:c r="C169" s="13" t="n">
        <x:v>0.44375</x:v>
      </x:c>
      <x:c r="D169" t="str">
        <x:v>Damak</x:v>
      </x:c>
      <x:c r="E169" t="str">
        <x:v>Late Night Cravings</x:v>
      </x:c>
      <x:c r="F169" s="14" t="n">
        <x:v>380</x:v>
      </x:c>
      <x:c r="G169" t="str">
        <x:v>DEMO / SIMULATED</x:v>
      </x:c>
    </x:row>
    <x:row r="170">
      <x:c r="A170" t="str">
        <x:v>JFD-20241106-0168</x:v>
      </x:c>
      <x:c r="B170" s="11" t="n">
        <x:v>45602.65277777778</x:v>
      </x:c>
      <x:c r="C170" s="13" t="n">
        <x:v>0.6527777777777778</x:v>
      </x:c>
      <x:c r="D170" t="str">
        <x:v>Birtamode</x:v>
      </x:c>
      <x:c r="E170" t="str">
        <x:v>Pizza Ghar</x:v>
      </x:c>
      <x:c r="F170" s="14" t="n">
        <x:v>620</x:v>
      </x:c>
      <x:c r="G170" t="str">
        <x:v>DEMO / SIMULATED</x:v>
      </x:c>
    </x:row>
    <x:row r="171">
      <x:c r="A171" t="str">
        <x:v>JFD-20240229-0169</x:v>
      </x:c>
      <x:c r="B171" s="11" t="n">
        <x:v>45351.46597222222</x:v>
      </x:c>
      <x:c r="C171" s="13" t="n">
        <x:v>0.46597222222222223</x:v>
      </x:c>
      <x:c r="D171" t="str">
        <x:v>Damak</x:v>
      </x:c>
      <x:c r="E171" t="str">
        <x:v>Milan’s Bakery</x:v>
      </x:c>
      <x:c r="F171" s="14" t="n">
        <x:v>3160</x:v>
      </x:c>
      <x:c r="G171" t="str">
        <x:v>DEMO / SIMULATED</x:v>
      </x:c>
    </x:row>
    <x:row r="172">
      <x:c r="A172" t="str">
        <x:v>JFD-20231202-0170</x:v>
      </x:c>
      <x:c r="B172" s="11" t="n">
        <x:v>45262.85138888889</x:v>
      </x:c>
      <x:c r="C172" s="13" t="n">
        <x:v>0.8513888888888889</x:v>
      </x:c>
      <x:c r="D172" t="str">
        <x:v>Damak</x:v>
      </x:c>
      <x:c r="E172" t="str">
        <x:v>Late Night Cravings</x:v>
      </x:c>
      <x:c r="F172" s="14" t="n">
        <x:v>80</x:v>
      </x:c>
      <x:c r="G172" t="str">
        <x:v>DEMO / SIMULATED</x:v>
      </x:c>
    </x:row>
    <x:row r="173">
      <x:c r="A173" t="str">
        <x:v>JFD-20230508-0171</x:v>
      </x:c>
      <x:c r="B173" s="11" t="n">
        <x:v>45054.64027777778</x:v>
      </x:c>
      <x:c r="C173" s="13" t="n">
        <x:v>0.6402777777777777</x:v>
      </x:c>
      <x:c r="D173" t="str">
        <x:v>Damak</x:v>
      </x:c>
      <x:c r="E173" t="str">
        <x:v>Late Night Cravings</x:v>
      </x:c>
      <x:c r="F173" s="14" t="n">
        <x:v>390</x:v>
      </x:c>
      <x:c r="G173" t="str">
        <x:v>DEMO / SIMULATED</x:v>
      </x:c>
    </x:row>
    <x:row r="174">
      <x:c r="A174" t="str">
        <x:v>JFD-20230125-0172</x:v>
      </x:c>
      <x:c r="B174" s="11" t="n">
        <x:v>44951.833333333336</x:v>
      </x:c>
      <x:c r="C174" s="13" t="n">
        <x:v>0.8333333333333334</x:v>
      </x:c>
      <x:c r="D174" t="str">
        <x:v>Birtamode</x:v>
      </x:c>
      <x:c r="E174" t="str">
        <x:v>Pizza Ghar</x:v>
      </x:c>
      <x:c r="F174" s="14" t="n">
        <x:v>860</x:v>
      </x:c>
      <x:c r="G174" t="str">
        <x:v>DEMO / SIMULATED</x:v>
      </x:c>
    </x:row>
    <x:row r="175">
      <x:c r="A175" t="str">
        <x:v>JFD-20260329-0173</x:v>
      </x:c>
      <x:c r="B175" s="11" t="n">
        <x:v>46110.566666666666</x:v>
      </x:c>
      <x:c r="C175" s="13" t="n">
        <x:v>0.5666666666666667</x:v>
      </x:c>
      <x:c r="D175" t="str">
        <x:v>Damak</x:v>
      </x:c>
      <x:c r="E175" t="str">
        <x:v>Milan’s Bakery</x:v>
      </x:c>
      <x:c r="F175" s="14" t="n">
        <x:v>300</x:v>
      </x:c>
      <x:c r="G175" t="str">
        <x:v>DEMO / SIMULATED</x:v>
      </x:c>
    </x:row>
    <x:row r="176">
      <x:c r="A176" t="str">
        <x:v>JFD-20231220-0174</x:v>
      </x:c>
      <x:c r="B176" s="11" t="n">
        <x:v>45280.48402777778</x:v>
      </x:c>
      <x:c r="C176" s="13" t="n">
        <x:v>0.4840277777777778</x:v>
      </x:c>
      <x:c r="D176" t="str">
        <x:v>Birtamode</x:v>
      </x:c>
      <x:c r="E176" t="str">
        <x:v>Pizza Ghar</x:v>
      </x:c>
      <x:c r="F176" s="14" t="n">
        <x:v>1900</x:v>
      </x:c>
      <x:c r="G176" t="str">
        <x:v>DEMO / SIMULATED</x:v>
      </x:c>
    </x:row>
    <x:row r="177">
      <x:c r="A177" t="str">
        <x:v>JFD-20241203-0175</x:v>
      </x:c>
      <x:c r="B177" s="11" t="n">
        <x:v>45629.64513888889</x:v>
      </x:c>
      <x:c r="C177" s="13" t="n">
        <x:v>0.6451388888888889</x:v>
      </x:c>
      <x:c r="D177" t="str">
        <x:v>Birtamode</x:v>
      </x:c>
      <x:c r="E177" t="str">
        <x:v>The Underground Cafe &amp; Restaurant</x:v>
      </x:c>
      <x:c r="F177" s="14" t="n">
        <x:v>1005</x:v>
      </x:c>
      <x:c r="G177" t="str">
        <x:v>DEMO / SIMULATED</x:v>
      </x:c>
    </x:row>
    <x:row r="178">
      <x:c r="A178" t="str">
        <x:v>JFD-20231120-0176</x:v>
      </x:c>
      <x:c r="B178" s="11" t="n">
        <x:v>45250.52916666667</x:v>
      </x:c>
      <x:c r="C178" s="13" t="n">
        <x:v>0.5291666666666667</x:v>
      </x:c>
      <x:c r="D178" t="str">
        <x:v>Damak</x:v>
      </x:c>
      <x:c r="E178" t="str">
        <x:v>Milan’s Bakery</x:v>
      </x:c>
      <x:c r="F178" s="14" t="n">
        <x:v>2460</x:v>
      </x:c>
      <x:c r="G178" t="str">
        <x:v>DEMO / SIMULATED</x:v>
      </x:c>
    </x:row>
    <x:row r="179">
      <x:c r="A179" t="str">
        <x:v>JFD-20250129-0177</x:v>
      </x:c>
      <x:c r="B179" s="11" t="n">
        <x:v>45686.895833333336</x:v>
      </x:c>
      <x:c r="C179" s="13" t="n">
        <x:v>0.8958333333333334</x:v>
      </x:c>
      <x:c r="D179" t="str">
        <x:v>Damak</x:v>
      </x:c>
      <x:c r="E179" t="str">
        <x:v>Late Night Cravings</x:v>
      </x:c>
      <x:c r="F179" s="14" t="n">
        <x:v>300</x:v>
      </x:c>
      <x:c r="G179" t="str">
        <x:v>DEMO / SIMULATED</x:v>
      </x:c>
    </x:row>
    <x:row r="180">
      <x:c r="A180" t="str">
        <x:v>JFD-20240429-0178</x:v>
      </x:c>
      <x:c r="B180" s="11" t="n">
        <x:v>45411.70138888889</x:v>
      </x:c>
      <x:c r="C180" s="13" t="n">
        <x:v>0.7013888888888888</x:v>
      </x:c>
      <x:c r="D180" t="str">
        <x:v>Birtamode</x:v>
      </x:c>
      <x:c r="E180" t="str">
        <x:v>The Underground Cafe &amp; Restaurant</x:v>
      </x:c>
      <x:c r="F180" s="14" t="n">
        <x:v>545</x:v>
      </x:c>
      <x:c r="G180" t="str">
        <x:v>DEMO / SIMULATED</x:v>
      </x:c>
    </x:row>
    <x:row r="181">
      <x:c r="A181" t="str">
        <x:v>JFD-20240501-0179</x:v>
      </x:c>
      <x:c r="B181" s="11" t="n">
        <x:v>45413.743055555555</x:v>
      </x:c>
      <x:c r="C181" s="13" t="n">
        <x:v>0.7430555555555556</x:v>
      </x:c>
      <x:c r="D181" t="str">
        <x:v>Birtamode</x:v>
      </x:c>
      <x:c r="E181" t="str">
        <x:v>Pizza Ghar</x:v>
      </x:c>
      <x:c r="F181" s="14" t="n">
        <x:v>435</x:v>
      </x:c>
      <x:c r="G181" t="str">
        <x:v>DEMO / SIMULATED</x:v>
      </x:c>
    </x:row>
    <x:row r="182">
      <x:c r="A182" t="str">
        <x:v>JFD-20230613-0180</x:v>
      </x:c>
      <x:c r="B182" s="11" t="n">
        <x:v>45090.53333333333</x:v>
      </x:c>
      <x:c r="C182" s="13" t="n">
        <x:v>0.5333333333333333</x:v>
      </x:c>
      <x:c r="D182" t="str">
        <x:v>Damak</x:v>
      </x:c>
      <x:c r="E182" t="str">
        <x:v>Late Night Cravings</x:v>
      </x:c>
      <x:c r="F182" s="14" t="n">
        <x:v>460</x:v>
      </x:c>
      <x:c r="G182" t="str">
        <x:v>DEMO / SIMULATED</x:v>
      </x:c>
    </x:row>
    <x:row r="183">
      <x:c r="A183" t="str">
        <x:v>JFD-20241003-0181</x:v>
      </x:c>
      <x:c r="B183" s="11" t="n">
        <x:v>45568.50625</x:v>
      </x:c>
      <x:c r="C183" s="13" t="n">
        <x:v>0.50625</x:v>
      </x:c>
      <x:c r="D183" t="str">
        <x:v>Birtamode</x:v>
      </x:c>
      <x:c r="E183" t="str">
        <x:v>Pizza Ghar</x:v>
      </x:c>
      <x:c r="F183" s="14" t="n">
        <x:v>180</x:v>
      </x:c>
      <x:c r="G183" t="str">
        <x:v>DEMO / SIMULATED</x:v>
      </x:c>
    </x:row>
    <x:row r="184">
      <x:c r="A184" t="str">
        <x:v>JFD-20250825-0182</x:v>
      </x:c>
      <x:c r="B184" s="11" t="n">
        <x:v>45894.44027777778</x:v>
      </x:c>
      <x:c r="C184" s="13" t="n">
        <x:v>0.44027777777777777</x:v>
      </x:c>
      <x:c r="D184" t="str">
        <x:v>Birtamode</x:v>
      </x:c>
      <x:c r="E184" t="str">
        <x:v>Pizza Ghar</x:v>
      </x:c>
      <x:c r="F184" s="14" t="n">
        <x:v>840</x:v>
      </x:c>
      <x:c r="G184" t="str">
        <x:v>DEMO / SIMULATED</x:v>
      </x:c>
    </x:row>
    <x:row r="185">
      <x:c r="A185" t="str">
        <x:v>JFD-20230822-0183</x:v>
      </x:c>
      <x:c r="B185" s="11" t="n">
        <x:v>45160.89513888889</x:v>
      </x:c>
      <x:c r="C185" s="13" t="n">
        <x:v>0.8951388888888889</x:v>
      </x:c>
      <x:c r="D185" t="str">
        <x:v>Birtamode</x:v>
      </x:c>
      <x:c r="E185" t="str">
        <x:v>Pizza Ghar</x:v>
      </x:c>
      <x:c r="F185" s="14" t="n">
        <x:v>35</x:v>
      </x:c>
      <x:c r="G185" t="str">
        <x:v>DEMO / SIMULATED</x:v>
      </x:c>
    </x:row>
    <x:row r="186">
      <x:c r="A186" t="str">
        <x:v>JFD-20230227-0184</x:v>
      </x:c>
      <x:c r="B186" s="11" t="n">
        <x:v>44984.64722222222</x:v>
      </x:c>
      <x:c r="C186" s="13" t="n">
        <x:v>0.6472222222222223</x:v>
      </x:c>
      <x:c r="D186" t="str">
        <x:v>Birtamode</x:v>
      </x:c>
      <x:c r="E186" t="str">
        <x:v>The Underground Cafe &amp; Restaurant</x:v>
      </x:c>
      <x:c r="F186" s="14" t="n">
        <x:v>880</x:v>
      </x:c>
      <x:c r="G186" t="str">
        <x:v>DEMO / SIMULATED</x:v>
      </x:c>
    </x:row>
    <x:row r="187">
      <x:c r="A187" t="str">
        <x:v>JFD-20240723-0185</x:v>
      </x:c>
      <x:c r="B187" s="11" t="n">
        <x:v>45496.54791666667</x:v>
      </x:c>
      <x:c r="C187" s="13" t="n">
        <x:v>0.5479166666666667</x:v>
      </x:c>
      <x:c r="D187" t="str">
        <x:v>Damak</x:v>
      </x:c>
      <x:c r="E187" t="str">
        <x:v>Late Night Cravings</x:v>
      </x:c>
      <x:c r="F187" s="14" t="n">
        <x:v>285</x:v>
      </x:c>
      <x:c r="G187" t="str">
        <x:v>DEMO / SIMULATED</x:v>
      </x:c>
    </x:row>
    <x:row r="188">
      <x:c r="A188" t="str">
        <x:v>JFD-20240820-0186</x:v>
      </x:c>
      <x:c r="B188" s="11" t="n">
        <x:v>45524.472916666666</x:v>
      </x:c>
      <x:c r="C188" s="13" t="n">
        <x:v>0.47291666666666665</x:v>
      </x:c>
      <x:c r="D188" t="str">
        <x:v>Damak</x:v>
      </x:c>
      <x:c r="E188" t="str">
        <x:v>Milan’s Bakery</x:v>
      </x:c>
      <x:c r="F188" s="14" t="n">
        <x:v>180</x:v>
      </x:c>
      <x:c r="G188" t="str">
        <x:v>DEMO / SIMULATED</x:v>
      </x:c>
    </x:row>
    <x:row r="189">
      <x:c r="A189" t="str">
        <x:v>JFD-20250425-0187</x:v>
      </x:c>
      <x:c r="B189" s="11" t="n">
        <x:v>45772.71319444444</x:v>
      </x:c>
      <x:c r="C189" s="13" t="n">
        <x:v>0.7131944444444445</x:v>
      </x:c>
      <x:c r="D189" t="str">
        <x:v>Damak</x:v>
      </x:c>
      <x:c r="E189" t="str">
        <x:v>Milan’s Bakery</x:v>
      </x:c>
      <x:c r="F189" s="14" t="n">
        <x:v>445</x:v>
      </x:c>
      <x:c r="G189" t="str">
        <x:v>DEMO / SIMULATED</x:v>
      </x:c>
    </x:row>
    <x:row r="190">
      <x:c r="A190" t="str">
        <x:v>JFD-20240709-0188</x:v>
      </x:c>
      <x:c r="B190" s="11" t="n">
        <x:v>45482.50833333333</x:v>
      </x:c>
      <x:c r="C190" s="13" t="n">
        <x:v>0.5083333333333333</x:v>
      </x:c>
      <x:c r="D190" t="str">
        <x:v>Damak</x:v>
      </x:c>
      <x:c r="E190" t="str">
        <x:v>Milan’s Bakery</x:v>
      </x:c>
      <x:c r="F190" s="14" t="n">
        <x:v>620</x:v>
      </x:c>
      <x:c r="G190" t="str">
        <x:v>DEMO / SIMULATED</x:v>
      </x:c>
    </x:row>
    <x:row r="191">
      <x:c r="A191" t="str">
        <x:v>JFD-20241206-0189</x:v>
      </x:c>
      <x:c r="B191" s="11" t="n">
        <x:v>45632.7375</x:v>
      </x:c>
      <x:c r="C191" s="13" t="n">
        <x:v>0.7375</x:v>
      </x:c>
      <x:c r="D191" t="str">
        <x:v>Damak</x:v>
      </x:c>
      <x:c r="E191" t="str">
        <x:v>Milan’s Bakery</x:v>
      </x:c>
      <x:c r="F191" s="14" t="n">
        <x:v>140</x:v>
      </x:c>
      <x:c r="G191" t="str">
        <x:v>DEMO / SIMULATED</x:v>
      </x:c>
    </x:row>
    <x:row r="192">
      <x:c r="A192" t="str">
        <x:v>JFD-20250201-0190</x:v>
      </x:c>
      <x:c r="B192" s="11" t="n">
        <x:v>45689.87847222222</x:v>
      </x:c>
      <x:c r="C192" s="13" t="n">
        <x:v>0.8784722222222222</x:v>
      </x:c>
      <x:c r="D192" t="str">
        <x:v>Birtamode</x:v>
      </x:c>
      <x:c r="E192" t="str">
        <x:v>Pizza Ghar</x:v>
      </x:c>
      <x:c r="F192" s="14" t="n">
        <x:v>1430</x:v>
      </x:c>
      <x:c r="G192" t="str">
        <x:v>DEMO / SIMULATED</x:v>
      </x:c>
    </x:row>
    <x:row r="193">
      <x:c r="A193" t="str">
        <x:v>JFD-20230227-0191</x:v>
      </x:c>
      <x:c r="B193" s="11" t="n">
        <x:v>44984.7</x:v>
      </x:c>
      <x:c r="C193" s="13" t="n">
        <x:v>0.7</x:v>
      </x:c>
      <x:c r="D193" t="str">
        <x:v>Damak</x:v>
      </x:c>
      <x:c r="E193" t="str">
        <x:v>Late Night Cravings</x:v>
      </x:c>
      <x:c r="F193" s="14" t="n">
        <x:v>790</x:v>
      </x:c>
      <x:c r="G193" t="str">
        <x:v>DEMO / SIMULATED</x:v>
      </x:c>
    </x:row>
    <x:row r="194">
      <x:c r="A194" t="str">
        <x:v>JFD-20250509-0192</x:v>
      </x:c>
      <x:c r="B194" s="11" t="n">
        <x:v>45786.50486111111</x:v>
      </x:c>
      <x:c r="C194" s="13" t="n">
        <x:v>0.5048611111111111</x:v>
      </x:c>
      <x:c r="D194" t="str">
        <x:v>Damak</x:v>
      </x:c>
      <x:c r="E194" t="str">
        <x:v>Late Night Cravings</x:v>
      </x:c>
      <x:c r="F194" s="14" t="n">
        <x:v>1780</x:v>
      </x:c>
      <x:c r="G194" t="str">
        <x:v>DEMO / SIMULATED</x:v>
      </x:c>
    </x:row>
    <x:row r="195">
      <x:c r="A195" t="str">
        <x:v>JFD-20250502-0193</x:v>
      </x:c>
      <x:c r="B195" s="11" t="n">
        <x:v>45779.763194444444</x:v>
      </x:c>
      <x:c r="C195" s="13" t="n">
        <x:v>0.7631944444444444</x:v>
      </x:c>
      <x:c r="D195" t="str">
        <x:v>Damak</x:v>
      </x:c>
      <x:c r="E195" t="str">
        <x:v>Late Night Cravings</x:v>
      </x:c>
      <x:c r="F195" s="14" t="n">
        <x:v>450</x:v>
      </x:c>
      <x:c r="G195" t="str">
        <x:v>DEMO / SIMULATED</x:v>
      </x:c>
    </x:row>
    <x:row r="196">
      <x:c r="A196" t="str">
        <x:v>JFD-20230717-0194</x:v>
      </x:c>
      <x:c r="B196" s="11" t="n">
        <x:v>45124.62708333333</x:v>
      </x:c>
      <x:c r="C196" s="13" t="n">
        <x:v>0.6270833333333333</x:v>
      </x:c>
      <x:c r="D196" t="str">
        <x:v>Damak</x:v>
      </x:c>
      <x:c r="E196" t="str">
        <x:v>Milan’s Bakery</x:v>
      </x:c>
      <x:c r="F196" s="14" t="n">
        <x:v>735</x:v>
      </x:c>
      <x:c r="G196" t="str">
        <x:v>DEMO / SIMULATED</x:v>
      </x:c>
    </x:row>
    <x:row r="197">
      <x:c r="A197" t="str">
        <x:v>JFD-20260427-0195</x:v>
      </x:c>
      <x:c r="B197" s="11" t="n">
        <x:v>46139.61875</x:v>
      </x:c>
      <x:c r="C197" s="13" t="n">
        <x:v>0.61875</x:v>
      </x:c>
      <x:c r="D197" t="str">
        <x:v>Damak</x:v>
      </x:c>
      <x:c r="E197" t="str">
        <x:v>Milan’s Bakery</x:v>
      </x:c>
      <x:c r="F197" s="14" t="n">
        <x:v>950</x:v>
      </x:c>
      <x:c r="G197" t="str">
        <x:v>DEMO / SIMULATED</x:v>
      </x:c>
    </x:row>
    <x:row r="198">
      <x:c r="A198" t="str">
        <x:v>JFD-20251112-0196</x:v>
      </x:c>
      <x:c r="B198" s="11" t="n">
        <x:v>45973.77916666667</x:v>
      </x:c>
      <x:c r="C198" s="13" t="n">
        <x:v>0.7791666666666667</x:v>
      </x:c>
      <x:c r="D198" t="str">
        <x:v>Birtamode</x:v>
      </x:c>
      <x:c r="E198" t="str">
        <x:v>Pizza Ghar</x:v>
      </x:c>
      <x:c r="F198" s="14" t="n">
        <x:v>1470</x:v>
      </x:c>
      <x:c r="G198" t="str">
        <x:v>DEMO / SIMULATED</x:v>
      </x:c>
    </x:row>
    <x:row r="199">
      <x:c r="A199" t="str">
        <x:v>JFD-20240808-0197</x:v>
      </x:c>
      <x:c r="B199" s="11" t="n">
        <x:v>45512.59166666667</x:v>
      </x:c>
      <x:c r="C199" s="13" t="n">
        <x:v>0.5916666666666667</x:v>
      </x:c>
      <x:c r="D199" t="str">
        <x:v>Damak</x:v>
      </x:c>
      <x:c r="E199" t="str">
        <x:v>Milan’s Bakery</x:v>
      </x:c>
      <x:c r="F199" s="14" t="n">
        <x:v>860</x:v>
      </x:c>
      <x:c r="G199" t="str">
        <x:v>DEMO / SIMULATED</x:v>
      </x:c>
    </x:row>
    <x:row r="200">
      <x:c r="A200" t="str">
        <x:v>JFD-20240720-0198</x:v>
      </x:c>
      <x:c r="B200" s="11" t="n">
        <x:v>45493.506944444445</x:v>
      </x:c>
      <x:c r="C200" s="13" t="n">
        <x:v>0.5069444444444444</x:v>
      </x:c>
      <x:c r="D200" t="str">
        <x:v>Damak</x:v>
      </x:c>
      <x:c r="E200" t="str">
        <x:v>Late Night Cravings</x:v>
      </x:c>
      <x:c r="F200" s="14" t="n">
        <x:v>920</x:v>
      </x:c>
      <x:c r="G200" t="str">
        <x:v>DEMO / SIMULATED</x:v>
      </x:c>
    </x:row>
    <x:row r="201">
      <x:c r="A201" t="str">
        <x:v>JFD-20230821-0199</x:v>
      </x:c>
      <x:c r="B201" s="11" t="n">
        <x:v>45159.59583333333</x:v>
      </x:c>
      <x:c r="C201" s="13" t="n">
        <x:v>0.5958333333333333</x:v>
      </x:c>
      <x:c r="D201" t="str">
        <x:v>Damak</x:v>
      </x:c>
      <x:c r="E201" t="str">
        <x:v>Milan’s Bakery</x:v>
      </x:c>
      <x:c r="F201" s="14" t="n">
        <x:v>985</x:v>
      </x:c>
      <x:c r="G201" t="str">
        <x:v>DEMO / SIMULATED</x:v>
      </x:c>
    </x:row>
    <x:row r="202">
      <x:c r="A202" t="str">
        <x:v>JFD-20231015-0200</x:v>
      </x:c>
      <x:c r="B202" s="11" t="n">
        <x:v>45214.80972222222</x:v>
      </x:c>
      <x:c r="C202" s="13" t="n">
        <x:v>0.8097222222222222</x:v>
      </x:c>
      <x:c r="D202" t="str">
        <x:v>Damak</x:v>
      </x:c>
      <x:c r="E202" t="str">
        <x:v>Milan’s Bakery</x:v>
      </x:c>
      <x:c r="F202" s="14" t="n">
        <x:v>80</x:v>
      </x:c>
      <x:c r="G202" t="str">
        <x:v>DEMO / SIMULATED</x:v>
      </x:c>
    </x:row>
    <x:row r="203">
      <x:c r="A203" t="str">
        <x:v>JFD-20260913-0201</x:v>
      </x:c>
      <x:c r="B203" s="11" t="n">
        <x:v>46278.64027777778</x:v>
      </x:c>
      <x:c r="C203" s="13" t="n">
        <x:v>0.6402777777777777</x:v>
      </x:c>
      <x:c r="D203" t="str">
        <x:v>Birtamode</x:v>
      </x:c>
      <x:c r="E203" t="str">
        <x:v>Pizza Ghar</x:v>
      </x:c>
      <x:c r="F203" s="14" t="n">
        <x:v>160</x:v>
      </x:c>
      <x:c r="G203" t="str">
        <x:v>DEMO / SIMULATED</x:v>
      </x:c>
    </x:row>
    <x:row r="204">
      <x:c r="A204" t="str">
        <x:v>JFD-20230618-0202</x:v>
      </x:c>
      <x:c r="B204" s="11" t="n">
        <x:v>45095.91458333333</x:v>
      </x:c>
      <x:c r="C204" s="13" t="n">
        <x:v>0.9145833333333333</x:v>
      </x:c>
      <x:c r="D204" t="str">
        <x:v>Damak</x:v>
      </x:c>
      <x:c r="E204" t="str">
        <x:v>Late Night Cravings</x:v>
      </x:c>
      <x:c r="F204" s="14" t="n">
        <x:v>460</x:v>
      </x:c>
      <x:c r="G204" t="str">
        <x:v>DEMO / SIMULATED</x:v>
      </x:c>
    </x:row>
    <x:row r="205">
      <x:c r="A205" t="str">
        <x:v>JFD-20250619-0203</x:v>
      </x:c>
      <x:c r="B205" s="11" t="n">
        <x:v>45827.811111111114</x:v>
      </x:c>
      <x:c r="C205" s="13" t="n">
        <x:v>0.8111111111111111</x:v>
      </x:c>
      <x:c r="D205" t="str">
        <x:v>Damak</x:v>
      </x:c>
      <x:c r="E205" t="str">
        <x:v>Milan’s Bakery</x:v>
      </x:c>
      <x:c r="F205" s="14" t="n">
        <x:v>190</x:v>
      </x:c>
      <x:c r="G205" t="str">
        <x:v>DEMO / SIMULATED</x:v>
      </x:c>
    </x:row>
    <x:row r="206">
      <x:c r="A206" t="str">
        <x:v>JFD-20251114-0204</x:v>
      </x:c>
      <x:c r="B206" s="11" t="n">
        <x:v>45975.899305555555</x:v>
      </x:c>
      <x:c r="C206" s="13" t="n">
        <x:v>0.8993055555555556</x:v>
      </x:c>
      <x:c r="D206" t="str">
        <x:v>Damak</x:v>
      </x:c>
      <x:c r="E206" t="str">
        <x:v>Milan’s Bakery</x:v>
      </x:c>
      <x:c r="F206" s="14" t="n">
        <x:v>2850</x:v>
      </x:c>
      <x:c r="G206" t="str">
        <x:v>DEMO / SIMULATED</x:v>
      </x:c>
    </x:row>
    <x:row r="207">
      <x:c r="A207" t="str">
        <x:v>JFD-20230408-0205</x:v>
      </x:c>
      <x:c r="B207" s="11" t="n">
        <x:v>45024.635416666664</x:v>
      </x:c>
      <x:c r="C207" s="13" t="n">
        <x:v>0.6354166666666666</x:v>
      </x:c>
      <x:c r="D207" t="str">
        <x:v>Birtamode</x:v>
      </x:c>
      <x:c r="E207" t="str">
        <x:v>Pizza Ghar</x:v>
      </x:c>
      <x:c r="F207" s="14" t="n">
        <x:v>975</x:v>
      </x:c>
      <x:c r="G207" t="str">
        <x:v>DEMO / SIMULATED</x:v>
      </x:c>
    </x:row>
    <x:row r="208">
      <x:c r="A208" t="str">
        <x:v>JFD-20231127-0206</x:v>
      </x:c>
      <x:c r="B208" s="11" t="n">
        <x:v>45257.48819444444</x:v>
      </x:c>
      <x:c r="C208" s="13" t="n">
        <x:v>0.48819444444444443</x:v>
      </x:c>
      <x:c r="D208" t="str">
        <x:v>Damak</x:v>
      </x:c>
      <x:c r="E208" t="str">
        <x:v>Milan’s Bakery</x:v>
      </x:c>
      <x:c r="F208" s="14" t="n">
        <x:v>3110</x:v>
      </x:c>
      <x:c r="G208" t="str">
        <x:v>DEMO / SIMULATED</x:v>
      </x:c>
    </x:row>
    <x:row r="209">
      <x:c r="A209" t="str">
        <x:v>JFD-20251215-0207</x:v>
      </x:c>
      <x:c r="B209" s="11" t="n">
        <x:v>46006.660416666666</x:v>
      </x:c>
      <x:c r="C209" s="13" t="n">
        <x:v>0.6604166666666667</x:v>
      </x:c>
      <x:c r="D209" t="str">
        <x:v>Damak</x:v>
      </x:c>
      <x:c r="E209" t="str">
        <x:v>Milan’s Bakery</x:v>
      </x:c>
      <x:c r="F209" s="14" t="n">
        <x:v>1405</x:v>
      </x:c>
      <x:c r="G209" t="str">
        <x:v>DEMO / SIMULATED</x:v>
      </x:c>
    </x:row>
    <x:row r="210">
      <x:c r="A210" t="str">
        <x:v>JFD-20230716-0208</x:v>
      </x:c>
      <x:c r="B210" s="11" t="n">
        <x:v>45123.60277777778</x:v>
      </x:c>
      <x:c r="C210" s="13" t="n">
        <x:v>0.6027777777777777</x:v>
      </x:c>
      <x:c r="D210" t="str">
        <x:v>Damak</x:v>
      </x:c>
      <x:c r="E210" t="str">
        <x:v>Milan’s Bakery</x:v>
      </x:c>
      <x:c r="F210" s="14" t="n">
        <x:v>385</x:v>
      </x:c>
      <x:c r="G210" t="str">
        <x:v>DEMO / SIMULATED</x:v>
      </x:c>
    </x:row>
    <x:row r="211">
      <x:c r="A211" t="str">
        <x:v>JFD-20250604-0209</x:v>
      </x:c>
      <x:c r="B211" s="11" t="n">
        <x:v>45812.5875</x:v>
      </x:c>
      <x:c r="C211" s="13" t="n">
        <x:v>0.5875</x:v>
      </x:c>
      <x:c r="D211" t="str">
        <x:v>Damak</x:v>
      </x:c>
      <x:c r="E211" t="str">
        <x:v>Late Night Cravings</x:v>
      </x:c>
      <x:c r="F211" s="14" t="n">
        <x:v>615</x:v>
      </x:c>
      <x:c r="G211" t="str">
        <x:v>DEMO / SIMULATED</x:v>
      </x:c>
    </x:row>
    <x:row r="212">
      <x:c r="A212" t="str">
        <x:v>JFD-20240623-0210</x:v>
      </x:c>
      <x:c r="B212" s="11" t="n">
        <x:v>45466.569444444445</x:v>
      </x:c>
      <x:c r="C212" s="13" t="n">
        <x:v>0.5694444444444444</x:v>
      </x:c>
      <x:c r="D212" t="str">
        <x:v>Damak</x:v>
      </x:c>
      <x:c r="E212" t="str">
        <x:v>Milan’s Bakery</x:v>
      </x:c>
      <x:c r="F212" s="14" t="n">
        <x:v>1215</x:v>
      </x:c>
      <x:c r="G212" t="str">
        <x:v>DEMO / SIMULATED</x:v>
      </x:c>
    </x:row>
    <x:row r="213">
      <x:c r="A213" t="str">
        <x:v>JFD-20240129-0211</x:v>
      </x:c>
      <x:c r="B213" s="11" t="n">
        <x:v>45320.55416666667</x:v>
      </x:c>
      <x:c r="C213" s="13" t="n">
        <x:v>0.5541666666666667</x:v>
      </x:c>
      <x:c r="D213" t="str">
        <x:v>Birtamode</x:v>
      </x:c>
      <x:c r="E213" t="str">
        <x:v>The Underground Cafe &amp; Restaurant</x:v>
      </x:c>
      <x:c r="F213" s="14" t="n">
        <x:v>800</x:v>
      </x:c>
      <x:c r="G213" t="str">
        <x:v>DEMO / SIMULATED</x:v>
      </x:c>
    </x:row>
    <x:row r="214">
      <x:c r="A214" t="str">
        <x:v>JFD-20230119-0212</x:v>
      </x:c>
      <x:c r="B214" s="11" t="n">
        <x:v>44945.81736111111</x:v>
      </x:c>
      <x:c r="C214" s="13" t="n">
        <x:v>0.8173611111111111</x:v>
      </x:c>
      <x:c r="D214" t="str">
        <x:v>Birtamode</x:v>
      </x:c>
      <x:c r="E214" t="str">
        <x:v>The Underground Cafe &amp; Restaurant</x:v>
      </x:c>
      <x:c r="F214" s="14" t="n">
        <x:v>675</x:v>
      </x:c>
      <x:c r="G214" t="str">
        <x:v>DEMO / SIMULATED</x:v>
      </x:c>
    </x:row>
    <x:row r="215">
      <x:c r="A215" t="str">
        <x:v>JFD-20251022-0213</x:v>
      </x:c>
      <x:c r="B215" s="11" t="n">
        <x:v>45952.708333333336</x:v>
      </x:c>
      <x:c r="C215" s="13" t="n">
        <x:v>0.7083333333333334</x:v>
      </x:c>
      <x:c r="D215" t="str">
        <x:v>Damak</x:v>
      </x:c>
      <x:c r="E215" t="str">
        <x:v>Milan’s Bakery</x:v>
      </x:c>
      <x:c r="F215" s="14" t="n">
        <x:v>2115</x:v>
      </x:c>
      <x:c r="G215" t="str">
        <x:v>DEMO / SIMULATED</x:v>
      </x:c>
    </x:row>
    <x:row r="216">
      <x:c r="A216" t="str">
        <x:v>JFD-20251021-0214</x:v>
      </x:c>
      <x:c r="B216" s="11" t="n">
        <x:v>45951.788194444445</x:v>
      </x:c>
      <x:c r="C216" s="13" t="n">
        <x:v>0.7881944444444444</x:v>
      </x:c>
      <x:c r="D216" t="str">
        <x:v>Birtamode</x:v>
      </x:c>
      <x:c r="E216" t="str">
        <x:v>Pizza Ghar</x:v>
      </x:c>
      <x:c r="F216" s="14" t="n">
        <x:v>545</x:v>
      </x:c>
      <x:c r="G216" t="str">
        <x:v>DEMO / SIMULATED</x:v>
      </x:c>
    </x:row>
    <x:row r="217">
      <x:c r="A217" t="str">
        <x:v>JFD-20230212-0215</x:v>
      </x:c>
      <x:c r="B217" s="11" t="n">
        <x:v>44969.47777777778</x:v>
      </x:c>
      <x:c r="C217" s="13" t="n">
        <x:v>0.4777777777777778</x:v>
      </x:c>
      <x:c r="D217" t="str">
        <x:v>Damak</x:v>
      </x:c>
      <x:c r="E217" t="str">
        <x:v>Milan’s Bakery</x:v>
      </x:c>
      <x:c r="F217" s="14" t="n">
        <x:v>570</x:v>
      </x:c>
      <x:c r="G217" t="str">
        <x:v>DEMO / SIMULATED</x:v>
      </x:c>
    </x:row>
    <x:row r="218">
      <x:c r="A218" t="str">
        <x:v>JFD-20260220-0216</x:v>
      </x:c>
      <x:c r="B218" s="11" t="n">
        <x:v>46073.55069444444</x:v>
      </x:c>
      <x:c r="C218" s="13" t="n">
        <x:v>0.5506944444444445</x:v>
      </x:c>
      <x:c r="D218" t="str">
        <x:v>Damak</x:v>
      </x:c>
      <x:c r="E218" t="str">
        <x:v>Late Night Cravings</x:v>
      </x:c>
      <x:c r="F218" s="14" t="n">
        <x:v>1000</x:v>
      </x:c>
      <x:c r="G218" t="str">
        <x:v>DEMO / SIMULATED</x:v>
      </x:c>
    </x:row>
    <x:row r="219">
      <x:c r="A219" t="str">
        <x:v>JFD-20230121-0217</x:v>
      </x:c>
      <x:c r="B219" s="11" t="n">
        <x:v>44947.53194444445</x:v>
      </x:c>
      <x:c r="C219" s="13" t="n">
        <x:v>0.5319444444444444</x:v>
      </x:c>
      <x:c r="D219" t="str">
        <x:v>Damak</x:v>
      </x:c>
      <x:c r="E219" t="str">
        <x:v>Milan’s Bakery</x:v>
      </x:c>
      <x:c r="F219" s="14" t="n">
        <x:v>230</x:v>
      </x:c>
      <x:c r="G219" t="str">
        <x:v>DEMO / SIMULATED</x:v>
      </x:c>
    </x:row>
    <x:row r="220">
      <x:c r="A220" t="str">
        <x:v>JFD-20250320-0218</x:v>
      </x:c>
      <x:c r="B220" s="11" t="n">
        <x:v>45736.813888888886</x:v>
      </x:c>
      <x:c r="C220" s="13" t="n">
        <x:v>0.8138888888888889</x:v>
      </x:c>
      <x:c r="D220" t="str">
        <x:v>Birtamode</x:v>
      </x:c>
      <x:c r="E220" t="str">
        <x:v>Pizza Ghar</x:v>
      </x:c>
      <x:c r="F220" s="14" t="n">
        <x:v>190</x:v>
      </x:c>
      <x:c r="G220" t="str">
        <x:v>DEMO / SIMULATED</x:v>
      </x:c>
    </x:row>
    <x:row r="221">
      <x:c r="A221" t="str">
        <x:v>JFD-20231217-0219</x:v>
      </x:c>
      <x:c r="B221" s="11" t="n">
        <x:v>45277.518055555556</x:v>
      </x:c>
      <x:c r="C221" s="13" t="n">
        <x:v>0.5180555555555556</x:v>
      </x:c>
      <x:c r="D221" t="str">
        <x:v>Damak</x:v>
      </x:c>
      <x:c r="E221" t="str">
        <x:v>Milan’s Bakery</x:v>
      </x:c>
      <x:c r="F221" s="14" t="n">
        <x:v>2220</x:v>
      </x:c>
      <x:c r="G221" t="str">
        <x:v>DEMO / SIMULATED</x:v>
      </x:c>
    </x:row>
    <x:row r="222">
      <x:c r="A222" t="str">
        <x:v>JFD-20230616-0220</x:v>
      </x:c>
      <x:c r="B222" s="11" t="n">
        <x:v>45093.83472222222</x:v>
      </x:c>
      <x:c r="C222" s="13" t="n">
        <x:v>0.8347222222222223</x:v>
      </x:c>
      <x:c r="D222" t="str">
        <x:v>Damak</x:v>
      </x:c>
      <x:c r="E222" t="str">
        <x:v>Milan’s Bakery</x:v>
      </x:c>
      <x:c r="F222" s="14" t="n">
        <x:v>765</x:v>
      </x:c>
      <x:c r="G222" t="str">
        <x:v>DEMO / SIMULATED</x:v>
      </x:c>
    </x:row>
    <x:row r="223">
      <x:c r="A223" t="str">
        <x:v>JFD-20250313-0221</x:v>
      </x:c>
      <x:c r="B223" s="11" t="n">
        <x:v>45729.55763888889</x:v>
      </x:c>
      <x:c r="C223" s="13" t="n">
        <x:v>0.5576388888888889</x:v>
      </x:c>
      <x:c r="D223" t="str">
        <x:v>Birtamode</x:v>
      </x:c>
      <x:c r="E223" t="str">
        <x:v>The Underground Cafe &amp; Restaurant</x:v>
      </x:c>
      <x:c r="F223" s="14" t="n">
        <x:v>945</x:v>
      </x:c>
      <x:c r="G223" t="str">
        <x:v>DEMO / SIMULATED</x:v>
      </x:c>
    </x:row>
    <x:row r="224">
      <x:c r="A224" t="str">
        <x:v>JFD-20260924-0222</x:v>
      </x:c>
      <x:c r="B224" s="11" t="n">
        <x:v>46289.55138888889</x:v>
      </x:c>
      <x:c r="C224" s="13" t="n">
        <x:v>0.5513888888888889</x:v>
      </x:c>
      <x:c r="D224" t="str">
        <x:v>Damak</x:v>
      </x:c>
      <x:c r="E224" t="str">
        <x:v>Late Night Cravings</x:v>
      </x:c>
      <x:c r="F224" s="14" t="n">
        <x:v>1120</x:v>
      </x:c>
      <x:c r="G224" t="str">
        <x:v>DEMO / SIMULATED</x:v>
      </x:c>
    </x:row>
    <x:row r="225">
      <x:c r="A225" t="str">
        <x:v>JFD-20260616-0223</x:v>
      </x:c>
      <x:c r="B225" s="11" t="n">
        <x:v>46189.75208333333</x:v>
      </x:c>
      <x:c r="C225" s="13" t="n">
        <x:v>0.7520833333333333</x:v>
      </x:c>
      <x:c r="D225" t="str">
        <x:v>Damak</x:v>
      </x:c>
      <x:c r="E225" t="str">
        <x:v>Late Night Cravings</x:v>
      </x:c>
      <x:c r="F225" s="14" t="n">
        <x:v>1440</x:v>
      </x:c>
      <x:c r="G225" t="str">
        <x:v>DEMO / SIMULATED</x:v>
      </x:c>
    </x:row>
    <x:row r="226">
      <x:c r="A226" t="str">
        <x:v>JFD-20250522-0224</x:v>
      </x:c>
      <x:c r="B226" s="11" t="n">
        <x:v>45799.42638888889</x:v>
      </x:c>
      <x:c r="C226" s="13" t="n">
        <x:v>0.4263888888888889</x:v>
      </x:c>
      <x:c r="D226" t="str">
        <x:v>Birtamode</x:v>
      </x:c>
      <x:c r="E226" t="str">
        <x:v>The Underground Cafe &amp; Restaurant</x:v>
      </x:c>
      <x:c r="F226" s="14" t="n">
        <x:v>420</x:v>
      </x:c>
      <x:c r="G226" t="str">
        <x:v>DEMO / SIMULATED</x:v>
      </x:c>
    </x:row>
    <x:row r="227">
      <x:c r="A227" t="str">
        <x:v>JFD-20250527-0225</x:v>
      </x:c>
      <x:c r="B227" s="11" t="n">
        <x:v>45804.61944444444</x:v>
      </x:c>
      <x:c r="C227" s="13" t="n">
        <x:v>0.6194444444444445</x:v>
      </x:c>
      <x:c r="D227" t="str">
        <x:v>Birtamode</x:v>
      </x:c>
      <x:c r="E227" t="str">
        <x:v>Pizza Ghar</x:v>
      </x:c>
      <x:c r="F227" s="14" t="n">
        <x:v>820</x:v>
      </x:c>
      <x:c r="G227" t="str">
        <x:v>DEMO / SIMULATED</x:v>
      </x:c>
    </x:row>
    <x:row r="228">
      <x:c r="A228" t="str">
        <x:v>JFD-20230710-0226</x:v>
      </x:c>
      <x:c r="B228" s="11" t="n">
        <x:v>45117.89097222222</x:v>
      </x:c>
      <x:c r="C228" s="13" t="n">
        <x:v>0.8909722222222223</x:v>
      </x:c>
      <x:c r="D228" t="str">
        <x:v>Birtamode</x:v>
      </x:c>
      <x:c r="E228" t="str">
        <x:v>The Underground Cafe &amp; Restaurant</x:v>
      </x:c>
      <x:c r="F228" s="14" t="n">
        <x:v>265</x:v>
      </x:c>
      <x:c r="G228" t="str">
        <x:v>DEMO / SIMULATED</x:v>
      </x:c>
    </x:row>
    <x:row r="229">
      <x:c r="A229" t="str">
        <x:v>JFD-20250330-0227</x:v>
      </x:c>
      <x:c r="B229" s="11" t="n">
        <x:v>45746.44375</x:v>
      </x:c>
      <x:c r="C229" s="13" t="n">
        <x:v>0.44375</x:v>
      </x:c>
      <x:c r="D229" t="str">
        <x:v>Birtamode</x:v>
      </x:c>
      <x:c r="E229" t="str">
        <x:v>The Underground Cafe &amp; Restaurant</x:v>
      </x:c>
      <x:c r="F229" s="14" t="n">
        <x:v>475</x:v>
      </x:c>
      <x:c r="G229" t="str">
        <x:v>DEMO / SIMULATED</x:v>
      </x:c>
    </x:row>
    <x:row r="230">
      <x:c r="A230" t="str">
        <x:v>JFD-20240420-0228</x:v>
      </x:c>
      <x:c r="B230" s="11" t="n">
        <x:v>45402.67916666667</x:v>
      </x:c>
      <x:c r="C230" s="13" t="n">
        <x:v>0.6791666666666667</x:v>
      </x:c>
      <x:c r="D230" t="str">
        <x:v>Birtamode</x:v>
      </x:c>
      <x:c r="E230" t="str">
        <x:v>The Underground Cafe &amp; Restaurant</x:v>
      </x:c>
      <x:c r="F230" s="14" t="n">
        <x:v>600</x:v>
      </x:c>
      <x:c r="G230" t="str">
        <x:v>DEMO / SIMULATED</x:v>
      </x:c>
    </x:row>
    <x:row r="231">
      <x:c r="A231" t="str">
        <x:v>JFD-20250407-0229</x:v>
      </x:c>
      <x:c r="B231" s="11" t="n">
        <x:v>45754.495833333334</x:v>
      </x:c>
      <x:c r="C231" s="13" t="n">
        <x:v>0.49583333333333335</x:v>
      </x:c>
      <x:c r="D231" t="str">
        <x:v>Birtamode</x:v>
      </x:c>
      <x:c r="E231" t="str">
        <x:v>Pizza Ghar</x:v>
      </x:c>
      <x:c r="F231" s="14" t="n">
        <x:v>285</x:v>
      </x:c>
      <x:c r="G231" t="str">
        <x:v>DEMO / SIMULATED</x:v>
      </x:c>
    </x:row>
    <x:row r="232">
      <x:c r="A232" t="str">
        <x:v>JFD-20260319-0230</x:v>
      </x:c>
      <x:c r="B232" s="11" t="n">
        <x:v>46100.884722222225</x:v>
      </x:c>
      <x:c r="C232" s="13" t="n">
        <x:v>0.8847222222222222</x:v>
      </x:c>
      <x:c r="D232" t="str">
        <x:v>Damak</x:v>
      </x:c>
      <x:c r="E232" t="str">
        <x:v>Late Night Cravings</x:v>
      </x:c>
      <x:c r="F232" s="14" t="n">
        <x:v>480</x:v>
      </x:c>
      <x:c r="G232" t="str">
        <x:v>DEMO / SIMULATED</x:v>
      </x:c>
    </x:row>
    <x:row r="233">
      <x:c r="A233" t="str">
        <x:v>JFD-20260922-0231</x:v>
      </x:c>
      <x:c r="B233" s="11" t="n">
        <x:v>46287.71388888889</x:v>
      </x:c>
      <x:c r="C233" s="13" t="n">
        <x:v>0.7138888888888889</x:v>
      </x:c>
      <x:c r="D233" t="str">
        <x:v>Damak</x:v>
      </x:c>
      <x:c r="E233" t="str">
        <x:v>Milan’s Bakery</x:v>
      </x:c>
      <x:c r="F233" s="14" t="n">
        <x:v>700</x:v>
      </x:c>
      <x:c r="G233" t="str">
        <x:v>DEMO / SIMULATED</x:v>
      </x:c>
    </x:row>
    <x:row r="234">
      <x:c r="A234" t="str">
        <x:v>JFD-20240316-0232</x:v>
      </x:c>
      <x:c r="B234" s="11" t="n">
        <x:v>45367.55902777778</x:v>
      </x:c>
      <x:c r="C234" s="13" t="n">
        <x:v>0.5590277777777778</x:v>
      </x:c>
      <x:c r="D234" t="str">
        <x:v>Birtamode</x:v>
      </x:c>
      <x:c r="E234" t="str">
        <x:v>The Underground Cafe &amp; Restaurant</x:v>
      </x:c>
      <x:c r="F234" s="14" t="n">
        <x:v>360</x:v>
      </x:c>
      <x:c r="G234" t="str">
        <x:v>DEMO / SIMULATED</x:v>
      </x:c>
    </x:row>
    <x:row r="235">
      <x:c r="A235" t="str">
        <x:v>JFD-20241020-0233</x:v>
      </x:c>
      <x:c r="B235" s="11" t="n">
        <x:v>45585.74236111111</x:v>
      </x:c>
      <x:c r="C235" s="13" t="n">
        <x:v>0.7423611111111111</x:v>
      </x:c>
      <x:c r="D235" t="str">
        <x:v>Birtamode</x:v>
      </x:c>
      <x:c r="E235" t="str">
        <x:v>The Underground Cafe &amp; Restaurant</x:v>
      </x:c>
      <x:c r="F235" s="14" t="n">
        <x:v>1165</x:v>
      </x:c>
      <x:c r="G235" t="str">
        <x:v>DEMO / SIMULATED</x:v>
      </x:c>
    </x:row>
    <x:row r="236">
      <x:c r="A236" t="str">
        <x:v>JFD-20260319-0234</x:v>
      </x:c>
      <x:c r="B236" s="11" t="n">
        <x:v>46100.80763888889</x:v>
      </x:c>
      <x:c r="C236" s="13" t="n">
        <x:v>0.8076388888888889</x:v>
      </x:c>
      <x:c r="D236" t="str">
        <x:v>Birtamode</x:v>
      </x:c>
      <x:c r="E236" t="str">
        <x:v>Pizza Ghar</x:v>
      </x:c>
      <x:c r="F236" s="14" t="n">
        <x:v>2620</x:v>
      </x:c>
      <x:c r="G236" t="str">
        <x:v>DEMO / SIMULATED</x:v>
      </x:c>
    </x:row>
    <x:row r="237">
      <x:c r="A237" t="str">
        <x:v>JFD-20240112-0235</x:v>
      </x:c>
      <x:c r="B237" s="11" t="n">
        <x:v>45303.69930555556</x:v>
      </x:c>
      <x:c r="C237" s="13" t="n">
        <x:v>0.6993055555555555</x:v>
      </x:c>
      <x:c r="D237" t="str">
        <x:v>Damak</x:v>
      </x:c>
      <x:c r="E237" t="str">
        <x:v>Late Night Cravings</x:v>
      </x:c>
      <x:c r="F237" s="14" t="n">
        <x:v>195</x:v>
      </x:c>
      <x:c r="G237" t="str">
        <x:v>DEMO / SIMULATED</x:v>
      </x:c>
    </x:row>
    <x:row r="238">
      <x:c r="A238" t="str">
        <x:v>JFD-20250212-0236</x:v>
      </x:c>
      <x:c r="B238" s="11" t="n">
        <x:v>45700.595138888886</x:v>
      </x:c>
      <x:c r="C238" s="13" t="n">
        <x:v>0.5951388888888889</x:v>
      </x:c>
      <x:c r="D238" t="str">
        <x:v>Birtamode</x:v>
      </x:c>
      <x:c r="E238" t="str">
        <x:v>Pizza Ghar</x:v>
      </x:c>
      <x:c r="F238" s="14" t="n">
        <x:v>1365</x:v>
      </x:c>
      <x:c r="G238" t="str">
        <x:v>DEMO / SIMULATED</x:v>
      </x:c>
    </x:row>
    <x:row r="239">
      <x:c r="A239" t="str">
        <x:v>JFD-20250620-0237</x:v>
      </x:c>
      <x:c r="B239" s="11" t="n">
        <x:v>45828.461805555555</x:v>
      </x:c>
      <x:c r="C239" s="13" t="n">
        <x:v>0.4618055555555556</x:v>
      </x:c>
      <x:c r="D239" t="str">
        <x:v>Damak</x:v>
      </x:c>
      <x:c r="E239" t="str">
        <x:v>Milan’s Bakery</x:v>
      </x:c>
      <x:c r="F239" s="14" t="n">
        <x:v>1120</x:v>
      </x:c>
      <x:c r="G239" t="str">
        <x:v>DEMO / SIMULATED</x:v>
      </x:c>
    </x:row>
    <x:row r="240">
      <x:c r="A240" t="str">
        <x:v>JFD-20250213-0238</x:v>
      </x:c>
      <x:c r="B240" s="11" t="n">
        <x:v>45701.56319444445</x:v>
      </x:c>
      <x:c r="C240" s="13" t="n">
        <x:v>0.5631944444444444</x:v>
      </x:c>
      <x:c r="D240" t="str">
        <x:v>Birtamode</x:v>
      </x:c>
      <x:c r="E240" t="str">
        <x:v>The Underground Cafe &amp; Restaurant</x:v>
      </x:c>
      <x:c r="F240" s="14" t="n">
        <x:v>190</x:v>
      </x:c>
      <x:c r="G240" t="str">
        <x:v>DEMO / SIMULATED</x:v>
      </x:c>
    </x:row>
    <x:row r="241">
      <x:c r="A241" t="str">
        <x:v>JFD-20250117-0239</x:v>
      </x:c>
      <x:c r="B241" s="11" t="n">
        <x:v>45674.61666666667</x:v>
      </x:c>
      <x:c r="C241" s="13" t="n">
        <x:v>0.6166666666666667</x:v>
      </x:c>
      <x:c r="D241" t="str">
        <x:v>Birtamode</x:v>
      </x:c>
      <x:c r="E241" t="str">
        <x:v>The Underground Cafe &amp; Restaurant</x:v>
      </x:c>
      <x:c r="F241" s="14" t="n">
        <x:v>380</x:v>
      </x:c>
      <x:c r="G241" t="str">
        <x:v>DEMO / SIMULATED</x:v>
      </x:c>
    </x:row>
    <x:row r="242">
      <x:c r="A242" t="str">
        <x:v>JFD-20240422-0240</x:v>
      </x:c>
      <x:c r="B242" s="11" t="n">
        <x:v>45404.77291666667</x:v>
      </x:c>
      <x:c r="C242" s="13" t="n">
        <x:v>0.7729166666666667</x:v>
      </x:c>
      <x:c r="D242" t="str">
        <x:v>Birtamode</x:v>
      </x:c>
      <x:c r="E242" t="str">
        <x:v>Pizza Ghar</x:v>
      </x:c>
      <x:c r="F242" s="14" t="n">
        <x:v>480</x:v>
      </x:c>
      <x:c r="G242" t="str">
        <x:v>DEMO / SIMULATED</x:v>
      </x:c>
    </x:row>
    <x:row r="243">
      <x:c r="A243" t="str">
        <x:v>JFD-20230107-0241</x:v>
      </x:c>
      <x:c r="B243" s="11" t="n">
        <x:v>44933.73819444444</x:v>
      </x:c>
      <x:c r="C243" s="13" t="n">
        <x:v>0.7381944444444445</x:v>
      </x:c>
      <x:c r="D243" t="str">
        <x:v>Birtamode</x:v>
      </x:c>
      <x:c r="E243" t="str">
        <x:v>Pizza Ghar</x:v>
      </x:c>
      <x:c r="F243" s="14" t="n">
        <x:v>880</x:v>
      </x:c>
      <x:c r="G243" t="str">
        <x:v>DEMO / SIMULATED</x:v>
      </x:c>
    </x:row>
    <x:row r="244">
      <x:c r="A244" t="str">
        <x:v>JFD-20240127-0242</x:v>
      </x:c>
      <x:c r="B244" s="11" t="n">
        <x:v>45318.60625</x:v>
      </x:c>
      <x:c r="C244" s="13" t="n">
        <x:v>0.60625</x:v>
      </x:c>
      <x:c r="D244" t="str">
        <x:v>Birtamode</x:v>
      </x:c>
      <x:c r="E244" t="str">
        <x:v>Pizza Ghar</x:v>
      </x:c>
      <x:c r="F244" s="14" t="n">
        <x:v>1455</x:v>
      </x:c>
      <x:c r="G244" t="str">
        <x:v>DEMO / SIMULATED</x:v>
      </x:c>
    </x:row>
    <x:row r="245">
      <x:c r="A245" t="str">
        <x:v>JFD-20240201-0243</x:v>
      </x:c>
      <x:c r="B245" s="11" t="n">
        <x:v>45323.49722222222</x:v>
      </x:c>
      <x:c r="C245" s="13" t="n">
        <x:v>0.49722222222222223</x:v>
      </x:c>
      <x:c r="D245" t="str">
        <x:v>Birtamode</x:v>
      </x:c>
      <x:c r="E245" t="str">
        <x:v>The Underground Cafe &amp; Restaurant</x:v>
      </x:c>
      <x:c r="F245" s="14" t="n">
        <x:v>1230</x:v>
      </x:c>
      <x:c r="G245" t="str">
        <x:v>DEMO / SIMULATED</x:v>
      </x:c>
    </x:row>
    <x:row r="246">
      <x:c r="A246" t="str">
        <x:v>JFD-20240618-0244</x:v>
      </x:c>
      <x:c r="B246" s="11" t="n">
        <x:v>45461.48611111111</x:v>
      </x:c>
      <x:c r="C246" s="13" t="n">
        <x:v>0.4861111111111111</x:v>
      </x:c>
      <x:c r="D246" t="str">
        <x:v>Damak</x:v>
      </x:c>
      <x:c r="E246" t="str">
        <x:v>Late Night Cravings</x:v>
      </x:c>
      <x:c r="F246" s="14" t="n">
        <x:v>980</x:v>
      </x:c>
      <x:c r="G246" t="str">
        <x:v>DEMO / SIMULATED</x:v>
      </x:c>
    </x:row>
    <x:row r="247">
      <x:c r="A247" t="str">
        <x:v>JFD-20230711-0245</x:v>
      </x:c>
      <x:c r="B247" s="11" t="n">
        <x:v>45118.754166666666</x:v>
      </x:c>
      <x:c r="C247" s="13" t="n">
        <x:v>0.7541666666666667</x:v>
      </x:c>
      <x:c r="D247" t="str">
        <x:v>Birtamode</x:v>
      </x:c>
      <x:c r="E247" t="str">
        <x:v>The Underground Cafe &amp; Restaurant</x:v>
      </x:c>
      <x:c r="F247" s="14" t="n">
        <x:v>365</x:v>
      </x:c>
      <x:c r="G247" t="str">
        <x:v>DEMO / SIMULATED</x:v>
      </x:c>
    </x:row>
    <x:row r="248">
      <x:c r="A248" t="str">
        <x:v>JFD-20260605-0246</x:v>
      </x:c>
      <x:c r="B248" s="11" t="n">
        <x:v>46178.75763888889</x:v>
      </x:c>
      <x:c r="C248" s="13" t="n">
        <x:v>0.7576388888888889</x:v>
      </x:c>
      <x:c r="D248" t="str">
        <x:v>Damak</x:v>
      </x:c>
      <x:c r="E248" t="str">
        <x:v>Late Night Cravings</x:v>
      </x:c>
      <x:c r="F248" s="14" t="n">
        <x:v>400</x:v>
      </x:c>
      <x:c r="G248" t="str">
        <x:v>DEMO / SIMULATED</x:v>
      </x:c>
    </x:row>
    <x:row r="249">
      <x:c r="A249" t="str">
        <x:v>JFD-20250330-0247</x:v>
      </x:c>
      <x:c r="B249" s="11" t="n">
        <x:v>45746.57986111111</x:v>
      </x:c>
      <x:c r="C249" s="13" t="n">
        <x:v>0.5798611111111112</x:v>
      </x:c>
      <x:c r="D249" t="str">
        <x:v>Damak</x:v>
      </x:c>
      <x:c r="E249" t="str">
        <x:v>Milan’s Bakery</x:v>
      </x:c>
      <x:c r="F249" s="14" t="n">
        <x:v>160</x:v>
      </x:c>
      <x:c r="G249" t="str">
        <x:v>DEMO / SIMULATED</x:v>
      </x:c>
    </x:row>
    <x:row r="250">
      <x:c r="A250" t="str">
        <x:v>JFD-20260421-0248</x:v>
      </x:c>
      <x:c r="B250" s="11" t="n">
        <x:v>46133.63263888889</x:v>
      </x:c>
      <x:c r="C250" s="13" t="n">
        <x:v>0.6326388888888889</x:v>
      </x:c>
      <x:c r="D250" t="str">
        <x:v>Birtamode</x:v>
      </x:c>
      <x:c r="E250" t="str">
        <x:v>Pizza Ghar</x:v>
      </x:c>
      <x:c r="F250" s="14" t="n">
        <x:v>1740</x:v>
      </x:c>
      <x:c r="G250" t="str">
        <x:v>DEMO / SIMULATED</x:v>
      </x:c>
    </x:row>
    <x:row r="251">
      <x:c r="A251" t="str">
        <x:v>JFD-20260512-0249</x:v>
      </x:c>
      <x:c r="B251" s="11" t="n">
        <x:v>46154.725694444445</x:v>
      </x:c>
      <x:c r="C251" s="13" t="n">
        <x:v>0.7256944444444444</x:v>
      </x:c>
      <x:c r="D251" t="str">
        <x:v>Damak</x:v>
      </x:c>
      <x:c r="E251" t="str">
        <x:v>Milan’s Bakery</x:v>
      </x:c>
      <x:c r="F251" s="14" t="n">
        <x:v>900</x:v>
      </x:c>
      <x:c r="G251" t="str">
        <x:v>DEMO / SIMULATED</x:v>
      </x:c>
    </x:row>
    <x:row r="252">
      <x:c r="A252" t="str">
        <x:v>JFD-20230801-0250</x:v>
      </x:c>
      <x:c r="B252" s="11" t="n">
        <x:v>45139.72777777778</x:v>
      </x:c>
      <x:c r="C252" s="13" t="n">
        <x:v>0.7277777777777777</x:v>
      </x:c>
      <x:c r="D252" t="str">
        <x:v>Damak</x:v>
      </x:c>
      <x:c r="E252" t="str">
        <x:v>Milan’s Bakery</x:v>
      </x:c>
      <x:c r="F252" s="14" t="n">
        <x:v>245</x:v>
      </x:c>
      <x:c r="G252" t="str">
        <x:v>DEMO / SIMULATED</x:v>
      </x:c>
    </x:row>
    <x:row r="253">
      <x:c r="A253" t="str">
        <x:v>JFD-20230510-0251</x:v>
      </x:c>
      <x:c r="B253" s="11" t="n">
        <x:v>45056.56805555556</x:v>
      </x:c>
      <x:c r="C253" s="13" t="n">
        <x:v>0.5680555555555555</x:v>
      </x:c>
      <x:c r="D253" t="str">
        <x:v>Birtamode</x:v>
      </x:c>
      <x:c r="E253" t="str">
        <x:v>Pizza Ghar</x:v>
      </x:c>
      <x:c r="F253" s="14" t="n">
        <x:v>555</x:v>
      </x:c>
      <x:c r="G253" t="str">
        <x:v>DEMO / SIMULATED</x:v>
      </x:c>
    </x:row>
    <x:row r="254">
      <x:c r="A254" t="str">
        <x:v>JFD-20230502-0252</x:v>
      </x:c>
      <x:c r="B254" s="11" t="n">
        <x:v>45048.839583333334</x:v>
      </x:c>
      <x:c r="C254" s="13" t="n">
        <x:v>0.8395833333333333</x:v>
      </x:c>
      <x:c r="D254" t="str">
        <x:v>Birtamode</x:v>
      </x:c>
      <x:c r="E254" t="str">
        <x:v>The Underground Cafe &amp; Restaurant</x:v>
      </x:c>
      <x:c r="F254" s="14" t="n">
        <x:v>500</x:v>
      </x:c>
      <x:c r="G254" t="str">
        <x:v>DEMO / SIMULATED</x:v>
      </x:c>
    </x:row>
    <x:row r="255">
      <x:c r="A255" t="str">
        <x:v>JFD-20250409-0253</x:v>
      </x:c>
      <x:c r="B255" s="11" t="n">
        <x:v>45756.856944444444</x:v>
      </x:c>
      <x:c r="C255" s="13" t="n">
        <x:v>0.8569444444444444</x:v>
      </x:c>
      <x:c r="D255" t="str">
        <x:v>Birtamode</x:v>
      </x:c>
      <x:c r="E255" t="str">
        <x:v>Pizza Ghar</x:v>
      </x:c>
      <x:c r="F255" s="14" t="n">
        <x:v>705</x:v>
      </x:c>
      <x:c r="G255" t="str">
        <x:v>DEMO / SIMULATED</x:v>
      </x:c>
    </x:row>
    <x:row r="256">
      <x:c r="A256" t="str">
        <x:v>JFD-20260719-0254</x:v>
      </x:c>
      <x:c r="B256" s="11" t="n">
        <x:v>46222.59861111111</x:v>
      </x:c>
      <x:c r="C256" s="13" t="n">
        <x:v>0.5986111111111111</x:v>
      </x:c>
      <x:c r="D256" t="str">
        <x:v>Birtamode</x:v>
      </x:c>
      <x:c r="E256" t="str">
        <x:v>The Underground Cafe &amp; Restaurant</x:v>
      </x:c>
      <x:c r="F256" s="14" t="n">
        <x:v>525</x:v>
      </x:c>
      <x:c r="G256" t="str">
        <x:v>DEMO / SIMULATED</x:v>
      </x:c>
    </x:row>
    <x:row r="257">
      <x:c r="A257" t="str">
        <x:v>JFD-20260818-0255</x:v>
      </x:c>
      <x:c r="B257" s="11" t="n">
        <x:v>46252.81597222222</x:v>
      </x:c>
      <x:c r="C257" s="13" t="n">
        <x:v>0.8159722222222222</x:v>
      </x:c>
      <x:c r="D257" t="str">
        <x:v>Damak</x:v>
      </x:c>
      <x:c r="E257" t="str">
        <x:v>Late Night Cravings</x:v>
      </x:c>
      <x:c r="F257" s="14" t="n">
        <x:v>580</x:v>
      </x:c>
      <x:c r="G257" t="str">
        <x:v>DEMO / SIMULATED</x:v>
      </x:c>
    </x:row>
    <x:row r="258">
      <x:c r="A258" t="str">
        <x:v>JFD-20240227-0256</x:v>
      </x:c>
      <x:c r="B258" s="11" t="n">
        <x:v>45349.59722222222</x:v>
      </x:c>
      <x:c r="C258" s="13" t="n">
        <x:v>0.5972222222222222</x:v>
      </x:c>
      <x:c r="D258" t="str">
        <x:v>Damak</x:v>
      </x:c>
      <x:c r="E258" t="str">
        <x:v>Late Night Cravings</x:v>
      </x:c>
      <x:c r="F258" s="14" t="n">
        <x:v>140</x:v>
      </x:c>
      <x:c r="G258" t="str">
        <x:v>DEMO / SIMULATED</x:v>
      </x:c>
    </x:row>
    <x:row r="259">
      <x:c r="A259" t="str">
        <x:v>JFD-20230616-0257</x:v>
      </x:c>
      <x:c r="B259" s="11" t="n">
        <x:v>45093.84930555556</x:v>
      </x:c>
      <x:c r="C259" s="13" t="n">
        <x:v>0.8493055555555555</x:v>
      </x:c>
      <x:c r="D259" t="str">
        <x:v>Damak</x:v>
      </x:c>
      <x:c r="E259" t="str">
        <x:v>Late Night Cravings</x:v>
      </x:c>
      <x:c r="F259" s="14" t="n">
        <x:v>520</x:v>
      </x:c>
      <x:c r="G259" t="str">
        <x:v>DEMO / SIMULATED</x:v>
      </x:c>
    </x:row>
    <x:row r="260">
      <x:c r="A260" t="str">
        <x:v>JFD-20230521-0258</x:v>
      </x:c>
      <x:c r="B260" s="11" t="n">
        <x:v>45067.75833333333</x:v>
      </x:c>
      <x:c r="C260" s="13" t="n">
        <x:v>0.7583333333333333</x:v>
      </x:c>
      <x:c r="D260" t="str">
        <x:v>Damak</x:v>
      </x:c>
      <x:c r="E260" t="str">
        <x:v>Milan’s Bakery</x:v>
      </x:c>
      <x:c r="F260" s="14" t="n">
        <x:v>815</x:v>
      </x:c>
      <x:c r="G260" t="str">
        <x:v>DEMO / SIMULATED</x:v>
      </x:c>
    </x:row>
    <x:row r="261">
      <x:c r="A261" t="str">
        <x:v>JFD-20260202-0259</x:v>
      </x:c>
      <x:c r="B261" s="11" t="n">
        <x:v>46055.779861111114</x:v>
      </x:c>
      <x:c r="C261" s="13" t="n">
        <x:v>0.7798611111111111</x:v>
      </x:c>
      <x:c r="D261" t="str">
        <x:v>Birtamode</x:v>
      </x:c>
      <x:c r="E261" t="str">
        <x:v>Pizza Ghar</x:v>
      </x:c>
      <x:c r="F261" s="14" t="n">
        <x:v>2110</x:v>
      </x:c>
      <x:c r="G261" t="str">
        <x:v>DEMO / SIMULATED</x:v>
      </x:c>
    </x:row>
    <x:row r="262">
      <x:c r="A262" t="str">
        <x:v>JFD-20241227-0260</x:v>
      </x:c>
      <x:c r="B262" s="11" t="n">
        <x:v>45653.895833333336</x:v>
      </x:c>
      <x:c r="C262" s="13" t="n">
        <x:v>0.8958333333333334</x:v>
      </x:c>
      <x:c r="D262" t="str">
        <x:v>Damak</x:v>
      </x:c>
      <x:c r="E262" t="str">
        <x:v>Milan’s Bakery</x:v>
      </x:c>
      <x:c r="F262" s="14" t="n">
        <x:v>1240</x:v>
      </x:c>
      <x:c r="G262" t="str">
        <x:v>DEMO / SIMULATED</x:v>
      </x:c>
    </x:row>
    <x:row r="263">
      <x:c r="A263" t="str">
        <x:v>JFD-20250720-0261</x:v>
      </x:c>
      <x:c r="B263" s="11" t="n">
        <x:v>45858.873611111114</x:v>
      </x:c>
      <x:c r="C263" s="13" t="n">
        <x:v>0.8736111111111111</x:v>
      </x:c>
      <x:c r="D263" t="str">
        <x:v>Damak</x:v>
      </x:c>
      <x:c r="E263" t="str">
        <x:v>Late Night Cravings</x:v>
      </x:c>
      <x:c r="F263" s="14" t="n">
        <x:v>190</x:v>
      </x:c>
      <x:c r="G263" t="str">
        <x:v>DEMO / SIMULATED</x:v>
      </x:c>
    </x:row>
    <x:row r="264">
      <x:c r="A264" t="str">
        <x:v>JFD-20230223-0262</x:v>
      </x:c>
      <x:c r="B264" s="11" t="n">
        <x:v>44980.79236111111</x:v>
      </x:c>
      <x:c r="C264" s="13" t="n">
        <x:v>0.7923611111111111</x:v>
      </x:c>
      <x:c r="D264" t="str">
        <x:v>Birtamode</x:v>
      </x:c>
      <x:c r="E264" t="str">
        <x:v>The Underground Cafe &amp; Restaurant</x:v>
      </x:c>
      <x:c r="F264" s="14" t="n">
        <x:v>795</x:v>
      </x:c>
      <x:c r="G264" t="str">
        <x:v>DEMO / SIMULATED</x:v>
      </x:c>
    </x:row>
    <x:row r="265">
      <x:c r="A265" t="str">
        <x:v>JFD-20250616-0263</x:v>
      </x:c>
      <x:c r="B265" s="11" t="n">
        <x:v>45824.65069444444</x:v>
      </x:c>
      <x:c r="C265" s="13" t="n">
        <x:v>0.6506944444444445</x:v>
      </x:c>
      <x:c r="D265" t="str">
        <x:v>Damak</x:v>
      </x:c>
      <x:c r="E265" t="str">
        <x:v>Late Night Cravings</x:v>
      </x:c>
      <x:c r="F265" s="14" t="n">
        <x:v>1360</x:v>
      </x:c>
      <x:c r="G265" t="str">
        <x:v>DEMO / SIMULATED</x:v>
      </x:c>
    </x:row>
    <x:row r="266">
      <x:c r="A266" t="str">
        <x:v>JFD-20230208-0264</x:v>
      </x:c>
      <x:c r="B266" s="11" t="n">
        <x:v>44965.606944444444</x:v>
      </x:c>
      <x:c r="C266" s="13" t="n">
        <x:v>0.6069444444444444</x:v>
      </x:c>
      <x:c r="D266" t="str">
        <x:v>Damak</x:v>
      </x:c>
      <x:c r="E266" t="str">
        <x:v>Milan’s Bakery</x:v>
      </x:c>
      <x:c r="F266" s="14" t="n">
        <x:v>2220</x:v>
      </x:c>
      <x:c r="G266" t="str">
        <x:v>DEMO / SIMULATED</x:v>
      </x:c>
    </x:row>
    <x:row r="267">
      <x:c r="A267" t="str">
        <x:v>JFD-20251021-0265</x:v>
      </x:c>
      <x:c r="B267" s="11" t="n">
        <x:v>45951.697916666664</x:v>
      </x:c>
      <x:c r="C267" s="13" t="n">
        <x:v>0.6979166666666666</x:v>
      </x:c>
      <x:c r="D267" t="str">
        <x:v>Damak</x:v>
      </x:c>
      <x:c r="E267" t="str">
        <x:v>Milan’s Bakery</x:v>
      </x:c>
      <x:c r="F267" s="14" t="n">
        <x:v>1365</x:v>
      </x:c>
      <x:c r="G267" t="str">
        <x:v>DEMO / SIMULATED</x:v>
      </x:c>
    </x:row>
    <x:row r="268">
      <x:c r="A268" t="str">
        <x:v>JFD-20260303-0266</x:v>
      </x:c>
      <x:c r="B268" s="11" t="n">
        <x:v>46084.83263888889</x:v>
      </x:c>
      <x:c r="C268" s="13" t="n">
        <x:v>0.8326388888888889</x:v>
      </x:c>
      <x:c r="D268" t="str">
        <x:v>Birtamode</x:v>
      </x:c>
      <x:c r="E268" t="str">
        <x:v>Pizza Ghar</x:v>
      </x:c>
      <x:c r="F268" s="14" t="n">
        <x:v>620</x:v>
      </x:c>
      <x:c r="G268" t="str">
        <x:v>DEMO / SIMULATED</x:v>
      </x:c>
    </x:row>
    <x:row r="269">
      <x:c r="A269" t="str">
        <x:v>JFD-20260615-0267</x:v>
      </x:c>
      <x:c r="B269" s="11" t="n">
        <x:v>46189</x:v>
      </x:c>
      <x:c r="C269" s="13" t="n">
        <x:v>0.7604166666666666</x:v>
      </x:c>
      <x:c r="D269" t="str">
        <x:v>Damak</x:v>
      </x:c>
      <x:c r="E269" t="str">
        <x:v>Milan’s Bakery</x:v>
      </x:c>
      <x:c r="F269" s="14" t="n">
        <x:v>760</x:v>
      </x:c>
      <x:c r="G269" t="str">
        <x:v>DEMO / SIMULATED</x:v>
      </x:c>
    </x:row>
    <x:row r="270">
      <x:c r="A270" t="str">
        <x:v>JFD-20250627-0268</x:v>
      </x:c>
      <x:c r="B270" s="11" t="n">
        <x:v>45835.436111111114</x:v>
      </x:c>
      <x:c r="C270" s="13" t="n">
        <x:v>0.4361111111111111</x:v>
      </x:c>
      <x:c r="D270" t="str">
        <x:v>Damak</x:v>
      </x:c>
      <x:c r="E270" t="str">
        <x:v>Late Night Cravings</x:v>
      </x:c>
      <x:c r="F270" s="14" t="n">
        <x:v>420</x:v>
      </x:c>
      <x:c r="G270" t="str">
        <x:v>DEMO / SIMULATED</x:v>
      </x:c>
    </x:row>
    <x:row r="271">
      <x:c r="A271" t="str">
        <x:v>JFD-20250427-0269</x:v>
      </x:c>
      <x:c r="B271" s="11" t="n">
        <x:v>45774.836805555555</x:v>
      </x:c>
      <x:c r="C271" s="13" t="n">
        <x:v>0.8368055555555556</x:v>
      </x:c>
      <x:c r="D271" t="str">
        <x:v>Damak</x:v>
      </x:c>
      <x:c r="E271" t="str">
        <x:v>Late Night Cravings</x:v>
      </x:c>
      <x:c r="F271" s="14" t="n">
        <x:v>435</x:v>
      </x:c>
      <x:c r="G271" t="str">
        <x:v>DEMO / SIMULATED</x:v>
      </x:c>
    </x:row>
    <x:row r="272">
      <x:c r="A272" t="str">
        <x:v>JFD-20250821-0270</x:v>
      </x:c>
      <x:c r="B272" s="11" t="n">
        <x:v>45890.42847222222</x:v>
      </x:c>
      <x:c r="C272" s="13" t="n">
        <x:v>0.4284722222222222</x:v>
      </x:c>
      <x:c r="D272" t="str">
        <x:v>Damak</x:v>
      </x:c>
      <x:c r="E272" t="str">
        <x:v>Milan’s Bakery</x:v>
      </x:c>
      <x:c r="F272" s="14" t="n">
        <x:v>560</x:v>
      </x:c>
      <x:c r="G272" t="str">
        <x:v>DEMO / SIMULATED</x:v>
      </x:c>
    </x:row>
    <x:row r="273">
      <x:c r="A273" t="str">
        <x:v>JFD-20240512-0271</x:v>
      </x:c>
      <x:c r="B273" s="11" t="n">
        <x:v>45424.88263888889</x:v>
      </x:c>
      <x:c r="C273" s="13" t="n">
        <x:v>0.8826388888888889</x:v>
      </x:c>
      <x:c r="D273" t="str">
        <x:v>Damak</x:v>
      </x:c>
      <x:c r="E273" t="str">
        <x:v>Late Night Cravings</x:v>
      </x:c>
      <x:c r="F273" s="14" t="n">
        <x:v>1050</x:v>
      </x:c>
      <x:c r="G273" t="str">
        <x:v>DEMO / SIMULATED</x:v>
      </x:c>
    </x:row>
    <x:row r="274">
      <x:c r="A274" t="str">
        <x:v>JFD-20260924-0272</x:v>
      </x:c>
      <x:c r="B274" s="11" t="n">
        <x:v>46289.84652777778</x:v>
      </x:c>
      <x:c r="C274" s="13" t="n">
        <x:v>0.8465277777777778</x:v>
      </x:c>
      <x:c r="D274" t="str">
        <x:v>Birtamode</x:v>
      </x:c>
      <x:c r="E274" t="str">
        <x:v>The Underground Cafe &amp; Restaurant</x:v>
      </x:c>
      <x:c r="F274" s="14" t="n">
        <x:v>1135</x:v>
      </x:c>
      <x:c r="G274" t="str">
        <x:v>DEMO / SIMULATED</x:v>
      </x:c>
    </x:row>
    <x:row r="275">
      <x:c r="A275" t="str">
        <x:v>JFD-20250106-0273</x:v>
      </x:c>
      <x:c r="B275" s="11" t="n">
        <x:v>45663.89166666667</x:v>
      </x:c>
      <x:c r="C275" s="13" t="n">
        <x:v>0.8916666666666667</x:v>
      </x:c>
      <x:c r="D275" t="str">
        <x:v>Birtamode</x:v>
      </x:c>
      <x:c r="E275" t="str">
        <x:v>The Underground Cafe &amp; Restaurant</x:v>
      </x:c>
      <x:c r="F275" s="14" t="n">
        <x:v>120</x:v>
      </x:c>
      <x:c r="G275" t="str">
        <x:v>DEMO / SIMULATED</x:v>
      </x:c>
    </x:row>
    <x:row r="276">
      <x:c r="A276" t="str">
        <x:v>JFD-20240402-0274</x:v>
      </x:c>
      <x:c r="B276" s="11" t="n">
        <x:v>45384.53680555556</x:v>
      </x:c>
      <x:c r="C276" s="13" t="n">
        <x:v>0.5368055555555555</x:v>
      </x:c>
      <x:c r="D276" t="str">
        <x:v>Damak</x:v>
      </x:c>
      <x:c r="E276" t="str">
        <x:v>Late Night Cravings</x:v>
      </x:c>
      <x:c r="F276" s="14" t="n">
        <x:v>35</x:v>
      </x:c>
      <x:c r="G276" t="str">
        <x:v>DEMO / SIMULATED</x:v>
      </x:c>
    </x:row>
    <x:row r="277">
      <x:c r="A277" t="str">
        <x:v>JFD-20250917-0275</x:v>
      </x:c>
      <x:c r="B277" s="11" t="n">
        <x:v>45917.74791666667</x:v>
      </x:c>
      <x:c r="C277" s="13" t="n">
        <x:v>0.7479166666666667</x:v>
      </x:c>
      <x:c r="D277" t="str">
        <x:v>Birtamode</x:v>
      </x:c>
      <x:c r="E277" t="str">
        <x:v>The Underground Cafe &amp; Restaurant</x:v>
      </x:c>
      <x:c r="F277" s="14" t="n">
        <x:v>380</x:v>
      </x:c>
      <x:c r="G277" t="str">
        <x:v>DEMO / SIMULATED</x:v>
      </x:c>
    </x:row>
    <x:row r="278">
      <x:c r="A278" t="str">
        <x:v>JFD-20240102-0276</x:v>
      </x:c>
      <x:c r="B278" s="11" t="n">
        <x:v>45293.763194444444</x:v>
      </x:c>
      <x:c r="C278" s="13" t="n">
        <x:v>0.7631944444444444</x:v>
      </x:c>
      <x:c r="D278" t="str">
        <x:v>Damak</x:v>
      </x:c>
      <x:c r="E278" t="str">
        <x:v>Milan’s Bakery</x:v>
      </x:c>
      <x:c r="F278" s="14" t="n">
        <x:v>1095</x:v>
      </x:c>
      <x:c r="G278" t="str">
        <x:v>DEMO / SIMULATED</x:v>
      </x:c>
    </x:row>
    <x:row r="279">
      <x:c r="A279" t="str">
        <x:v>JFD-20240129-0277</x:v>
      </x:c>
      <x:c r="B279" s="11" t="n">
        <x:v>45320.57916666667</x:v>
      </x:c>
      <x:c r="C279" s="13" t="n">
        <x:v>0.5791666666666667</x:v>
      </x:c>
      <x:c r="D279" t="str">
        <x:v>Birtamode</x:v>
      </x:c>
      <x:c r="E279" t="str">
        <x:v>Pizza Ghar</x:v>
      </x:c>
      <x:c r="F279" s="14" t="n">
        <x:v>1820</x:v>
      </x:c>
      <x:c r="G279" t="str">
        <x:v>DEMO / SIMULATED</x:v>
      </x:c>
    </x:row>
    <x:row r="280">
      <x:c r="A280" t="str">
        <x:v>JFD-20231001-0278</x:v>
      </x:c>
      <x:c r="B280" s="11" t="n">
        <x:v>45200.70277777778</x:v>
      </x:c>
      <x:c r="C280" s="13" t="n">
        <x:v>0.7027777777777777</x:v>
      </x:c>
      <x:c r="D280" t="str">
        <x:v>Birtamode</x:v>
      </x:c>
      <x:c r="E280" t="str">
        <x:v>The Underground Cafe &amp; Restaurant</x:v>
      </x:c>
      <x:c r="F280" s="14" t="n">
        <x:v>740</x:v>
      </x:c>
      <x:c r="G280" t="str">
        <x:v>DEMO / SIMULATED</x:v>
      </x:c>
    </x:row>
    <x:row r="281">
      <x:c r="A281" t="str">
        <x:v>JFD-20240106-0279</x:v>
      </x:c>
      <x:c r="B281" s="11" t="n">
        <x:v>45297.72430555556</x:v>
      </x:c>
      <x:c r="C281" s="13" t="n">
        <x:v>0.7243055555555555</x:v>
      </x:c>
      <x:c r="D281" t="str">
        <x:v>Birtamode</x:v>
      </x:c>
      <x:c r="E281" t="str">
        <x:v>The Underground Cafe &amp; Restaurant</x:v>
      </x:c>
      <x:c r="F281" s="14" t="n">
        <x:v>465</x:v>
      </x:c>
      <x:c r="G281" t="str">
        <x:v>DEMO / SIMULATED</x:v>
      </x:c>
    </x:row>
    <x:row r="282">
      <x:c r="A282" t="str">
        <x:v>JFD-20251222-0280</x:v>
      </x:c>
      <x:c r="B282" s="11" t="n">
        <x:v>46013.75763888889</x:v>
      </x:c>
      <x:c r="C282" s="13" t="n">
        <x:v>0.7576388888888889</x:v>
      </x:c>
      <x:c r="D282" t="str">
        <x:v>Birtamode</x:v>
      </x:c>
      <x:c r="E282" t="str">
        <x:v>The Underground Cafe &amp; Restaurant</x:v>
      </x:c>
      <x:c r="F282" s="14" t="n">
        <x:v>670</x:v>
      </x:c>
      <x:c r="G282" t="str">
        <x:v>DEMO / SIMULATED</x:v>
      </x:c>
    </x:row>
    <x:row r="283">
      <x:c r="A283" t="str">
        <x:v>JFD-20230921-0281</x:v>
      </x:c>
      <x:c r="B283" s="11" t="n">
        <x:v>45190.82986111111</x:v>
      </x:c>
      <x:c r="C283" s="13" t="n">
        <x:v>0.8298611111111112</x:v>
      </x:c>
      <x:c r="D283" t="str">
        <x:v>Birtamode</x:v>
      </x:c>
      <x:c r="E283" t="str">
        <x:v>The Underground Cafe &amp; Restaurant</x:v>
      </x:c>
      <x:c r="F283" s="14" t="n">
        <x:v>185</x:v>
      </x:c>
      <x:c r="G283" t="str">
        <x:v>DEMO / SIMULATED</x:v>
      </x:c>
    </x:row>
    <x:row r="284">
      <x:c r="A284" t="str">
        <x:v>JFD-20240507-0282</x:v>
      </x:c>
      <x:c r="B284" s="11" t="n">
        <x:v>45419.675</x:v>
      </x:c>
      <x:c r="C284" s="13" t="n">
        <x:v>0.675</x:v>
      </x:c>
      <x:c r="D284" t="str">
        <x:v>Birtamode</x:v>
      </x:c>
      <x:c r="E284" t="str">
        <x:v>Pizza Ghar</x:v>
      </x:c>
      <x:c r="F284" s="14" t="n">
        <x:v>355</x:v>
      </x:c>
      <x:c r="G284" t="str">
        <x:v>DEMO / SIMULATED</x:v>
      </x:c>
    </x:row>
    <x:row r="285">
      <x:c r="A285" t="str">
        <x:v>JFD-20240529-0283</x:v>
      </x:c>
      <x:c r="B285" s="11" t="n">
        <x:v>45441.90416666667</x:v>
      </x:c>
      <x:c r="C285" s="13" t="n">
        <x:v>0.9041666666666667</x:v>
      </x:c>
      <x:c r="D285" t="str">
        <x:v>Damak</x:v>
      </x:c>
      <x:c r="E285" t="str">
        <x:v>Milan’s Bakery</x:v>
      </x:c>
      <x:c r="F285" s="14" t="n">
        <x:v>800</x:v>
      </x:c>
      <x:c r="G285" t="str">
        <x:v>DEMO / SIMULATED</x:v>
      </x:c>
    </x:row>
    <x:row r="286">
      <x:c r="A286" t="str">
        <x:v>JFD-20260910-0284</x:v>
      </x:c>
      <x:c r="B286" s="11" t="n">
        <x:v>46275.620833333334</x:v>
      </x:c>
      <x:c r="C286" s="13" t="n">
        <x:v>0.6208333333333333</x:v>
      </x:c>
      <x:c r="D286" t="str">
        <x:v>Birtamode</x:v>
      </x:c>
      <x:c r="E286" t="str">
        <x:v>Pizza Ghar</x:v>
      </x:c>
      <x:c r="F286" s="14" t="n">
        <x:v>1260</x:v>
      </x:c>
      <x:c r="G286" t="str">
        <x:v>DEMO / SIMULATED</x:v>
      </x:c>
    </x:row>
    <x:row r="287">
      <x:c r="A287" t="str">
        <x:v>JFD-20230517-0285</x:v>
      </x:c>
      <x:c r="B287" s="11" t="n">
        <x:v>45063.819444444445</x:v>
      </x:c>
      <x:c r="C287" s="13" t="n">
        <x:v>0.8194444444444444</x:v>
      </x:c>
      <x:c r="D287" t="str">
        <x:v>Birtamode</x:v>
      </x:c>
      <x:c r="E287" t="str">
        <x:v>The Underground Cafe &amp; Restaurant</x:v>
      </x:c>
      <x:c r="F287" s="14" t="n">
        <x:v>160</x:v>
      </x:c>
      <x:c r="G287" t="str">
        <x:v>DEMO / SIMULATED</x:v>
      </x:c>
    </x:row>
    <x:row r="288">
      <x:c r="A288" t="str">
        <x:v>JFD-20251110-0286</x:v>
      </x:c>
      <x:c r="B288" s="11" t="n">
        <x:v>45971.544444444444</x:v>
      </x:c>
      <x:c r="C288" s="13" t="n">
        <x:v>0.5444444444444444</x:v>
      </x:c>
      <x:c r="D288" t="str">
        <x:v>Birtamode</x:v>
      </x:c>
      <x:c r="E288" t="str">
        <x:v>The Underground Cafe &amp; Restaurant</x:v>
      </x:c>
      <x:c r="F288" s="14" t="n">
        <x:v>240</x:v>
      </x:c>
      <x:c r="G288" t="str">
        <x:v>DEMO / SIMULATED</x:v>
      </x:c>
    </x:row>
    <x:row r="289">
      <x:c r="A289" t="str">
        <x:v>JFD-20241126-0287</x:v>
      </x:c>
      <x:c r="B289" s="11" t="n">
        <x:v>45622.46319444444</x:v>
      </x:c>
      <x:c r="C289" s="13" t="n">
        <x:v>0.46319444444444446</x:v>
      </x:c>
      <x:c r="D289" t="str">
        <x:v>Birtamode</x:v>
      </x:c>
      <x:c r="E289" t="str">
        <x:v>Pizza Ghar</x:v>
      </x:c>
      <x:c r="F289" s="14" t="n">
        <x:v>70</x:v>
      </x:c>
      <x:c r="G289" t="str">
        <x:v>DEMO / SIMULATED</x:v>
      </x:c>
    </x:row>
    <x:row r="290">
      <x:c r="A290" t="str">
        <x:v>JFD-20230109-0288</x:v>
      </x:c>
      <x:c r="B290" s="11" t="n">
        <x:v>44935.55347222222</x:v>
      </x:c>
      <x:c r="C290" s="13" t="n">
        <x:v>0.5534722222222223</x:v>
      </x:c>
      <x:c r="D290" t="str">
        <x:v>Damak</x:v>
      </x:c>
      <x:c r="E290" t="str">
        <x:v>Milan’s Bakery</x:v>
      </x:c>
      <x:c r="F290" s="14" t="n">
        <x:v>35</x:v>
      </x:c>
      <x:c r="G290" t="str">
        <x:v>DEMO / SIMULATED</x:v>
      </x:c>
    </x:row>
    <x:row r="291">
      <x:c r="A291" t="str">
        <x:v>JFD-20240228-0289</x:v>
      </x:c>
      <x:c r="B291" s="11" t="n">
        <x:v>45350.61736111111</x:v>
      </x:c>
      <x:c r="C291" s="13" t="n">
        <x:v>0.6173611111111111</x:v>
      </x:c>
      <x:c r="D291" t="str">
        <x:v>Damak</x:v>
      </x:c>
      <x:c r="E291" t="str">
        <x:v>Late Night Cravings</x:v>
      </x:c>
      <x:c r="F291" s="14" t="n">
        <x:v>385</x:v>
      </x:c>
      <x:c r="G291" t="str">
        <x:v>DEMO / SIMULATED</x:v>
      </x:c>
    </x:row>
    <x:row r="292">
      <x:c r="A292" t="str">
        <x:v>JFD-20260522-0290</x:v>
      </x:c>
      <x:c r="B292" s="11" t="n">
        <x:v>46164.64027777778</x:v>
      </x:c>
      <x:c r="C292" s="13" t="n">
        <x:v>0.6402777777777777</x:v>
      </x:c>
      <x:c r="D292" t="str">
        <x:v>Birtamode</x:v>
      </x:c>
      <x:c r="E292" t="str">
        <x:v>Pizza Ghar</x:v>
      </x:c>
      <x:c r="F292" s="14" t="n">
        <x:v>1520</x:v>
      </x:c>
      <x:c r="G292" t="str">
        <x:v>DEMO / SIMULATED</x:v>
      </x:c>
    </x:row>
    <x:row r="293">
      <x:c r="A293" t="str">
        <x:v>JFD-20230324-0291</x:v>
      </x:c>
      <x:c r="B293" s="11" t="n">
        <x:v>45009.529861111114</x:v>
      </x:c>
      <x:c r="C293" s="13" t="n">
        <x:v>0.5298611111111111</x:v>
      </x:c>
      <x:c r="D293" t="str">
        <x:v>Damak</x:v>
      </x:c>
      <x:c r="E293" t="str">
        <x:v>Late Night Cravings</x:v>
      </x:c>
      <x:c r="F293" s="14" t="n">
        <x:v>885</x:v>
      </x:c>
      <x:c r="G293" t="str">
        <x:v>DEMO / SIMULATED</x:v>
      </x:c>
    </x:row>
    <x:row r="294">
      <x:c r="A294" t="str">
        <x:v>JFD-20230312-0292</x:v>
      </x:c>
      <x:c r="B294" s="11" t="n">
        <x:v>44997.71944444445</x:v>
      </x:c>
      <x:c r="C294" s="13" t="n">
        <x:v>0.7194444444444444</x:v>
      </x:c>
      <x:c r="D294" t="str">
        <x:v>Damak</x:v>
      </x:c>
      <x:c r="E294" t="str">
        <x:v>Late Night Cravings</x:v>
      </x:c>
      <x:c r="F294" s="14" t="n">
        <x:v>920</x:v>
      </x:c>
      <x:c r="G294" t="str">
        <x:v>DEMO / SIMULATED</x:v>
      </x:c>
    </x:row>
    <x:row r="295">
      <x:c r="A295" t="str">
        <x:v>JFD-20230408-0293</x:v>
      </x:c>
      <x:c r="B295" s="11" t="n">
        <x:v>45024.620833333334</x:v>
      </x:c>
      <x:c r="C295" s="13" t="n">
        <x:v>0.6208333333333333</x:v>
      </x:c>
      <x:c r="D295" t="str">
        <x:v>Damak</x:v>
      </x:c>
      <x:c r="E295" t="str">
        <x:v>Late Night Cravings</x:v>
      </x:c>
      <x:c r="F295" s="14" t="n">
        <x:v>1580</x:v>
      </x:c>
      <x:c r="G295" t="str">
        <x:v>DEMO / SIMULATED</x:v>
      </x:c>
    </x:row>
    <x:row r="296">
      <x:c r="A296" t="str">
        <x:v>JFD-20250621-0294</x:v>
      </x:c>
      <x:c r="B296" s="11" t="n">
        <x:v>45829.48819444444</x:v>
      </x:c>
      <x:c r="C296" s="13" t="n">
        <x:v>0.48819444444444443</x:v>
      </x:c>
      <x:c r="D296" t="str">
        <x:v>Damak</x:v>
      </x:c>
      <x:c r="E296" t="str">
        <x:v>Late Night Cravings</x:v>
      </x:c>
      <x:c r="F296" s="14" t="n">
        <x:v>635</x:v>
      </x:c>
      <x:c r="G296" t="str">
        <x:v>DEMO / SIMULATED</x:v>
      </x:c>
    </x:row>
    <x:row r="297">
      <x:c r="A297" t="str">
        <x:v>JFD-20251014-0295</x:v>
      </x:c>
      <x:c r="B297" s="11" t="n">
        <x:v>45944.856944444444</x:v>
      </x:c>
      <x:c r="C297" s="13" t="n">
        <x:v>0.8569444444444444</x:v>
      </x:c>
      <x:c r="D297" t="str">
        <x:v>Birtamode</x:v>
      </x:c>
      <x:c r="E297" t="str">
        <x:v>The Underground Cafe &amp; Restaurant</x:v>
      </x:c>
      <x:c r="F297" s="14" t="n">
        <x:v>630</x:v>
      </x:c>
      <x:c r="G297" t="str">
        <x:v>DEMO / SIMULATED</x:v>
      </x:c>
    </x:row>
    <x:row r="298">
      <x:c r="A298" t="str">
        <x:v>JFD-20260309-0296</x:v>
      </x:c>
      <x:c r="B298" s="11" t="n">
        <x:v>46090.61597222222</x:v>
      </x:c>
      <x:c r="C298" s="13" t="n">
        <x:v>0.6159722222222223</x:v>
      </x:c>
      <x:c r="D298" t="str">
        <x:v>Birtamode</x:v>
      </x:c>
      <x:c r="E298" t="str">
        <x:v>Pizza Ghar</x:v>
      </x:c>
      <x:c r="F298" s="14" t="n">
        <x:v>160</x:v>
      </x:c>
      <x:c r="G298" t="str">
        <x:v>DEMO / SIMULATED</x:v>
      </x:c>
    </x:row>
    <x:row r="299">
      <x:c r="A299" t="str">
        <x:v>JFD-20250316-0297</x:v>
      </x:c>
      <x:c r="B299" s="11" t="n">
        <x:v>45732.54027777778</x:v>
      </x:c>
      <x:c r="C299" s="13" t="n">
        <x:v>0.5402777777777777</x:v>
      </x:c>
      <x:c r="D299" t="str">
        <x:v>Birtamode</x:v>
      </x:c>
      <x:c r="E299" t="str">
        <x:v>The Underground Cafe &amp; Restaurant</x:v>
      </x:c>
      <x:c r="F299" s="14" t="n">
        <x:v>210</x:v>
      </x:c>
      <x:c r="G299" t="str">
        <x:v>DEMO / SIMULATED</x:v>
      </x:c>
    </x:row>
    <x:row r="300">
      <x:c r="A300" t="str">
        <x:v>JFD-20240228-0298</x:v>
      </x:c>
      <x:c r="B300" s="11" t="n">
        <x:v>45350.73055555556</x:v>
      </x:c>
      <x:c r="C300" s="13" t="n">
        <x:v>0.7305555555555555</x:v>
      </x:c>
      <x:c r="D300" t="str">
        <x:v>Birtamode</x:v>
      </x:c>
      <x:c r="E300" t="str">
        <x:v>Pizza Ghar</x:v>
      </x:c>
      <x:c r="F300" s="14" t="n">
        <x:v>895</x:v>
      </x:c>
      <x:c r="G300" t="str">
        <x:v>DEMO / SIMULATED</x:v>
      </x:c>
    </x:row>
    <x:row r="301">
      <x:c r="A301" t="str">
        <x:v>JFD-20260901-0299</x:v>
      </x:c>
      <x:c r="B301" s="11" t="n">
        <x:v>46266.66875</x:v>
      </x:c>
      <x:c r="C301" s="13" t="n">
        <x:v>0.66875</x:v>
      </x:c>
      <x:c r="D301" t="str">
        <x:v>Birtamode</x:v>
      </x:c>
      <x:c r="E301" t="str">
        <x:v>The Underground Cafe &amp; Restaurant</x:v>
      </x:c>
      <x:c r="F301" s="14" t="n">
        <x:v>80</x:v>
      </x:c>
      <x:c r="G301" t="str">
        <x:v>DEMO / SIMULATED</x:v>
      </x:c>
    </x:row>
    <x:row r="302">
      <x:c r="A302" t="str">
        <x:v>JFD-20230523-0300</x:v>
      </x:c>
      <x:c r="B302" s="11" t="n">
        <x:v>45069.888194444444</x:v>
      </x:c>
      <x:c r="C302" s="13" t="n">
        <x:v>0.8881944444444444</x:v>
      </x:c>
      <x:c r="D302" t="str">
        <x:v>Birtamode</x:v>
      </x:c>
      <x:c r="E302" t="str">
        <x:v>Pizza Ghar</x:v>
      </x:c>
      <x:c r="F302" s="14" t="n">
        <x:v>770</x:v>
      </x:c>
      <x:c r="G302" t="str">
        <x:v>DEMO / SIMULATED</x:v>
      </x:c>
    </x:row>
    <x:row r="303">
      <x:c r="A303" t="str">
        <x:v>JFD-20230427-0301</x:v>
      </x:c>
      <x:c r="B303" s="11" t="n">
        <x:v>45043.665972222225</x:v>
      </x:c>
      <x:c r="C303" s="13" t="n">
        <x:v>0.6659722222222222</x:v>
      </x:c>
      <x:c r="D303" t="str">
        <x:v>Damak</x:v>
      </x:c>
      <x:c r="E303" t="str">
        <x:v>Late Night Cravings</x:v>
      </x:c>
      <x:c r="F303" s="14" t="n">
        <x:v>660</x:v>
      </x:c>
      <x:c r="G303" t="str">
        <x:v>DEMO / SIMULATED</x:v>
      </x:c>
    </x:row>
    <x:row r="304">
      <x:c r="A304" t="str">
        <x:v>JFD-20230316-0302</x:v>
      </x:c>
      <x:c r="B304" s="11" t="n">
        <x:v>45001.73472222222</x:v>
      </x:c>
      <x:c r="C304" s="13" t="n">
        <x:v>0.7347222222222223</x:v>
      </x:c>
      <x:c r="D304" t="str">
        <x:v>Birtamode</x:v>
      </x:c>
      <x:c r="E304" t="str">
        <x:v>Pizza Ghar</x:v>
      </x:c>
      <x:c r="F304" s="14" t="n">
        <x:v>915</x:v>
      </x:c>
      <x:c r="G304" t="str">
        <x:v>DEMO / SIMULATED</x:v>
      </x:c>
    </x:row>
    <x:row r="305">
      <x:c r="A305" t="str">
        <x:v>JFD-20250612-0303</x:v>
      </x:c>
      <x:c r="B305" s="11" t="n">
        <x:v>45820.725</x:v>
      </x:c>
      <x:c r="C305" s="13" t="n">
        <x:v>0.725</x:v>
      </x:c>
      <x:c r="D305" t="str">
        <x:v>Damak</x:v>
      </x:c>
      <x:c r="E305" t="str">
        <x:v>Milan’s Bakery</x:v>
      </x:c>
      <x:c r="F305" s="14" t="n">
        <x:v>1270</x:v>
      </x:c>
      <x:c r="G305" t="str">
        <x:v>DEMO / SIMULATED</x:v>
      </x:c>
    </x:row>
    <x:row r="306">
      <x:c r="A306" t="str">
        <x:v>JFD-20260215-0304</x:v>
      </x:c>
      <x:c r="B306" s="11" t="n">
        <x:v>46068.53333333333</x:v>
      </x:c>
      <x:c r="C306" s="13" t="n">
        <x:v>0.5333333333333333</x:v>
      </x:c>
      <x:c r="D306" t="str">
        <x:v>Damak</x:v>
      </x:c>
      <x:c r="E306" t="str">
        <x:v>Milan’s Bakery</x:v>
      </x:c>
      <x:c r="F306" s="14" t="n">
        <x:v>100</x:v>
      </x:c>
      <x:c r="G306" t="str">
        <x:v>DEMO / SIMULATED</x:v>
      </x:c>
    </x:row>
    <x:row r="307">
      <x:c r="A307" t="str">
        <x:v>JFD-20230103-0305</x:v>
      </x:c>
      <x:c r="B307" s="11" t="n">
        <x:v>44929.45208333333</x:v>
      </x:c>
      <x:c r="C307" s="13" t="n">
        <x:v>0.45208333333333334</x:v>
      </x:c>
      <x:c r="D307" t="str">
        <x:v>Damak</x:v>
      </x:c>
      <x:c r="E307" t="str">
        <x:v>Late Night Cravings</x:v>
      </x:c>
      <x:c r="F307" s="14" t="n">
        <x:v>460</x:v>
      </x:c>
      <x:c r="G307" t="str">
        <x:v>DEMO / SIMULATED</x:v>
      </x:c>
    </x:row>
    <x:row r="308">
      <x:c r="A308" t="str">
        <x:v>JFD-20240712-0306</x:v>
      </x:c>
      <x:c r="B308" s="11" t="n">
        <x:v>45485.58125</x:v>
      </x:c>
      <x:c r="C308" s="13" t="n">
        <x:v>0.58125</x:v>
      </x:c>
      <x:c r="D308" t="str">
        <x:v>Birtamode</x:v>
      </x:c>
      <x:c r="E308" t="str">
        <x:v>Pizza Ghar</x:v>
      </x:c>
      <x:c r="F308" s="14" t="n">
        <x:v>1165</x:v>
      </x:c>
      <x:c r="G308" t="str">
        <x:v>DEMO / SIMULATED</x:v>
      </x:c>
    </x:row>
    <x:row r="309">
      <x:c r="A309" t="str">
        <x:v>JFD-20250416-0307</x:v>
      </x:c>
      <x:c r="B309" s="11" t="n">
        <x:v>45763.83125</x:v>
      </x:c>
      <x:c r="C309" s="13" t="n">
        <x:v>0.83125</x:v>
      </x:c>
      <x:c r="D309" t="str">
        <x:v>Damak</x:v>
      </x:c>
      <x:c r="E309" t="str">
        <x:v>Milan’s Bakery</x:v>
      </x:c>
      <x:c r="F309" s="14" t="n">
        <x:v>945</x:v>
      </x:c>
      <x:c r="G309" t="str">
        <x:v>DEMO / SIMULATED</x:v>
      </x:c>
    </x:row>
    <x:row r="310">
      <x:c r="A310" t="str">
        <x:v>JFD-20230722-0308</x:v>
      </x:c>
      <x:c r="B310" s="11" t="n">
        <x:v>45129.427777777775</x:v>
      </x:c>
      <x:c r="C310" s="13" t="n">
        <x:v>0.42777777777777776</x:v>
      </x:c>
      <x:c r="D310" t="str">
        <x:v>Birtamode</x:v>
      </x:c>
      <x:c r="E310" t="str">
        <x:v>Pizza Ghar</x:v>
      </x:c>
      <x:c r="F310" s="14" t="n">
        <x:v>220</x:v>
      </x:c>
      <x:c r="G310" t="str">
        <x:v>DEMO / SIMULATED</x:v>
      </x:c>
    </x:row>
    <x:row r="311">
      <x:c r="A311" t="str">
        <x:v>JFD-20240819-0309</x:v>
      </x:c>
      <x:c r="B311" s="11" t="n">
        <x:v>45523.57638888889</x:v>
      </x:c>
      <x:c r="C311" s="13" t="n">
        <x:v>0.5763888888888888</x:v>
      </x:c>
      <x:c r="D311" t="str">
        <x:v>Damak</x:v>
      </x:c>
      <x:c r="E311" t="str">
        <x:v>Milan’s Bakery</x:v>
      </x:c>
      <x:c r="F311" s="14" t="n">
        <x:v>1060</x:v>
      </x:c>
      <x:c r="G311" t="str">
        <x:v>DEMO / SIMULATED</x:v>
      </x:c>
    </x:row>
    <x:row r="312">
      <x:c r="A312" t="str">
        <x:v>JFD-20230604-0310</x:v>
      </x:c>
      <x:c r="B312" s="11" t="n">
        <x:v>45081.510416666664</x:v>
      </x:c>
      <x:c r="C312" s="13" t="n">
        <x:v>0.5104166666666666</x:v>
      </x:c>
      <x:c r="D312" t="str">
        <x:v>Damak</x:v>
      </x:c>
      <x:c r="E312" t="str">
        <x:v>Late Night Cravings</x:v>
      </x:c>
      <x:c r="F312" s="14" t="n">
        <x:v>800</x:v>
      </x:c>
      <x:c r="G312" t="str">
        <x:v>DEMO / SIMULATED</x:v>
      </x:c>
    </x:row>
    <x:row r="313">
      <x:c r="A313" t="str">
        <x:v>JFD-20231130-0311</x:v>
      </x:c>
      <x:c r="B313" s="11" t="n">
        <x:v>45260.77222222222</x:v>
      </x:c>
      <x:c r="C313" s="13" t="n">
        <x:v>0.7722222222222223</x:v>
      </x:c>
      <x:c r="D313" t="str">
        <x:v>Damak</x:v>
      </x:c>
      <x:c r="E313" t="str">
        <x:v>Milan’s Bakery</x:v>
      </x:c>
      <x:c r="F313" s="14" t="n">
        <x:v>390</x:v>
      </x:c>
      <x:c r="G313" t="str">
        <x:v>DEMO / SIMULATED</x:v>
      </x:c>
    </x:row>
    <x:row r="314">
      <x:c r="A314" t="str">
        <x:v>JFD-20241130-0312</x:v>
      </x:c>
      <x:c r="B314" s="11" t="n">
        <x:v>45626.430555555555</x:v>
      </x:c>
      <x:c r="C314" s="13" t="n">
        <x:v>0.4305555555555556</x:v>
      </x:c>
      <x:c r="D314" t="str">
        <x:v>Birtamode</x:v>
      </x:c>
      <x:c r="E314" t="str">
        <x:v>Pizza Ghar</x:v>
      </x:c>
      <x:c r="F314" s="14" t="n">
        <x:v>530</x:v>
      </x:c>
      <x:c r="G314" t="str">
        <x:v>DEMO / SIMULATED</x:v>
      </x:c>
    </x:row>
    <x:row r="315">
      <x:c r="A315" t="str">
        <x:v>JFD-20250820-0313</x:v>
      </x:c>
      <x:c r="B315" s="11" t="n">
        <x:v>45889.88958333333</x:v>
      </x:c>
      <x:c r="C315" s="13" t="n">
        <x:v>0.8895833333333333</x:v>
      </x:c>
      <x:c r="D315" t="str">
        <x:v>Birtamode</x:v>
      </x:c>
      <x:c r="E315" t="str">
        <x:v>The Underground Cafe &amp; Restaurant</x:v>
      </x:c>
      <x:c r="F315" s="14" t="n">
        <x:v>1040</x:v>
      </x:c>
      <x:c r="G315" t="str">
        <x:v>DEMO / SIMULATED</x:v>
      </x:c>
    </x:row>
    <x:row r="316">
      <x:c r="A316" t="str">
        <x:v>JFD-20260130-0314</x:v>
      </x:c>
      <x:c r="B316" s="11" t="n">
        <x:v>46052.830555555556</x:v>
      </x:c>
      <x:c r="C316" s="13" t="n">
        <x:v>0.8305555555555556</x:v>
      </x:c>
      <x:c r="D316" t="str">
        <x:v>Damak</x:v>
      </x:c>
      <x:c r="E316" t="str">
        <x:v>Milan’s Bakery</x:v>
      </x:c>
      <x:c r="F316" s="14" t="n">
        <x:v>350</x:v>
      </x:c>
      <x:c r="G316" t="str">
        <x:v>DEMO / SIMULATED</x:v>
      </x:c>
    </x:row>
    <x:row r="317">
      <x:c r="A317" t="str">
        <x:v>JFD-20240622-0315</x:v>
      </x:c>
      <x:c r="B317" s="11" t="n">
        <x:v>45465.66527777778</x:v>
      </x:c>
      <x:c r="C317" s="13" t="n">
        <x:v>0.6652777777777777</x:v>
      </x:c>
      <x:c r="D317" t="str">
        <x:v>Birtamode</x:v>
      </x:c>
      <x:c r="E317" t="str">
        <x:v>The Underground Cafe &amp; Restaurant</x:v>
      </x:c>
      <x:c r="F317" s="14" t="n">
        <x:v>940</x:v>
      </x:c>
      <x:c r="G317" t="str">
        <x:v>DEMO / SIMULATED</x:v>
      </x:c>
    </x:row>
    <x:row r="318">
      <x:c r="A318" t="str">
        <x:v>JFD-20260915-0316</x:v>
      </x:c>
      <x:c r="B318" s="11" t="n">
        <x:v>46280.71944444445</x:v>
      </x:c>
      <x:c r="C318" s="13" t="n">
        <x:v>0.7194444444444444</x:v>
      </x:c>
      <x:c r="D318" t="str">
        <x:v>Damak</x:v>
      </x:c>
      <x:c r="E318" t="str">
        <x:v>Milan’s Bakery</x:v>
      </x:c>
      <x:c r="F318" s="14" t="n">
        <x:v>80</x:v>
      </x:c>
      <x:c r="G318" t="str">
        <x:v>DEMO / SIMULATED</x:v>
      </x:c>
    </x:row>
    <x:row r="319">
      <x:c r="A319" t="str">
        <x:v>JFD-20260922-0317</x:v>
      </x:c>
      <x:c r="B319" s="11" t="n">
        <x:v>46287.65833333333</x:v>
      </x:c>
      <x:c r="C319" s="13" t="n">
        <x:v>0.6583333333333333</x:v>
      </x:c>
      <x:c r="D319" t="str">
        <x:v>Birtamode</x:v>
      </x:c>
      <x:c r="E319" t="str">
        <x:v>The Underground Cafe &amp; Restaurant</x:v>
      </x:c>
      <x:c r="F319" s="14" t="n">
        <x:v>310</x:v>
      </x:c>
      <x:c r="G319" t="str">
        <x:v>DEMO / SIMULATED</x:v>
      </x:c>
    </x:row>
    <x:row r="320">
      <x:c r="A320" t="str">
        <x:v>JFD-20260727-0318</x:v>
      </x:c>
      <x:c r="B320" s="11" t="n">
        <x:v>46230.691666666666</x:v>
      </x:c>
      <x:c r="C320" s="13" t="n">
        <x:v>0.6916666666666667</x:v>
      </x:c>
      <x:c r="D320" t="str">
        <x:v>Damak</x:v>
      </x:c>
      <x:c r="E320" t="str">
        <x:v>Milan’s Bakery</x:v>
      </x:c>
      <x:c r="F320" s="14" t="n">
        <x:v>120</x:v>
      </x:c>
      <x:c r="G320" t="str">
        <x:v>DEMO / SIMULATED</x:v>
      </x:c>
    </x:row>
    <x:row r="321">
      <x:c r="A321" t="str">
        <x:v>JFD-20250701-0319</x:v>
      </x:c>
      <x:c r="B321" s="11" t="n">
        <x:v>45839.881944444445</x:v>
      </x:c>
      <x:c r="C321" s="13" t="n">
        <x:v>0.8819444444444444</x:v>
      </x:c>
      <x:c r="D321" t="str">
        <x:v>Birtamode</x:v>
      </x:c>
      <x:c r="E321" t="str">
        <x:v>The Underground Cafe &amp; Restaurant</x:v>
      </x:c>
      <x:c r="F321" s="14" t="n">
        <x:v>435</x:v>
      </x:c>
      <x:c r="G321" t="str">
        <x:v>DEMO / SIMULATED</x:v>
      </x:c>
    </x:row>
    <x:row r="322">
      <x:c r="A322" t="str">
        <x:v>JFD-20230813-0320</x:v>
      </x:c>
      <x:c r="B322" s="11" t="n">
        <x:v>45151.89097222222</x:v>
      </x:c>
      <x:c r="C322" s="13" t="n">
        <x:v>0.8909722222222223</x:v>
      </x:c>
      <x:c r="D322" t="str">
        <x:v>Damak</x:v>
      </x:c>
      <x:c r="E322" t="str">
        <x:v>Milan’s Bakery</x:v>
      </x:c>
      <x:c r="F322" s="14" t="n">
        <x:v>530</x:v>
      </x:c>
      <x:c r="G322" t="str">
        <x:v>DEMO / SIMULATED</x:v>
      </x:c>
    </x:row>
    <x:row r="323">
      <x:c r="A323" t="str">
        <x:v>JFD-20260427-0321</x:v>
      </x:c>
      <x:c r="B323" s="11" t="n">
        <x:v>46139.45208333333</x:v>
      </x:c>
      <x:c r="C323" s="13" t="n">
        <x:v>0.45208333333333334</x:v>
      </x:c>
      <x:c r="D323" t="str">
        <x:v>Birtamode</x:v>
      </x:c>
      <x:c r="E323" t="str">
        <x:v>Pizza Ghar</x:v>
      </x:c>
      <x:c r="F323" s="14" t="n">
        <x:v>420</x:v>
      </x:c>
      <x:c r="G323" t="str">
        <x:v>DEMO / SIMULATED</x:v>
      </x:c>
    </x:row>
    <x:row r="324">
      <x:c r="A324" t="str">
        <x:v>JFD-20240829-0322</x:v>
      </x:c>
      <x:c r="B324" s="11" t="n">
        <x:v>45533.58194444444</x:v>
      </x:c>
      <x:c r="C324" s="13" t="n">
        <x:v>0.5819444444444445</x:v>
      </x:c>
      <x:c r="D324" t="str">
        <x:v>Birtamode</x:v>
      </x:c>
      <x:c r="E324" t="str">
        <x:v>Pizza Ghar</x:v>
      </x:c>
      <x:c r="F324" s="14" t="n">
        <x:v>320</x:v>
      </x:c>
      <x:c r="G324" t="str">
        <x:v>DEMO / SIMULATED</x:v>
      </x:c>
    </x:row>
    <x:row r="325">
      <x:c r="A325" t="str">
        <x:v>JFD-20240825-0323</x:v>
      </x:c>
      <x:c r="B325" s="11" t="n">
        <x:v>45529.74722222222</x:v>
      </x:c>
      <x:c r="C325" s="13" t="n">
        <x:v>0.7472222222222222</x:v>
      </x:c>
      <x:c r="D325" t="str">
        <x:v>Damak</x:v>
      </x:c>
      <x:c r="E325" t="str">
        <x:v>Milan’s Bakery</x:v>
      </x:c>
      <x:c r="F325" s="14" t="n">
        <x:v>310</x:v>
      </x:c>
      <x:c r="G325" t="str">
        <x:v>DEMO / SIMULATED</x:v>
      </x:c>
    </x:row>
    <x:row r="326">
      <x:c r="A326" t="str">
        <x:v>JFD-20250907-0324</x:v>
      </x:c>
      <x:c r="B326" s="11" t="n">
        <x:v>45907.802083333336</x:v>
      </x:c>
      <x:c r="C326" s="13" t="n">
        <x:v>0.8020833333333334</x:v>
      </x:c>
      <x:c r="D326" t="str">
        <x:v>Damak</x:v>
      </x:c>
      <x:c r="E326" t="str">
        <x:v>Milan’s Bakery</x:v>
      </x:c>
      <x:c r="F326" s="14" t="n">
        <x:v>320</x:v>
      </x:c>
      <x:c r="G326" t="str">
        <x:v>DEMO / SIMULATED</x:v>
      </x:c>
    </x:row>
    <x:row r="327">
      <x:c r="A327" t="str">
        <x:v>JFD-20260714-0325</x:v>
      </x:c>
      <x:c r="B327" s="11" t="n">
        <x:v>46217.615277777775</x:v>
      </x:c>
      <x:c r="C327" s="13" t="n">
        <x:v>0.6152777777777778</x:v>
      </x:c>
      <x:c r="D327" t="str">
        <x:v>Damak</x:v>
      </x:c>
      <x:c r="E327" t="str">
        <x:v>Milan’s Bakery</x:v>
      </x:c>
      <x:c r="F327" s="14" t="n">
        <x:v>1500</x:v>
      </x:c>
      <x:c r="G327" t="str">
        <x:v>DEMO / SIMULATED</x:v>
      </x:c>
    </x:row>
    <x:row r="328">
      <x:c r="A328" t="str">
        <x:v>JFD-20241224-0326</x:v>
      </x:c>
      <x:c r="B328" s="11" t="n">
        <x:v>45650.535416666666</x:v>
      </x:c>
      <x:c r="C328" s="13" t="n">
        <x:v>0.5354166666666667</x:v>
      </x:c>
      <x:c r="D328" t="str">
        <x:v>Birtamode</x:v>
      </x:c>
      <x:c r="E328" t="str">
        <x:v>The Underground Cafe &amp; Restaurant</x:v>
      </x:c>
      <x:c r="F328" s="14" t="n">
        <x:v>940</x:v>
      </x:c>
      <x:c r="G328" t="str">
        <x:v>DEMO / SIMULATED</x:v>
      </x:c>
    </x:row>
    <x:row r="329">
      <x:c r="A329" t="str">
        <x:v>JFD-20240813-0327</x:v>
      </x:c>
      <x:c r="B329" s="11" t="n">
        <x:v>45517.649305555555</x:v>
      </x:c>
      <x:c r="C329" s="13" t="n">
        <x:v>0.6493055555555556</x:v>
      </x:c>
      <x:c r="D329" t="str">
        <x:v>Birtamode</x:v>
      </x:c>
      <x:c r="E329" t="str">
        <x:v>The Underground Cafe &amp; Restaurant</x:v>
      </x:c>
      <x:c r="F329" s="14" t="n">
        <x:v>800</x:v>
      </x:c>
      <x:c r="G329" t="str">
        <x:v>DEMO / SIMULATED</x:v>
      </x:c>
    </x:row>
    <x:row r="330">
      <x:c r="A330" t="str">
        <x:v>JFD-20230107-0328</x:v>
      </x:c>
      <x:c r="B330" s="11" t="n">
        <x:v>44933.67013888889</x:v>
      </x:c>
      <x:c r="C330" s="13" t="n">
        <x:v>0.6701388888888888</x:v>
      </x:c>
      <x:c r="D330" t="str">
        <x:v>Damak</x:v>
      </x:c>
      <x:c r="E330" t="str">
        <x:v>Late Night Cravings</x:v>
      </x:c>
      <x:c r="F330" s="14" t="n">
        <x:v>495</x:v>
      </x:c>
      <x:c r="G330" t="str">
        <x:v>DEMO / SIMULATED</x:v>
      </x:c>
    </x:row>
    <x:row r="331">
      <x:c r="A331" t="str">
        <x:v>JFD-20230722-0329</x:v>
      </x:c>
      <x:c r="B331" s="11" t="n">
        <x:v>45129.47777777778</x:v>
      </x:c>
      <x:c r="C331" s="13" t="n">
        <x:v>0.4777777777777778</x:v>
      </x:c>
      <x:c r="D331" t="str">
        <x:v>Birtamode</x:v>
      </x:c>
      <x:c r="E331" t="str">
        <x:v>Pizza Ghar</x:v>
      </x:c>
      <x:c r="F331" s="14" t="n">
        <x:v>980</x:v>
      </x:c>
      <x:c r="G331" t="str">
        <x:v>DEMO / SIMULATED</x:v>
      </x:c>
    </x:row>
    <x:row r="332">
      <x:c r="A332" t="str">
        <x:v>JFD-20250621-0330</x:v>
      </x:c>
      <x:c r="B332" s="11" t="n">
        <x:v>45829.56180555555</x:v>
      </x:c>
      <x:c r="C332" s="13" t="n">
        <x:v>0.5618055555555556</x:v>
      </x:c>
      <x:c r="D332" t="str">
        <x:v>Birtamode</x:v>
      </x:c>
      <x:c r="E332" t="str">
        <x:v>The Underground Cafe &amp; Restaurant</x:v>
      </x:c>
      <x:c r="F332" s="14" t="n">
        <x:v>580</x:v>
      </x:c>
      <x:c r="G332" t="str">
        <x:v>DEMO / SIMULATED</x:v>
      </x:c>
    </x:row>
    <x:row r="333">
      <x:c r="A333" t="str">
        <x:v>JFD-20240412-0331</x:v>
      </x:c>
      <x:c r="B333" s="11" t="n">
        <x:v>45394.825</x:v>
      </x:c>
      <x:c r="C333" s="13" t="n">
        <x:v>0.825</x:v>
      </x:c>
      <x:c r="D333" t="str">
        <x:v>Birtamode</x:v>
      </x:c>
      <x:c r="E333" t="str">
        <x:v>Pizza Ghar</x:v>
      </x:c>
      <x:c r="F333" s="14" t="n">
        <x:v>860</x:v>
      </x:c>
      <x:c r="G333" t="str">
        <x:v>DEMO / SIMULATED</x:v>
      </x:c>
    </x:row>
    <x:row r="334">
      <x:c r="A334" t="str">
        <x:v>JFD-20251207-0332</x:v>
      </x:c>
      <x:c r="B334" s="11" t="n">
        <x:v>45998.50902777778</x:v>
      </x:c>
      <x:c r="C334" s="13" t="n">
        <x:v>0.5090277777777777</x:v>
      </x:c>
      <x:c r="D334" t="str">
        <x:v>Birtamode</x:v>
      </x:c>
      <x:c r="E334" t="str">
        <x:v>Pizza Ghar</x:v>
      </x:c>
      <x:c r="F334" s="14" t="n">
        <x:v>255</x:v>
      </x:c>
      <x:c r="G334" t="str">
        <x:v>DEMO / SIMULATED</x:v>
      </x:c>
    </x:row>
    <x:row r="335">
      <x:c r="A335" t="str">
        <x:v>JFD-20231226-0333</x:v>
      </x:c>
      <x:c r="B335" s="11" t="n">
        <x:v>45286.506944444445</x:v>
      </x:c>
      <x:c r="C335" s="13" t="n">
        <x:v>0.5069444444444444</x:v>
      </x:c>
      <x:c r="D335" t="str">
        <x:v>Birtamode</x:v>
      </x:c>
      <x:c r="E335" t="str">
        <x:v>The Underground Cafe &amp; Restaurant</x:v>
      </x:c>
      <x:c r="F335" s="14" t="n">
        <x:v>285</x:v>
      </x:c>
      <x:c r="G335" t="str">
        <x:v>DEMO / SIMULATED</x:v>
      </x:c>
    </x:row>
    <x:row r="336">
      <x:c r="A336" t="str">
        <x:v>JFD-20250507-0334</x:v>
      </x:c>
      <x:c r="B336" s="11" t="n">
        <x:v>45784.43194444444</x:v>
      </x:c>
      <x:c r="C336" s="13" t="n">
        <x:v>0.43194444444444446</x:v>
      </x:c>
      <x:c r="D336" t="str">
        <x:v>Damak</x:v>
      </x:c>
      <x:c r="E336" t="str">
        <x:v>Milan’s Bakery</x:v>
      </x:c>
      <x:c r="F336" s="14" t="n">
        <x:v>1120</x:v>
      </x:c>
      <x:c r="G336" t="str">
        <x:v>DEMO / SIMULATED</x:v>
      </x:c>
    </x:row>
    <x:row r="337">
      <x:c r="A337" t="str">
        <x:v>JFD-20241020-0335</x:v>
      </x:c>
      <x:c r="B337" s="11" t="n">
        <x:v>45585.58263888889</x:v>
      </x:c>
      <x:c r="C337" s="13" t="n">
        <x:v>0.5826388888888889</x:v>
      </x:c>
      <x:c r="D337" t="str">
        <x:v>Birtamode</x:v>
      </x:c>
      <x:c r="E337" t="str">
        <x:v>The Underground Cafe &amp; Restaurant</x:v>
      </x:c>
      <x:c r="F337" s="14" t="n">
        <x:v>540</x:v>
      </x:c>
      <x:c r="G337" t="str">
        <x:v>DEMO / SIMULATED</x:v>
      </x:c>
    </x:row>
    <x:row r="338">
      <x:c r="A338" t="str">
        <x:v>JFD-20230324-0336</x:v>
      </x:c>
      <x:c r="B338" s="11" t="n">
        <x:v>45009.54722222222</x:v>
      </x:c>
      <x:c r="C338" s="13" t="n">
        <x:v>0.5472222222222223</x:v>
      </x:c>
      <x:c r="D338" t="str">
        <x:v>Birtamode</x:v>
      </x:c>
      <x:c r="E338" t="str">
        <x:v>Pizza Ghar</x:v>
      </x:c>
      <x:c r="F338" s="14" t="n">
        <x:v>490</x:v>
      </x:c>
      <x:c r="G338" t="str">
        <x:v>DEMO / SIMULATED</x:v>
      </x:c>
    </x:row>
    <x:row r="339">
      <x:c r="A339" t="str">
        <x:v>JFD-20230325-0337</x:v>
      </x:c>
      <x:c r="B339" s="11" t="n">
        <x:v>45010.49930555555</x:v>
      </x:c>
      <x:c r="C339" s="13" t="n">
        <x:v>0.49930555555555556</x:v>
      </x:c>
      <x:c r="D339" t="str">
        <x:v>Birtamode</x:v>
      </x:c>
      <x:c r="E339" t="str">
        <x:v>Pizza Ghar</x:v>
      </x:c>
      <x:c r="F339" s="14" t="n">
        <x:v>240</x:v>
      </x:c>
      <x:c r="G339" t="str">
        <x:v>DEMO / SIMULATED</x:v>
      </x:c>
    </x:row>
    <x:row r="340">
      <x:c r="A340" t="str">
        <x:v>JFD-20251030-0338</x:v>
      </x:c>
      <x:c r="B340" s="11" t="n">
        <x:v>45960.802083333336</x:v>
      </x:c>
      <x:c r="C340" s="13" t="n">
        <x:v>0.8020833333333334</x:v>
      </x:c>
      <x:c r="D340" t="str">
        <x:v>Birtamode</x:v>
      </x:c>
      <x:c r="E340" t="str">
        <x:v>Pizza Ghar</x:v>
      </x:c>
      <x:c r="F340" s="14" t="n">
        <x:v>285</x:v>
      </x:c>
      <x:c r="G340" t="str">
        <x:v>DEMO / SIMULATED</x:v>
      </x:c>
    </x:row>
    <x:row r="341">
      <x:c r="A341" t="str">
        <x:v>JFD-20250305-0339</x:v>
      </x:c>
      <x:c r="B341" s="11" t="n">
        <x:v>45721.915972222225</x:v>
      </x:c>
      <x:c r="C341" s="13" t="n">
        <x:v>0.9159722222222222</x:v>
      </x:c>
      <x:c r="D341" t="str">
        <x:v>Birtamode</x:v>
      </x:c>
      <x:c r="E341" t="str">
        <x:v>Pizza Ghar</x:v>
      </x:c>
      <x:c r="F341" s="14" t="n">
        <x:v>190</x:v>
      </x:c>
      <x:c r="G341" t="str">
        <x:v>DEMO / SIMULATED</x:v>
      </x:c>
    </x:row>
    <x:row r="342">
      <x:c r="A342" t="str">
        <x:v>JFD-20240813-0340</x:v>
      </x:c>
      <x:c r="B342" s="11" t="n">
        <x:v>45517.635416666664</x:v>
      </x:c>
      <x:c r="C342" s="13" t="n">
        <x:v>0.6354166666666666</x:v>
      </x:c>
      <x:c r="D342" t="str">
        <x:v>Damak</x:v>
      </x:c>
      <x:c r="E342" t="str">
        <x:v>Late Night Cravings</x:v>
      </x:c>
      <x:c r="F342" s="14" t="n">
        <x:v>1425</x:v>
      </x:c>
      <x:c r="G342" t="str">
        <x:v>DEMO / SIMULATED</x:v>
      </x:c>
    </x:row>
    <x:row r="343">
      <x:c r="A343" t="str">
        <x:v>JFD-20230819-0341</x:v>
      </x:c>
      <x:c r="B343" s="11" t="n">
        <x:v>45157.597916666666</x:v>
      </x:c>
      <x:c r="C343" s="13" t="n">
        <x:v>0.5979166666666667</x:v>
      </x:c>
      <x:c r="D343" t="str">
        <x:v>Birtamode</x:v>
      </x:c>
      <x:c r="E343" t="str">
        <x:v>Pizza Ghar</x:v>
      </x:c>
      <x:c r="F343" s="14" t="n">
        <x:v>425</x:v>
      </x:c>
      <x:c r="G343" t="str">
        <x:v>DEMO / SIMULATED</x:v>
      </x:c>
    </x:row>
    <x:row r="344">
      <x:c r="A344" t="str">
        <x:v>JFD-20240501-0342</x:v>
      </x:c>
      <x:c r="B344" s="11" t="n">
        <x:v>45413.68402777778</x:v>
      </x:c>
      <x:c r="C344" s="13" t="n">
        <x:v>0.6840277777777778</x:v>
      </x:c>
      <x:c r="D344" t="str">
        <x:v>Damak</x:v>
      </x:c>
      <x:c r="E344" t="str">
        <x:v>Late Night Cravings</x:v>
      </x:c>
      <x:c r="F344" s="14" t="n">
        <x:v>700</x:v>
      </x:c>
      <x:c r="G344" t="str">
        <x:v>DEMO / SIMULATED</x:v>
      </x:c>
    </x:row>
    <x:row r="345">
      <x:c r="A345" t="str">
        <x:v>JFD-20231202-0343</x:v>
      </x:c>
      <x:c r="B345" s="11" t="n">
        <x:v>45262.50069444445</x:v>
      </x:c>
      <x:c r="C345" s="13" t="n">
        <x:v>0.5006944444444444</x:v>
      </x:c>
      <x:c r="D345" t="str">
        <x:v>Damak</x:v>
      </x:c>
      <x:c r="E345" t="str">
        <x:v>Milan’s Bakery</x:v>
      </x:c>
      <x:c r="F345" s="14" t="n">
        <x:v>1015</x:v>
      </x:c>
      <x:c r="G345" t="str">
        <x:v>DEMO / SIMULATED</x:v>
      </x:c>
    </x:row>
    <x:row r="346">
      <x:c r="A346" t="str">
        <x:v>JFD-20260322-0344</x:v>
      </x:c>
      <x:c r="B346" s="11" t="n">
        <x:v>46103.45416666667</x:v>
      </x:c>
      <x:c r="C346" s="13" t="n">
        <x:v>0.45416666666666666</x:v>
      </x:c>
      <x:c r="D346" t="str">
        <x:v>Birtamode</x:v>
      </x:c>
      <x:c r="E346" t="str">
        <x:v>The Underground Cafe &amp; Restaurant</x:v>
      </x:c>
      <x:c r="F346" s="14" t="n">
        <x:v>930</x:v>
      </x:c>
      <x:c r="G346" t="str">
        <x:v>DEMO / SIMULATED</x:v>
      </x:c>
    </x:row>
    <x:row r="347">
      <x:c r="A347" t="str">
        <x:v>JFD-20241024-0345</x:v>
      </x:c>
      <x:c r="B347" s="11" t="n">
        <x:v>45589.430555555555</x:v>
      </x:c>
      <x:c r="C347" s="13" t="n">
        <x:v>0.4305555555555556</x:v>
      </x:c>
      <x:c r="D347" t="str">
        <x:v>Damak</x:v>
      </x:c>
      <x:c r="E347" t="str">
        <x:v>Late Night Cravings</x:v>
      </x:c>
      <x:c r="F347" s="14" t="n">
        <x:v>175</x:v>
      </x:c>
      <x:c r="G347" t="str">
        <x:v>DEMO / SIMULATED</x:v>
      </x:c>
    </x:row>
    <x:row r="348">
      <x:c r="A348" t="str">
        <x:v>JFD-20230404-0346</x:v>
      </x:c>
      <x:c r="B348" s="11" t="n">
        <x:v>45020.62013888889</x:v>
      </x:c>
      <x:c r="C348" s="13" t="n">
        <x:v>0.6201388888888889</x:v>
      </x:c>
      <x:c r="D348" t="str">
        <x:v>Birtamode</x:v>
      </x:c>
      <x:c r="E348" t="str">
        <x:v>The Underground Cafe &amp; Restaurant</x:v>
      </x:c>
      <x:c r="F348" s="14" t="n">
        <x:v>70</x:v>
      </x:c>
      <x:c r="G348" t="str">
        <x:v>DEMO / SIMULATED</x:v>
      </x:c>
    </x:row>
    <x:row r="349">
      <x:c r="A349" t="str">
        <x:v>JFD-20240329-0347</x:v>
      </x:c>
      <x:c r="B349" s="11" t="n">
        <x:v>45380.90555555555</x:v>
      </x:c>
      <x:c r="C349" s="13" t="n">
        <x:v>0.9055555555555556</x:v>
      </x:c>
      <x:c r="D349" t="str">
        <x:v>Damak</x:v>
      </x:c>
      <x:c r="E349" t="str">
        <x:v>Late Night Cravings</x:v>
      </x:c>
      <x:c r="F349" s="14" t="n">
        <x:v>160</x:v>
      </x:c>
      <x:c r="G349" t="str">
        <x:v>DEMO / SIMULATED</x:v>
      </x:c>
    </x:row>
    <x:row r="350">
      <x:c r="A350" t="str">
        <x:v>JFD-20230708-0348</x:v>
      </x:c>
      <x:c r="B350" s="11" t="n">
        <x:v>45115.475694444445</x:v>
      </x:c>
      <x:c r="C350" s="13" t="n">
        <x:v>0.4756944444444444</x:v>
      </x:c>
      <x:c r="D350" t="str">
        <x:v>Damak</x:v>
      </x:c>
      <x:c r="E350" t="str">
        <x:v>Late Night Cravings</x:v>
      </x:c>
      <x:c r="F350" s="14" t="n">
        <x:v>660</x:v>
      </x:c>
      <x:c r="G350" t="str">
        <x:v>DEMO / SIMULATED</x:v>
      </x:c>
    </x:row>
    <x:row r="351">
      <x:c r="A351" t="str">
        <x:v>JFD-20240617-0349</x:v>
      </x:c>
      <x:c r="B351" s="11" t="n">
        <x:v>45460.91111111111</x:v>
      </x:c>
      <x:c r="C351" s="13" t="n">
        <x:v>0.9111111111111111</x:v>
      </x:c>
      <x:c r="D351" t="str">
        <x:v>Damak</x:v>
      </x:c>
      <x:c r="E351" t="str">
        <x:v>Late Night Cravings</x:v>
      </x:c>
      <x:c r="F351" s="14" t="n">
        <x:v>375</x:v>
      </x:c>
      <x:c r="G351" t="str">
        <x:v>DEMO / SIMULATED</x:v>
      </x:c>
    </x:row>
    <x:row r="352">
      <x:c r="A352" t="str">
        <x:v>JFD-20260822-0350</x:v>
      </x:c>
      <x:c r="B352" s="11" t="n">
        <x:v>46256.72430555556</x:v>
      </x:c>
      <x:c r="C352" s="13" t="n">
        <x:v>0.7243055555555555</x:v>
      </x:c>
      <x:c r="D352" t="str">
        <x:v>Birtamode</x:v>
      </x:c>
      <x:c r="E352" t="str">
        <x:v>The Underground Cafe &amp; Restaurant</x:v>
      </x:c>
      <x:c r="F352" s="14" t="n">
        <x:v>590</x:v>
      </x:c>
      <x:c r="G352" t="str">
        <x:v>DEMO / SIMULATED</x:v>
      </x:c>
    </x:row>
    <x:row r="353">
      <x:c r="A353" t="str">
        <x:v>JFD-20250412-0351</x:v>
      </x:c>
      <x:c r="B353" s="11" t="n">
        <x:v>45759.739583333336</x:v>
      </x:c>
      <x:c r="C353" s="13" t="n">
        <x:v>0.7395833333333334</x:v>
      </x:c>
      <x:c r="D353" t="str">
        <x:v>Damak</x:v>
      </x:c>
      <x:c r="E353" t="str">
        <x:v>Late Night Cravings</x:v>
      </x:c>
      <x:c r="F353" s="14" t="n">
        <x:v>150</x:v>
      </x:c>
      <x:c r="G353" t="str">
        <x:v>DEMO / SIMULATED</x:v>
      </x:c>
    </x:row>
    <x:row r="354">
      <x:c r="A354" t="str">
        <x:v>JFD-20240522-0352</x:v>
      </x:c>
      <x:c r="B354" s="11" t="n">
        <x:v>45434.52847222222</x:v>
      </x:c>
      <x:c r="C354" s="13" t="n">
        <x:v>0.5284722222222222</x:v>
      </x:c>
      <x:c r="D354" t="str">
        <x:v>Birtamode</x:v>
      </x:c>
      <x:c r="E354" t="str">
        <x:v>Pizza Ghar</x:v>
      </x:c>
      <x:c r="F354" s="14" t="n">
        <x:v>180</x:v>
      </x:c>
      <x:c r="G354" t="str">
        <x:v>DEMO / SIMULATED</x:v>
      </x:c>
    </x:row>
    <x:row r="355">
      <x:c r="A355" t="str">
        <x:v>JFD-20250727-0353</x:v>
      </x:c>
      <x:c r="B355" s="11" t="n">
        <x:v>45865.631944444445</x:v>
      </x:c>
      <x:c r="C355" s="13" t="n">
        <x:v>0.6319444444444444</x:v>
      </x:c>
      <x:c r="D355" t="str">
        <x:v>Damak</x:v>
      </x:c>
      <x:c r="E355" t="str">
        <x:v>Late Night Cravings</x:v>
      </x:c>
      <x:c r="F355" s="14" t="n">
        <x:v>690</x:v>
      </x:c>
      <x:c r="G355" t="str">
        <x:v>DEMO / SIMULATED</x:v>
      </x:c>
    </x:row>
    <x:row r="356">
      <x:c r="A356" t="str">
        <x:v>JFD-20260318-0354</x:v>
      </x:c>
      <x:c r="B356" s="11" t="n">
        <x:v>46099.714583333334</x:v>
      </x:c>
      <x:c r="C356" s="13" t="n">
        <x:v>0.7145833333333333</x:v>
      </x:c>
      <x:c r="D356" t="str">
        <x:v>Birtamode</x:v>
      </x:c>
      <x:c r="E356" t="str">
        <x:v>The Underground Cafe &amp; Restaurant</x:v>
      </x:c>
      <x:c r="F356" s="14" t="n">
        <x:v>875</x:v>
      </x:c>
      <x:c r="G356" t="str">
        <x:v>DEMO / SIMULATED</x:v>
      </x:c>
    </x:row>
    <x:row r="357">
      <x:c r="A357" t="str">
        <x:v>JFD-20260303-0355</x:v>
      </x:c>
      <x:c r="B357" s="11" t="n">
        <x:v>46084.60486111111</x:v>
      </x:c>
      <x:c r="C357" s="13" t="n">
        <x:v>0.6048611111111111</x:v>
      </x:c>
      <x:c r="D357" t="str">
        <x:v>Birtamode</x:v>
      </x:c>
      <x:c r="E357" t="str">
        <x:v>The Underground Cafe &amp; Restaurant</x:v>
      </x:c>
      <x:c r="F357" s="14" t="n">
        <x:v>120</x:v>
      </x:c>
      <x:c r="G357" t="str">
        <x:v>DEMO / SIMULATED</x:v>
      </x:c>
    </x:row>
    <x:row r="358">
      <x:c r="A358" t="str">
        <x:v>JFD-20230120-0356</x:v>
      </x:c>
      <x:c r="B358" s="11" t="n">
        <x:v>44946.430555555555</x:v>
      </x:c>
      <x:c r="C358" s="13" t="n">
        <x:v>0.4305555555555556</x:v>
      </x:c>
      <x:c r="D358" t="str">
        <x:v>Damak</x:v>
      </x:c>
      <x:c r="E358" t="str">
        <x:v>Milan’s Bakery</x:v>
      </x:c>
      <x:c r="F358" s="14" t="n">
        <x:v>1795</x:v>
      </x:c>
      <x:c r="G358" t="str">
        <x:v>DEMO / SIMULATED</x:v>
      </x:c>
    </x:row>
    <x:row r="359">
      <x:c r="A359" t="str">
        <x:v>JFD-20250119-0357</x:v>
      </x:c>
      <x:c r="B359" s="11" t="n">
        <x:v>45676.50486111111</x:v>
      </x:c>
      <x:c r="C359" s="13" t="n">
        <x:v>0.5048611111111111</x:v>
      </x:c>
      <x:c r="D359" t="str">
        <x:v>Birtamode</x:v>
      </x:c>
      <x:c r="E359" t="str">
        <x:v>Pizza Ghar</x:v>
      </x:c>
      <x:c r="F359" s="14" t="n">
        <x:v>530</x:v>
      </x:c>
      <x:c r="G359" t="str">
        <x:v>DEMO / SIMULATED</x:v>
      </x:c>
    </x:row>
    <x:row r="360">
      <x:c r="A360" t="str">
        <x:v>JFD-20240303-0358</x:v>
      </x:c>
      <x:c r="B360" s="11" t="n">
        <x:v>45354.66458333333</x:v>
      </x:c>
      <x:c r="C360" s="13" t="n">
        <x:v>0.6645833333333333</x:v>
      </x:c>
      <x:c r="D360" t="str">
        <x:v>Birtamode</x:v>
      </x:c>
      <x:c r="E360" t="str">
        <x:v>The Underground Cafe &amp; Restaurant</x:v>
      </x:c>
      <x:c r="F360" s="14" t="n">
        <x:v>140</x:v>
      </x:c>
      <x:c r="G360" t="str">
        <x:v>DEMO / SIMULATED</x:v>
      </x:c>
    </x:row>
    <x:row r="361">
      <x:c r="A361" t="str">
        <x:v>JFD-20250422-0359</x:v>
      </x:c>
      <x:c r="B361" s="11" t="n">
        <x:v>45769.436111111114</x:v>
      </x:c>
      <x:c r="C361" s="13" t="n">
        <x:v>0.4361111111111111</x:v>
      </x:c>
      <x:c r="D361" t="str">
        <x:v>Birtamode</x:v>
      </x:c>
      <x:c r="E361" t="str">
        <x:v>The Underground Cafe &amp; Restaurant</x:v>
      </x:c>
      <x:c r="F361" s="14" t="n">
        <x:v>160</x:v>
      </x:c>
      <x:c r="G361" t="str">
        <x:v>DEMO / SIMULATED</x:v>
      </x:c>
    </x:row>
    <x:row r="362">
      <x:c r="A362" t="str">
        <x:v>JFD-20250321-0360</x:v>
      </x:c>
      <x:c r="B362" s="11" t="n">
        <x:v>45737.67083333333</x:v>
      </x:c>
      <x:c r="C362" s="13" t="n">
        <x:v>0.6708333333333333</x:v>
      </x:c>
      <x:c r="D362" t="str">
        <x:v>Birtamode</x:v>
      </x:c>
      <x:c r="E362" t="str">
        <x:v>Pizza Ghar</x:v>
      </x:c>
      <x:c r="F362" s="14" t="n">
        <x:v>690</x:v>
      </x:c>
      <x:c r="G362" t="str">
        <x:v>DEMO / SIMULATED</x:v>
      </x:c>
    </x:row>
    <x:row r="363">
      <x:c r="A363" t="str">
        <x:v>JFD-20231203-0361</x:v>
      </x:c>
      <x:c r="B363" s="11" t="n">
        <x:v>45263.79375</x:v>
      </x:c>
      <x:c r="C363" s="13" t="n">
        <x:v>0.79375</x:v>
      </x:c>
      <x:c r="D363" t="str">
        <x:v>Damak</x:v>
      </x:c>
      <x:c r="E363" t="str">
        <x:v>Milan’s Bakery</x:v>
      </x:c>
      <x:c r="F363" s="14" t="n">
        <x:v>1225</x:v>
      </x:c>
      <x:c r="G363" t="str">
        <x:v>DEMO / SIMULATED</x:v>
      </x:c>
    </x:row>
    <x:row r="364">
      <x:c r="A364" t="str">
        <x:v>JFD-20230301-0362</x:v>
      </x:c>
      <x:c r="B364" s="11" t="n">
        <x:v>44986.433333333334</x:v>
      </x:c>
      <x:c r="C364" s="13" t="n">
        <x:v>0.43333333333333335</x:v>
      </x:c>
      <x:c r="D364" t="str">
        <x:v>Birtamode</x:v>
      </x:c>
      <x:c r="E364" t="str">
        <x:v>The Underground Cafe &amp; Restaurant</x:v>
      </x:c>
      <x:c r="F364" s="14" t="n">
        <x:v>580</x:v>
      </x:c>
      <x:c r="G364" t="str">
        <x:v>DEMO / SIMULATED</x:v>
      </x:c>
    </x:row>
    <x:row r="365">
      <x:c r="A365" t="str">
        <x:v>JFD-20230817-0363</x:v>
      </x:c>
      <x:c r="B365" s="11" t="n">
        <x:v>45155.50555555556</x:v>
      </x:c>
      <x:c r="C365" s="13" t="n">
        <x:v>0.5055555555555555</x:v>
      </x:c>
      <x:c r="D365" t="str">
        <x:v>Birtamode</x:v>
      </x:c>
      <x:c r="E365" t="str">
        <x:v>The Underground Cafe &amp; Restaurant</x:v>
      </x:c>
      <x:c r="F365" s="14" t="n">
        <x:v>740</x:v>
      </x:c>
      <x:c r="G365" t="str">
        <x:v>DEMO / SIMULATED</x:v>
      </x:c>
    </x:row>
    <x:row r="366">
      <x:c r="A366" t="str">
        <x:v>JFD-20240215-0364</x:v>
      </x:c>
      <x:c r="B366" s="11" t="n">
        <x:v>45337.813888888886</x:v>
      </x:c>
      <x:c r="C366" s="13" t="n">
        <x:v>0.8138888888888889</x:v>
      </x:c>
      <x:c r="D366" t="str">
        <x:v>Birtamode</x:v>
      </x:c>
      <x:c r="E366" t="str">
        <x:v>Pizza Ghar</x:v>
      </x:c>
      <x:c r="F366" s="14" t="n">
        <x:v>2250</x:v>
      </x:c>
      <x:c r="G366" t="str">
        <x:v>DEMO / SIMULATED</x:v>
      </x:c>
    </x:row>
    <x:row r="367">
      <x:c r="A367" t="str">
        <x:v>JFD-20250502-0365</x:v>
      </x:c>
      <x:c r="B367" s="11" t="n">
        <x:v>45779.57013888889</x:v>
      </x:c>
      <x:c r="C367" s="13" t="n">
        <x:v>0.5701388888888889</x:v>
      </x:c>
      <x:c r="D367" t="str">
        <x:v>Birtamode</x:v>
      </x:c>
      <x:c r="E367" t="str">
        <x:v>Pizza Ghar</x:v>
      </x:c>
      <x:c r="F367" s="14" t="n">
        <x:v>1375</x:v>
      </x:c>
      <x:c r="G367" t="str">
        <x:v>DEMO / SIMULATED</x:v>
      </x:c>
    </x:row>
    <x:row r="368">
      <x:c r="A368" t="str">
        <x:v>JFD-20260225-0366</x:v>
      </x:c>
      <x:c r="B368" s="11" t="n">
        <x:v>46078.775</x:v>
      </x:c>
      <x:c r="C368" s="13" t="n">
        <x:v>0.775</x:v>
      </x:c>
      <x:c r="D368" t="str">
        <x:v>Damak</x:v>
      </x:c>
      <x:c r="E368" t="str">
        <x:v>Milan’s Bakery</x:v>
      </x:c>
      <x:c r="F368" s="14" t="n">
        <x:v>1920</x:v>
      </x:c>
      <x:c r="G368" t="str">
        <x:v>DEMO / SIMULATED</x:v>
      </x:c>
    </x:row>
    <x:row r="369">
      <x:c r="A369" t="str">
        <x:v>JFD-20230223-0367</x:v>
      </x:c>
      <x:c r="B369" s="11" t="n">
        <x:v>44980.68472222222</x:v>
      </x:c>
      <x:c r="C369" s="13" t="n">
        <x:v>0.6847222222222222</x:v>
      </x:c>
      <x:c r="D369" t="str">
        <x:v>Birtamode</x:v>
      </x:c>
      <x:c r="E369" t="str">
        <x:v>Pizza Ghar</x:v>
      </x:c>
      <x:c r="F369" s="14" t="n">
        <x:v>1505</x:v>
      </x:c>
      <x:c r="G369" t="str">
        <x:v>DEMO / SIMULATED</x:v>
      </x:c>
    </x:row>
    <x:row r="370">
      <x:c r="A370" t="str">
        <x:v>JFD-20250715-0368</x:v>
      </x:c>
      <x:c r="B370" s="11" t="n">
        <x:v>45853.70347222222</x:v>
      </x:c>
      <x:c r="C370" s="13" t="n">
        <x:v>0.7034722222222223</x:v>
      </x:c>
      <x:c r="D370" t="str">
        <x:v>Damak</x:v>
      </x:c>
      <x:c r="E370" t="str">
        <x:v>Late Night Cravings</x:v>
      </x:c>
      <x:c r="F370" s="14" t="n">
        <x:v>1590</x:v>
      </x:c>
      <x:c r="G370" t="str">
        <x:v>DEMO / SIMULATED</x:v>
      </x:c>
    </x:row>
    <x:row r="371">
      <x:c r="A371" t="str">
        <x:v>JFD-20260812-0369</x:v>
      </x:c>
      <x:c r="B371" s="11" t="n">
        <x:v>46246.57986111111</x:v>
      </x:c>
      <x:c r="C371" s="13" t="n">
        <x:v>0.5798611111111112</x:v>
      </x:c>
      <x:c r="D371" t="str">
        <x:v>Birtamode</x:v>
      </x:c>
      <x:c r="E371" t="str">
        <x:v>The Underground Cafe &amp; Restaurant</x:v>
      </x:c>
      <x:c r="F371" s="14" t="n">
        <x:v>520</x:v>
      </x:c>
      <x:c r="G371" t="str">
        <x:v>DEMO / SIMULATED</x:v>
      </x:c>
    </x:row>
    <x:row r="372">
      <x:c r="A372" t="str">
        <x:v>JFD-20240809-0370</x:v>
      </x:c>
      <x:c r="B372" s="11" t="n">
        <x:v>45513.876388888886</x:v>
      </x:c>
      <x:c r="C372" s="13" t="n">
        <x:v>0.8763888888888889</x:v>
      </x:c>
      <x:c r="D372" t="str">
        <x:v>Birtamode</x:v>
      </x:c>
      <x:c r="E372" t="str">
        <x:v>Pizza Ghar</x:v>
      </x:c>
      <x:c r="F372" s="14" t="n">
        <x:v>585</x:v>
      </x:c>
      <x:c r="G372" t="str">
        <x:v>DEMO / SIMULATED</x:v>
      </x:c>
    </x:row>
    <x:row r="373">
      <x:c r="A373" t="str">
        <x:v>JFD-20231210-0371</x:v>
      </x:c>
      <x:c r="B373" s="11" t="n">
        <x:v>45270.822222222225</x:v>
      </x:c>
      <x:c r="C373" s="13" t="n">
        <x:v>0.8222222222222222</x:v>
      </x:c>
      <x:c r="D373" t="str">
        <x:v>Birtamode</x:v>
      </x:c>
      <x:c r="E373" t="str">
        <x:v>The Underground Cafe &amp; Restaurant</x:v>
      </x:c>
      <x:c r="F373" s="14" t="n">
        <x:v>555</x:v>
      </x:c>
      <x:c r="G373" t="str">
        <x:v>DEMO / SIMULATED</x:v>
      </x:c>
    </x:row>
    <x:row r="374">
      <x:c r="A374" t="str">
        <x:v>JFD-20230627-0372</x:v>
      </x:c>
      <x:c r="B374" s="11" t="n">
        <x:v>45104.751388888886</x:v>
      </x:c>
      <x:c r="C374" s="13" t="n">
        <x:v>0.7513888888888889</x:v>
      </x:c>
      <x:c r="D374" t="str">
        <x:v>Damak</x:v>
      </x:c>
      <x:c r="E374" t="str">
        <x:v>Milan’s Bakery</x:v>
      </x:c>
      <x:c r="F374" s="14" t="n">
        <x:v>2050</x:v>
      </x:c>
      <x:c r="G374" t="str">
        <x:v>DEMO / SIMULATED</x:v>
      </x:c>
    </x:row>
    <x:row r="375">
      <x:c r="A375" t="str">
        <x:v>JFD-20240624-0373</x:v>
      </x:c>
      <x:c r="B375" s="11" t="n">
        <x:v>45467.725694444445</x:v>
      </x:c>
      <x:c r="C375" s="13" t="n">
        <x:v>0.7256944444444444</x:v>
      </x:c>
      <x:c r="D375" t="str">
        <x:v>Birtamode</x:v>
      </x:c>
      <x:c r="E375" t="str">
        <x:v>Pizza Ghar</x:v>
      </x:c>
      <x:c r="F375" s="14" t="n">
        <x:v>1630</x:v>
      </x:c>
      <x:c r="G375" t="str">
        <x:v>DEMO / SIMULATED</x:v>
      </x:c>
    </x:row>
    <x:row r="376">
      <x:c r="A376" t="str">
        <x:v>JFD-20231005-0374</x:v>
      </x:c>
      <x:c r="B376" s="11" t="n">
        <x:v>45204.69861111111</x:v>
      </x:c>
      <x:c r="C376" s="13" t="n">
        <x:v>0.6986111111111111</x:v>
      </x:c>
      <x:c r="D376" t="str">
        <x:v>Damak</x:v>
      </x:c>
      <x:c r="E376" t="str">
        <x:v>Late Night Cravings</x:v>
      </x:c>
      <x:c r="F376" s="14" t="n">
        <x:v>500</x:v>
      </x:c>
      <x:c r="G376" t="str">
        <x:v>DEMO / SIMULATED</x:v>
      </x:c>
    </x:row>
    <x:row r="377">
      <x:c r="A377" t="str">
        <x:v>JFD-20260418-0375</x:v>
      </x:c>
      <x:c r="B377" s="11" t="n">
        <x:v>46130.65694444445</x:v>
      </x:c>
      <x:c r="C377" s="13" t="n">
        <x:v>0.6569444444444444</x:v>
      </x:c>
      <x:c r="D377" t="str">
        <x:v>Birtamode</x:v>
      </x:c>
      <x:c r="E377" t="str">
        <x:v>Pizza Ghar</x:v>
      </x:c>
      <x:c r="F377" s="14" t="n">
        <x:v>1300</x:v>
      </x:c>
      <x:c r="G377" t="str">
        <x:v>DEMO / SIMULATED</x:v>
      </x:c>
    </x:row>
    <x:row r="378">
      <x:c r="A378" t="str">
        <x:v>JFD-20260524-0376</x:v>
      </x:c>
      <x:c r="B378" s="11" t="n">
        <x:v>46166.64166666667</x:v>
      </x:c>
      <x:c r="C378" s="13" t="n">
        <x:v>0.6416666666666667</x:v>
      </x:c>
      <x:c r="D378" t="str">
        <x:v>Damak</x:v>
      </x:c>
      <x:c r="E378" t="str">
        <x:v>Late Night Cravings</x:v>
      </x:c>
      <x:c r="F378" s="14" t="n">
        <x:v>1360</x:v>
      </x:c>
      <x:c r="G378" t="str">
        <x:v>DEMO / SIMULATED</x:v>
      </x:c>
    </x:row>
    <x:row r="379">
      <x:c r="A379" t="str">
        <x:v>JFD-20230912-0377</x:v>
      </x:c>
      <x:c r="B379" s="11" t="n">
        <x:v>45181.48055555556</x:v>
      </x:c>
      <x:c r="C379" s="13" t="n">
        <x:v>0.48055555555555557</x:v>
      </x:c>
      <x:c r="D379" t="str">
        <x:v>Birtamode</x:v>
      </x:c>
      <x:c r="E379" t="str">
        <x:v>Pizza Ghar</x:v>
      </x:c>
      <x:c r="F379" s="14" t="n">
        <x:v>1845</x:v>
      </x:c>
      <x:c r="G379" t="str">
        <x:v>DEMO / SIMULATED</x:v>
      </x:c>
    </x:row>
    <x:row r="380">
      <x:c r="A380" t="str">
        <x:v>JFD-20240822-0378</x:v>
      </x:c>
      <x:c r="B380" s="11" t="n">
        <x:v>45526.86388888889</x:v>
      </x:c>
      <x:c r="C380" s="13" t="n">
        <x:v>0.8638888888888889</x:v>
      </x:c>
      <x:c r="D380" t="str">
        <x:v>Birtamode</x:v>
      </x:c>
      <x:c r="E380" t="str">
        <x:v>The Underground Cafe &amp; Restaurant</x:v>
      </x:c>
      <x:c r="F380" s="14" t="n">
        <x:v>155</x:v>
      </x:c>
      <x:c r="G380" t="str">
        <x:v>DEMO / SIMULATED</x:v>
      </x:c>
    </x:row>
    <x:row r="381">
      <x:c r="A381" t="str">
        <x:v>JFD-20250415-0379</x:v>
      </x:c>
      <x:c r="B381" s="11" t="n">
        <x:v>45762.48472222222</x:v>
      </x:c>
      <x:c r="C381" s="13" t="n">
        <x:v>0.4847222222222222</x:v>
      </x:c>
      <x:c r="D381" t="str">
        <x:v>Birtamode</x:v>
      </x:c>
      <x:c r="E381" t="str">
        <x:v>The Underground Cafe &amp; Restaurant</x:v>
      </x:c>
      <x:c r="F381" s="14" t="n">
        <x:v>700</x:v>
      </x:c>
      <x:c r="G381" t="str">
        <x:v>DEMO / SIMULATED</x:v>
      </x:c>
    </x:row>
    <x:row r="382">
      <x:c r="A382" t="str">
        <x:v>JFD-20260118-0380</x:v>
      </x:c>
      <x:c r="B382" s="11" t="n">
        <x:v>46040.873611111114</x:v>
      </x:c>
      <x:c r="C382" s="13" t="n">
        <x:v>0.8736111111111111</x:v>
      </x:c>
      <x:c r="D382" t="str">
        <x:v>Birtamode</x:v>
      </x:c>
      <x:c r="E382" t="str">
        <x:v>The Underground Cafe &amp; Restaurant</x:v>
      </x:c>
      <x:c r="F382" s="14" t="n">
        <x:v>265</x:v>
      </x:c>
      <x:c r="G382" t="str">
        <x:v>DEMO / SIMULATED</x:v>
      </x:c>
    </x:row>
    <x:row r="383">
      <x:c r="A383" t="str">
        <x:v>JFD-20240730-0381</x:v>
      </x:c>
      <x:c r="B383" s="11" t="n">
        <x:v>45503.688888888886</x:v>
      </x:c>
      <x:c r="C383" s="13" t="n">
        <x:v>0.6888888888888889</x:v>
      </x:c>
      <x:c r="D383" t="str">
        <x:v>Damak</x:v>
      </x:c>
      <x:c r="E383" t="str">
        <x:v>Milan’s Bakery</x:v>
      </x:c>
      <x:c r="F383" s="14" t="n">
        <x:v>1165</x:v>
      </x:c>
      <x:c r="G383" t="str">
        <x:v>DEMO / SIMULATED</x:v>
      </x:c>
    </x:row>
    <x:row r="384">
      <x:c r="A384" t="str">
        <x:v>JFD-20250618-0382</x:v>
      </x:c>
      <x:c r="B384" s="11" t="n">
        <x:v>45826.592361111114</x:v>
      </x:c>
      <x:c r="C384" s="13" t="n">
        <x:v>0.5923611111111111</x:v>
      </x:c>
      <x:c r="D384" t="str">
        <x:v>Birtamode</x:v>
      </x:c>
      <x:c r="E384" t="str">
        <x:v>Pizza Ghar</x:v>
      </x:c>
      <x:c r="F384" s="14" t="n">
        <x:v>1090</x:v>
      </x:c>
      <x:c r="G384" t="str">
        <x:v>DEMO / SIMULATED</x:v>
      </x:c>
    </x:row>
    <x:row r="385">
      <x:c r="A385" t="str">
        <x:v>JFD-20230817-0383</x:v>
      </x:c>
      <x:c r="B385" s="11" t="n">
        <x:v>45155.711805555555</x:v>
      </x:c>
      <x:c r="C385" s="13" t="n">
        <x:v>0.7118055555555556</x:v>
      </x:c>
      <x:c r="D385" t="str">
        <x:v>Damak</x:v>
      </x:c>
      <x:c r="E385" t="str">
        <x:v>Late Night Cravings</x:v>
      </x:c>
      <x:c r="F385" s="14" t="n">
        <x:v>520</x:v>
      </x:c>
      <x:c r="G385" t="str">
        <x:v>DEMO / SIMULATED</x:v>
      </x:c>
    </x:row>
    <x:row r="386">
      <x:c r="A386" t="str">
        <x:v>JFD-20250814-0384</x:v>
      </x:c>
      <x:c r="B386" s="11" t="n">
        <x:v>45883.64722222222</x:v>
      </x:c>
      <x:c r="C386" s="13" t="n">
        <x:v>0.6472222222222223</x:v>
      </x:c>
      <x:c r="D386" t="str">
        <x:v>Damak</x:v>
      </x:c>
      <x:c r="E386" t="str">
        <x:v>Late Night Cravings</x:v>
      </x:c>
      <x:c r="F386" s="14" t="n">
        <x:v>265</x:v>
      </x:c>
      <x:c r="G386" t="str">
        <x:v>DEMO / SIMULATED</x:v>
      </x:c>
    </x:row>
    <x:row r="387">
      <x:c r="A387" t="str">
        <x:v>JFD-20230328-0385</x:v>
      </x:c>
      <x:c r="B387" s="11" t="n">
        <x:v>45013.53194444445</x:v>
      </x:c>
      <x:c r="C387" s="13" t="n">
        <x:v>0.5319444444444444</x:v>
      </x:c>
      <x:c r="D387" t="str">
        <x:v>Birtamode</x:v>
      </x:c>
      <x:c r="E387" t="str">
        <x:v>Pizza Ghar</x:v>
      </x:c>
      <x:c r="F387" s="14" t="n">
        <x:v>490</x:v>
      </x:c>
      <x:c r="G387" t="str">
        <x:v>DEMO / SIMULATED</x:v>
      </x:c>
    </x:row>
    <x:row r="388">
      <x:c r="A388" t="str">
        <x:v>JFD-20260307-0386</x:v>
      </x:c>
      <x:c r="B388" s="11" t="n">
        <x:v>46088.74236111111</x:v>
      </x:c>
      <x:c r="C388" s="13" t="n">
        <x:v>0.7423611111111111</x:v>
      </x:c>
      <x:c r="D388" t="str">
        <x:v>Damak</x:v>
      </x:c>
      <x:c r="E388" t="str">
        <x:v>Milan’s Bakery</x:v>
      </x:c>
      <x:c r="F388" s="14" t="n">
        <x:v>460</x:v>
      </x:c>
      <x:c r="G388" t="str">
        <x:v>DEMO / SIMULATED</x:v>
      </x:c>
    </x:row>
    <x:row r="389">
      <x:c r="A389" t="str">
        <x:v>JFD-20260109-0387</x:v>
      </x:c>
      <x:c r="B389" s="11" t="n">
        <x:v>46031.865277777775</x:v>
      </x:c>
      <x:c r="C389" s="13" t="n">
        <x:v>0.8652777777777778</x:v>
      </x:c>
      <x:c r="D389" t="str">
        <x:v>Birtamode</x:v>
      </x:c>
      <x:c r="E389" t="str">
        <x:v>The Underground Cafe &amp; Restaurant</x:v>
      </x:c>
      <x:c r="F389" s="14" t="n">
        <x:v>835</x:v>
      </x:c>
      <x:c r="G389" t="str">
        <x:v>DEMO / SIMULATED</x:v>
      </x:c>
    </x:row>
    <x:row r="390">
      <x:c r="A390" t="str">
        <x:v>JFD-20230721-0388</x:v>
      </x:c>
      <x:c r="B390" s="11" t="n">
        <x:v>45128.61666666667</x:v>
      </x:c>
      <x:c r="C390" s="13" t="n">
        <x:v>0.6166666666666667</x:v>
      </x:c>
      <x:c r="D390" t="str">
        <x:v>Birtamode</x:v>
      </x:c>
      <x:c r="E390" t="str">
        <x:v>Pizza Ghar</x:v>
      </x:c>
      <x:c r="F390" s="14" t="n">
        <x:v>725</x:v>
      </x:c>
      <x:c r="G390" t="str">
        <x:v>DEMO / SIMULATED</x:v>
      </x:c>
    </x:row>
    <x:row r="391">
      <x:c r="A391" t="str">
        <x:v>JFD-20251004-0389</x:v>
      </x:c>
      <x:c r="B391" s="11" t="n">
        <x:v>45934.736805555556</x:v>
      </x:c>
      <x:c r="C391" s="13" t="n">
        <x:v>0.7368055555555556</x:v>
      </x:c>
      <x:c r="D391" t="str">
        <x:v>Damak</x:v>
      </x:c>
      <x:c r="E391" t="str">
        <x:v>Late Night Cravings</x:v>
      </x:c>
      <x:c r="F391" s="14" t="n">
        <x:v>40</x:v>
      </x:c>
      <x:c r="G391" t="str">
        <x:v>DEMO / SIMULATED</x:v>
      </x:c>
    </x:row>
    <x:row r="392">
      <x:c r="A392" t="str">
        <x:v>JFD-20240109-0390</x:v>
      </x:c>
      <x:c r="B392" s="11" t="n">
        <x:v>45300.74652777778</x:v>
      </x:c>
      <x:c r="C392" s="13" t="n">
        <x:v>0.7465277777777778</x:v>
      </x:c>
      <x:c r="D392" t="str">
        <x:v>Damak</x:v>
      </x:c>
      <x:c r="E392" t="str">
        <x:v>Late Night Cravings</x:v>
      </x:c>
      <x:c r="F392" s="14" t="n">
        <x:v>585</x:v>
      </x:c>
      <x:c r="G392" t="str">
        <x:v>DEMO / SIMULATED</x:v>
      </x:c>
    </x:row>
    <x:row r="393">
      <x:c r="A393" t="str">
        <x:v>JFD-20230703-0391</x:v>
      </x:c>
      <x:c r="B393" s="11" t="n">
        <x:v>45110.592361111114</x:v>
      </x:c>
      <x:c r="C393" s="13" t="n">
        <x:v>0.5923611111111111</x:v>
      </x:c>
      <x:c r="D393" t="str">
        <x:v>Damak</x:v>
      </x:c>
      <x:c r="E393" t="str">
        <x:v>Late Night Cravings</x:v>
      </x:c>
      <x:c r="F393" s="14" t="n">
        <x:v>260</x:v>
      </x:c>
      <x:c r="G393" t="str">
        <x:v>DEMO / SIMULATED</x:v>
      </x:c>
    </x:row>
    <x:row r="394">
      <x:c r="A394" t="str">
        <x:v>JFD-20240429-0392</x:v>
      </x:c>
      <x:c r="B394" s="11" t="n">
        <x:v>45411.80972222222</x:v>
      </x:c>
      <x:c r="C394" s="13" t="n">
        <x:v>0.8097222222222222</x:v>
      </x:c>
      <x:c r="D394" t="str">
        <x:v>Birtamode</x:v>
      </x:c>
      <x:c r="E394" t="str">
        <x:v>The Underground Cafe &amp; Restaurant</x:v>
      </x:c>
      <x:c r="F394" s="14" t="n">
        <x:v>715</x:v>
      </x:c>
      <x:c r="G394" t="str">
        <x:v>DEMO / SIMULATED</x:v>
      </x:c>
    </x:row>
    <x:row r="395">
      <x:c r="A395" t="str">
        <x:v>JFD-20240408-0393</x:v>
      </x:c>
      <x:c r="B395" s="11" t="n">
        <x:v>45390.64027777778</x:v>
      </x:c>
      <x:c r="C395" s="13" t="n">
        <x:v>0.6402777777777777</x:v>
      </x:c>
      <x:c r="D395" t="str">
        <x:v>Birtamode</x:v>
      </x:c>
      <x:c r="E395" t="str">
        <x:v>Pizza Ghar</x:v>
      </x:c>
      <x:c r="F395" s="14" t="n">
        <x:v>530</x:v>
      </x:c>
      <x:c r="G395" t="str">
        <x:v>DEMO / SIMULATED</x:v>
      </x:c>
    </x:row>
    <x:row r="396">
      <x:c r="A396" t="str">
        <x:v>JFD-20230224-0394</x:v>
      </x:c>
      <x:c r="B396" s="11" t="n">
        <x:v>44981.66180555556</x:v>
      </x:c>
      <x:c r="C396" s="13" t="n">
        <x:v>0.6618055555555555</x:v>
      </x:c>
      <x:c r="D396" t="str">
        <x:v>Birtamode</x:v>
      </x:c>
      <x:c r="E396" t="str">
        <x:v>The Underground Cafe &amp; Restaurant</x:v>
      </x:c>
      <x:c r="F396" s="14" t="n">
        <x:v>380</x:v>
      </x:c>
      <x:c r="G396" t="str">
        <x:v>DEMO / SIMULATED</x:v>
      </x:c>
    </x:row>
    <x:row r="397">
      <x:c r="A397" t="str">
        <x:v>JFD-20231211-0395</x:v>
      </x:c>
      <x:c r="B397" s="11" t="n">
        <x:v>45271.66527777778</x:v>
      </x:c>
      <x:c r="C397" s="13" t="n">
        <x:v>0.6652777777777777</x:v>
      </x:c>
      <x:c r="D397" t="str">
        <x:v>Birtamode</x:v>
      </x:c>
      <x:c r="E397" t="str">
        <x:v>The Underground Cafe &amp; Restaurant</x:v>
      </x:c>
      <x:c r="F397" s="14" t="n">
        <x:v>765</x:v>
      </x:c>
      <x:c r="G397" t="str">
        <x:v>DEMO / SIMULATED</x:v>
      </x:c>
    </x:row>
    <x:row r="398">
      <x:c r="A398" t="str">
        <x:v>JFD-20241126-0396</x:v>
      </x:c>
      <x:c r="B398" s="11" t="n">
        <x:v>45622.62777777778</x:v>
      </x:c>
      <x:c r="C398" s="13" t="n">
        <x:v>0.6277777777777778</x:v>
      </x:c>
      <x:c r="D398" t="str">
        <x:v>Damak</x:v>
      </x:c>
      <x:c r="E398" t="str">
        <x:v>Milan’s Bakery</x:v>
      </x:c>
      <x:c r="F398" s="14" t="n">
        <x:v>2820</x:v>
      </x:c>
      <x:c r="G398" t="str">
        <x:v>DEMO / SIMULATED</x:v>
      </x:c>
    </x:row>
    <x:row r="399">
      <x:c r="A399" t="str">
        <x:v>JFD-20260108-0397</x:v>
      </x:c>
      <x:c r="B399" s="11" t="n">
        <x:v>46030.430555555555</x:v>
      </x:c>
      <x:c r="C399" s="13" t="n">
        <x:v>0.4305555555555556</x:v>
      </x:c>
      <x:c r="D399" t="str">
        <x:v>Damak</x:v>
      </x:c>
      <x:c r="E399" t="str">
        <x:v>Late Night Cravings</x:v>
      </x:c>
      <x:c r="F399" s="14" t="n">
        <x:v>1120</x:v>
      </x:c>
      <x:c r="G399" t="str">
        <x:v>DEMO / SIMULATED</x:v>
      </x:c>
    </x:row>
    <x:row r="400">
      <x:c r="A400" t="str">
        <x:v>JFD-20250403-0398</x:v>
      </x:c>
      <x:c r="B400" s="11" t="n">
        <x:v>45750.71527777778</x:v>
      </x:c>
      <x:c r="C400" s="13" t="n">
        <x:v>0.7152777777777778</x:v>
      </x:c>
      <x:c r="D400" t="str">
        <x:v>Birtamode</x:v>
      </x:c>
      <x:c r="E400" t="str">
        <x:v>The Underground Cafe &amp; Restaurant</x:v>
      </x:c>
      <x:c r="F400" s="14" t="n">
        <x:v>645</x:v>
      </x:c>
      <x:c r="G400" t="str">
        <x:v>DEMO / SIMULATED</x:v>
      </x:c>
    </x:row>
    <x:row r="401">
      <x:c r="A401" t="str">
        <x:v>JFD-20240412-0399</x:v>
      </x:c>
      <x:c r="B401" s="11" t="n">
        <x:v>45394.915972222225</x:v>
      </x:c>
      <x:c r="C401" s="13" t="n">
        <x:v>0.9159722222222222</x:v>
      </x:c>
      <x:c r="D401" t="str">
        <x:v>Damak</x:v>
      </x:c>
      <x:c r="E401" t="str">
        <x:v>Late Night Cravings</x:v>
      </x:c>
      <x:c r="F401" s="14" t="n">
        <x:v>495</x:v>
      </x:c>
      <x:c r="G401" t="str">
        <x:v>DEMO / SIMULATED</x:v>
      </x:c>
    </x:row>
    <x:row r="402">
      <x:c r="A402" t="str">
        <x:v>JFD-20250625-0400</x:v>
      </x:c>
      <x:c r="B402" s="11" t="n">
        <x:v>45833.645833333336</x:v>
      </x:c>
      <x:c r="C402" s="13" t="n">
        <x:v>0.6458333333333334</x:v>
      </x:c>
      <x:c r="D402" t="str">
        <x:v>Damak</x:v>
      </x:c>
      <x:c r="E402" t="str">
        <x:v>Milan’s Bakery</x:v>
      </x:c>
      <x:c r="F402" s="14" t="n">
        <x:v>1170</x:v>
      </x:c>
      <x:c r="G402" t="str">
        <x:v>DEMO / SIMULATED</x:v>
      </x:c>
    </x:row>
    <x:row r="403">
      <x:c r="A403" t="str">
        <x:v>JFD-20260529-0401</x:v>
      </x:c>
      <x:c r="B403" s="11" t="n">
        <x:v>46171.7125</x:v>
      </x:c>
      <x:c r="C403" s="13" t="n">
        <x:v>0.7125</x:v>
      </x:c>
      <x:c r="D403" t="str">
        <x:v>Birtamode</x:v>
      </x:c>
      <x:c r="E403" t="str">
        <x:v>Pizza Ghar</x:v>
      </x:c>
      <x:c r="F403" s="14" t="n">
        <x:v>1960</x:v>
      </x:c>
      <x:c r="G403" t="str">
        <x:v>DEMO / SIMULATED</x:v>
      </x:c>
    </x:row>
    <x:row r="404">
      <x:c r="A404" t="str">
        <x:v>JFD-20230802-0402</x:v>
      </x:c>
      <x:c r="B404" s="11" t="n">
        <x:v>45140.56041666667</x:v>
      </x:c>
      <x:c r="C404" s="13" t="n">
        <x:v>0.5604166666666667</x:v>
      </x:c>
      <x:c r="D404" t="str">
        <x:v>Birtamode</x:v>
      </x:c>
      <x:c r="E404" t="str">
        <x:v>Pizza Ghar</x:v>
      </x:c>
      <x:c r="F404" s="14" t="n">
        <x:v>1425</x:v>
      </x:c>
      <x:c r="G404" t="str">
        <x:v>DEMO / SIMULATED</x:v>
      </x:c>
    </x:row>
    <x:row r="405">
      <x:c r="A405" t="str">
        <x:v>JFD-20250909-0403</x:v>
      </x:c>
      <x:c r="B405" s="11" t="n">
        <x:v>45909.80763888889</x:v>
      </x:c>
      <x:c r="C405" s="13" t="n">
        <x:v>0.8076388888888889</x:v>
      </x:c>
      <x:c r="D405" t="str">
        <x:v>Birtamode</x:v>
      </x:c>
      <x:c r="E405" t="str">
        <x:v>Pizza Ghar</x:v>
      </x:c>
      <x:c r="F405" s="14" t="n">
        <x:v>1380</x:v>
      </x:c>
      <x:c r="G405" t="str">
        <x:v>DEMO / SIMULATED</x:v>
      </x:c>
    </x:row>
    <x:row r="406">
      <x:c r="A406" t="str">
        <x:v>JFD-20251219-0404</x:v>
      </x:c>
      <x:c r="B406" s="11" t="n">
        <x:v>46010.458333333336</x:v>
      </x:c>
      <x:c r="C406" s="13" t="n">
        <x:v>0.4583333333333333</x:v>
      </x:c>
      <x:c r="D406" t="str">
        <x:v>Birtamode</x:v>
      </x:c>
      <x:c r="E406" t="str">
        <x:v>The Underground Cafe &amp; Restaurant</x:v>
      </x:c>
      <x:c r="F406" s="14" t="n">
        <x:v>565</x:v>
      </x:c>
      <x:c r="G406" t="str">
        <x:v>DEMO / SIMULATED</x:v>
      </x:c>
    </x:row>
    <x:row r="407">
      <x:c r="A407" t="str">
        <x:v>JFD-20230226-0405</x:v>
      </x:c>
      <x:c r="B407" s="11" t="n">
        <x:v>44983.739583333336</x:v>
      </x:c>
      <x:c r="C407" s="13" t="n">
        <x:v>0.7395833333333334</x:v>
      </x:c>
      <x:c r="D407" t="str">
        <x:v>Damak</x:v>
      </x:c>
      <x:c r="E407" t="str">
        <x:v>Milan’s Bakery</x:v>
      </x:c>
      <x:c r="F407" s="14" t="n">
        <x:v>320</x:v>
      </x:c>
      <x:c r="G407" t="str">
        <x:v>DEMO / SIMULATED</x:v>
      </x:c>
    </x:row>
    <x:row r="408">
      <x:c r="A408" t="str">
        <x:v>JFD-20230315-0406</x:v>
      </x:c>
      <x:c r="B408" s="11" t="n">
        <x:v>45000.788194444445</x:v>
      </x:c>
      <x:c r="C408" s="13" t="n">
        <x:v>0.7881944444444444</x:v>
      </x:c>
      <x:c r="D408" t="str">
        <x:v>Damak</x:v>
      </x:c>
      <x:c r="E408" t="str">
        <x:v>Milan’s Bakery</x:v>
      </x:c>
      <x:c r="F408" s="14" t="n">
        <x:v>1470</x:v>
      </x:c>
      <x:c r="G408" t="str">
        <x:v>DEMO / SIMULATED</x:v>
      </x:c>
    </x:row>
    <x:row r="409">
      <x:c r="A409" t="str">
        <x:v>JFD-20241017-0407</x:v>
      </x:c>
      <x:c r="B409" s="11" t="n">
        <x:v>45582.850694444445</x:v>
      </x:c>
      <x:c r="C409" s="13" t="n">
        <x:v>0.8506944444444444</x:v>
      </x:c>
      <x:c r="D409" t="str">
        <x:v>Damak</x:v>
      </x:c>
      <x:c r="E409" t="str">
        <x:v>Late Night Cravings</x:v>
      </x:c>
      <x:c r="F409" s="14" t="n">
        <x:v>1295</x:v>
      </x:c>
      <x:c r="G409" t="str">
        <x:v>DEMO / SIMULATED</x:v>
      </x:c>
    </x:row>
    <x:row r="410">
      <x:c r="A410" t="str">
        <x:v>JFD-20231219-0408</x:v>
      </x:c>
      <x:c r="B410" s="11" t="n">
        <x:v>45279.86319444444</x:v>
      </x:c>
      <x:c r="C410" s="13" t="n">
        <x:v>0.8631944444444445</x:v>
      </x:c>
      <x:c r="D410" t="str">
        <x:v>Birtamode</x:v>
      </x:c>
      <x:c r="E410" t="str">
        <x:v>Pizza Ghar</x:v>
      </x:c>
      <x:c r="F410" s="14" t="n">
        <x:v>2000</x:v>
      </x:c>
      <x:c r="G410" t="str">
        <x:v>DEMO / SIMULATED</x:v>
      </x:c>
    </x:row>
    <x:row r="411">
      <x:c r="A411" t="str">
        <x:v>JFD-20231123-0409</x:v>
      </x:c>
      <x:c r="B411" s="11" t="n">
        <x:v>45253.646527777775</x:v>
      </x:c>
      <x:c r="C411" s="13" t="n">
        <x:v>0.6465277777777778</x:v>
      </x:c>
      <x:c r="D411" t="str">
        <x:v>Birtamode</x:v>
      </x:c>
      <x:c r="E411" t="str">
        <x:v>Pizza Ghar</x:v>
      </x:c>
      <x:c r="F411" s="14" t="n">
        <x:v>320</x:v>
      </x:c>
      <x:c r="G411" t="str">
        <x:v>DEMO / SIMULATED</x:v>
      </x:c>
    </x:row>
    <x:row r="412">
      <x:c r="A412" t="str">
        <x:v>JFD-20251124-0410</x:v>
      </x:c>
      <x:c r="B412" s="11" t="n">
        <x:v>45985.583333333336</x:v>
      </x:c>
      <x:c r="C412" s="13" t="n">
        <x:v>0.5833333333333334</x:v>
      </x:c>
      <x:c r="D412" t="str">
        <x:v>Damak</x:v>
      </x:c>
      <x:c r="E412" t="str">
        <x:v>Milan’s Bakery</x:v>
      </x:c>
      <x:c r="F412" s="14" t="n">
        <x:v>845</x:v>
      </x:c>
      <x:c r="G412" t="str">
        <x:v>DEMO / SIMULATED</x:v>
      </x:c>
    </x:row>
    <x:row r="413">
      <x:c r="A413" t="str">
        <x:v>JFD-20260520-0411</x:v>
      </x:c>
      <x:c r="B413" s="11" t="n">
        <x:v>46162.70763888889</x:v>
      </x:c>
      <x:c r="C413" s="13" t="n">
        <x:v>0.7076388888888889</x:v>
      </x:c>
      <x:c r="D413" t="str">
        <x:v>Birtamode</x:v>
      </x:c>
      <x:c r="E413" t="str">
        <x:v>The Underground Cafe &amp; Restaurant</x:v>
      </x:c>
      <x:c r="F413" s="14" t="n">
        <x:v>300</x:v>
      </x:c>
      <x:c r="G413" t="str">
        <x:v>DEMO / SIMULATED</x:v>
      </x:c>
    </x:row>
    <x:row r="414">
      <x:c r="A414" t="str">
        <x:v>JFD-20240222-0412</x:v>
      </x:c>
      <x:c r="B414" s="11" t="n">
        <x:v>45344.49652777778</x:v>
      </x:c>
      <x:c r="C414" s="13" t="n">
        <x:v>0.4965277777777778</x:v>
      </x:c>
      <x:c r="D414" t="str">
        <x:v>Birtamode</x:v>
      </x:c>
      <x:c r="E414" t="str">
        <x:v>Pizza Ghar</x:v>
      </x:c>
      <x:c r="F414" s="14" t="n">
        <x:v>815</x:v>
      </x:c>
      <x:c r="G414" t="str">
        <x:v>DEMO / SIMULATED</x:v>
      </x:c>
    </x:row>
    <x:row r="415">
      <x:c r="A415" t="str">
        <x:v>JFD-20260410-0413</x:v>
      </x:c>
      <x:c r="B415" s="11" t="n">
        <x:v>46122.76458333333</x:v>
      </x:c>
      <x:c r="C415" s="13" t="n">
        <x:v>0.7645833333333333</x:v>
      </x:c>
      <x:c r="D415" t="str">
        <x:v>Birtamode</x:v>
      </x:c>
      <x:c r="E415" t="str">
        <x:v>The Underground Cafe &amp; Restaurant</x:v>
      </x:c>
      <x:c r="F415" s="14" t="n">
        <x:v>1235</x:v>
      </x:c>
      <x:c r="G415" t="str">
        <x:v>DEMO / SIMULATED</x:v>
      </x:c>
    </x:row>
    <x:row r="416">
      <x:c r="A416" t="str">
        <x:v>JFD-20251124-0414</x:v>
      </x:c>
      <x:c r="B416" s="11" t="n">
        <x:v>45985.79722222222</x:v>
      </x:c>
      <x:c r="C416" s="13" t="n">
        <x:v>0.7972222222222223</x:v>
      </x:c>
      <x:c r="D416" t="str">
        <x:v>Birtamode</x:v>
      </x:c>
      <x:c r="E416" t="str">
        <x:v>Pizza Ghar</x:v>
      </x:c>
      <x:c r="F416" s="14" t="n">
        <x:v>1095</x:v>
      </x:c>
      <x:c r="G416" t="str">
        <x:v>DEMO / SIMULATED</x:v>
      </x:c>
    </x:row>
    <x:row r="417">
      <x:c r="A417" t="str">
        <x:v>JFD-20240805-0415</x:v>
      </x:c>
      <x:c r="B417" s="11" t="n">
        <x:v>45509.85972222222</x:v>
      </x:c>
      <x:c r="C417" s="13" t="n">
        <x:v>0.8597222222222223</x:v>
      </x:c>
      <x:c r="D417" t="str">
        <x:v>Damak</x:v>
      </x:c>
      <x:c r="E417" t="str">
        <x:v>Milan’s Bakery</x:v>
      </x:c>
      <x:c r="F417" s="14" t="n">
        <x:v>530</x:v>
      </x:c>
      <x:c r="G417" t="str">
        <x:v>DEMO / SIMULATED</x:v>
      </x:c>
    </x:row>
    <x:row r="418">
      <x:c r="A418" t="str">
        <x:v>JFD-20230523-0416</x:v>
      </x:c>
      <x:c r="B418" s="11" t="n">
        <x:v>45069.48263888889</x:v>
      </x:c>
      <x:c r="C418" s="13" t="n">
        <x:v>0.4826388888888889</x:v>
      </x:c>
      <x:c r="D418" t="str">
        <x:v>Damak</x:v>
      </x:c>
      <x:c r="E418" t="str">
        <x:v>Late Night Cravings</x:v>
      </x:c>
      <x:c r="F418" s="14" t="n">
        <x:v>360</x:v>
      </x:c>
      <x:c r="G418" t="str">
        <x:v>DEMO / SIMULATED</x:v>
      </x:c>
    </x:row>
    <x:row r="419">
      <x:c r="A419" t="str">
        <x:v>JFD-20250911-0417</x:v>
      </x:c>
      <x:c r="B419" s="11" t="n">
        <x:v>45911.549305555556</x:v>
      </x:c>
      <x:c r="C419" s="13" t="n">
        <x:v>0.5493055555555556</x:v>
      </x:c>
      <x:c r="D419" t="str">
        <x:v>Damak</x:v>
      </x:c>
      <x:c r="E419" t="str">
        <x:v>Late Night Cravings</x:v>
      </x:c>
      <x:c r="F419" s="14" t="n">
        <x:v>740</x:v>
      </x:c>
      <x:c r="G419" t="str">
        <x:v>DEMO / SIMULATED</x:v>
      </x:c>
    </x:row>
    <x:row r="420">
      <x:c r="A420" t="str">
        <x:v>JFD-20251017-0418</x:v>
      </x:c>
      <x:c r="B420" s="11" t="n">
        <x:v>45947.472916666666</x:v>
      </x:c>
      <x:c r="C420" s="13" t="n">
        <x:v>0.47291666666666665</x:v>
      </x:c>
      <x:c r="D420" t="str">
        <x:v>Birtamode</x:v>
      </x:c>
      <x:c r="E420" t="str">
        <x:v>The Underground Cafe &amp; Restaurant</x:v>
      </x:c>
      <x:c r="F420" s="14" t="n">
        <x:v>540</x:v>
      </x:c>
      <x:c r="G420" t="str">
        <x:v>DEMO / SIMULATED</x:v>
      </x:c>
    </x:row>
    <x:row r="421">
      <x:c r="A421" t="str">
        <x:v>JFD-20230828-0419</x:v>
      </x:c>
      <x:c r="B421" s="11" t="n">
        <x:v>45166.65625</x:v>
      </x:c>
      <x:c r="C421" s="13" t="n">
        <x:v>0.65625</x:v>
      </x:c>
      <x:c r="D421" t="str">
        <x:v>Damak</x:v>
      </x:c>
      <x:c r="E421" t="str">
        <x:v>Milan’s Bakery</x:v>
      </x:c>
      <x:c r="F421" s="14" t="n">
        <x:v>35</x:v>
      </x:c>
      <x:c r="G421" t="str">
        <x:v>DEMO / SIMULATED</x:v>
      </x:c>
    </x:row>
    <x:row r="422">
      <x:c r="A422" t="str">
        <x:v>JFD-20251227-0420</x:v>
      </x:c>
      <x:c r="B422" s="11" t="n">
        <x:v>46018.864583333336</x:v>
      </x:c>
      <x:c r="C422" s="13" t="n">
        <x:v>0.8645833333333334</x:v>
      </x:c>
      <x:c r="D422" t="str">
        <x:v>Damak</x:v>
      </x:c>
      <x:c r="E422" t="str">
        <x:v>Milan’s Bakery</x:v>
      </x:c>
      <x:c r="F422" s="14" t="n">
        <x:v>280</x:v>
      </x:c>
      <x:c r="G422" t="str">
        <x:v>DEMO / SIMULATED</x:v>
      </x:c>
    </x:row>
    <x:row r="423">
      <x:c r="A423" t="str">
        <x:v>JFD-20241018-0421</x:v>
      </x:c>
      <x:c r="B423" s="11" t="n">
        <x:v>45583.722916666666</x:v>
      </x:c>
      <x:c r="C423" s="13" t="n">
        <x:v>0.7229166666666667</x:v>
      </x:c>
      <x:c r="D423" t="str">
        <x:v>Damak</x:v>
      </x:c>
      <x:c r="E423" t="str">
        <x:v>Late Night Cravings</x:v>
      </x:c>
      <x:c r="F423" s="14" t="n">
        <x:v>1315</x:v>
      </x:c>
      <x:c r="G423" t="str">
        <x:v>DEMO / SIMULATED</x:v>
      </x:c>
    </x:row>
    <x:row r="424">
      <x:c r="A424" t="str">
        <x:v>JFD-20260222-0422</x:v>
      </x:c>
      <x:c r="B424" s="11" t="n">
        <x:v>46075.459027777775</x:v>
      </x:c>
      <x:c r="C424" s="13" t="n">
        <x:v>0.45902777777777776</x:v>
      </x:c>
      <x:c r="D424" t="str">
        <x:v>Birtamode</x:v>
      </x:c>
      <x:c r="E424" t="str">
        <x:v>Pizza Ghar</x:v>
      </x:c>
      <x:c r="F424" s="14" t="n">
        <x:v>540</x:v>
      </x:c>
      <x:c r="G424" t="str">
        <x:v>DEMO / SIMULATED</x:v>
      </x:c>
    </x:row>
    <x:row r="425">
      <x:c r="A425" t="str">
        <x:v>JFD-20230821-0423</x:v>
      </x:c>
      <x:c r="B425" s="11" t="n">
        <x:v>45159.864583333336</x:v>
      </x:c>
      <x:c r="C425" s="13" t="n">
        <x:v>0.8645833333333334</x:v>
      </x:c>
      <x:c r="D425" t="str">
        <x:v>Birtamode</x:v>
      </x:c>
      <x:c r="E425" t="str">
        <x:v>The Underground Cafe &amp; Restaurant</x:v>
      </x:c>
      <x:c r="F425" s="14" t="n">
        <x:v>595</x:v>
      </x:c>
      <x:c r="G425" t="str">
        <x:v>DEMO / SIMULATED</x:v>
      </x:c>
    </x:row>
    <x:row r="426">
      <x:c r="A426" t="str">
        <x:v>JFD-20250217-0424</x:v>
      </x:c>
      <x:c r="B426" s="11" t="n">
        <x:v>45705.62222222222</x:v>
      </x:c>
      <x:c r="C426" s="13" t="n">
        <x:v>0.6222222222222222</x:v>
      </x:c>
      <x:c r="D426" t="str">
        <x:v>Damak</x:v>
      </x:c>
      <x:c r="E426" t="str">
        <x:v>Late Night Cravings</x:v>
      </x:c>
      <x:c r="F426" s="14" t="n">
        <x:v>530</x:v>
      </x:c>
      <x:c r="G426" t="str">
        <x:v>DEMO / SIMULATED</x:v>
      </x:c>
    </x:row>
    <x:row r="427">
      <x:c r="A427" t="str">
        <x:v>JFD-20230911-0425</x:v>
      </x:c>
      <x:c r="B427" s="11" t="n">
        <x:v>45180.80138888889</x:v>
      </x:c>
      <x:c r="C427" s="13" t="n">
        <x:v>0.8013888888888889</x:v>
      </x:c>
      <x:c r="D427" t="str">
        <x:v>Birtamode</x:v>
      </x:c>
      <x:c r="E427" t="str">
        <x:v>The Underground Cafe &amp; Restaurant</x:v>
      </x:c>
      <x:c r="F427" s="14" t="n">
        <x:v>375</x:v>
      </x:c>
      <x:c r="G427" t="str">
        <x:v>DEMO / SIMULATED</x:v>
      </x:c>
    </x:row>
    <x:row r="428">
      <x:c r="A428" t="str">
        <x:v>JFD-20251215-0426</x:v>
      </x:c>
      <x:c r="B428" s="11" t="n">
        <x:v>46006.42569444444</x:v>
      </x:c>
      <x:c r="C428" s="13" t="n">
        <x:v>0.42569444444444443</x:v>
      </x:c>
      <x:c r="D428" t="str">
        <x:v>Birtamode</x:v>
      </x:c>
      <x:c r="E428" t="str">
        <x:v>Pizza Ghar</x:v>
      </x:c>
      <x:c r="F428" s="14" t="n">
        <x:v>510</x:v>
      </x:c>
      <x:c r="G428" t="str">
        <x:v>DEMO / SIMULATED</x:v>
      </x:c>
    </x:row>
    <x:row r="429">
      <x:c r="A429" t="str">
        <x:v>JFD-20250201-0427</x:v>
      </x:c>
      <x:c r="B429" s="11" t="n">
        <x:v>45689.69513888889</x:v>
      </x:c>
      <x:c r="C429" s="13" t="n">
        <x:v>0.6951388888888889</x:v>
      </x:c>
      <x:c r="D429" t="str">
        <x:v>Birtamode</x:v>
      </x:c>
      <x:c r="E429" t="str">
        <x:v>The Underground Cafe &amp; Restaurant</x:v>
      </x:c>
      <x:c r="F429" s="14" t="n">
        <x:v>330</x:v>
      </x:c>
      <x:c r="G429" t="str">
        <x:v>DEMO / SIMULATED</x:v>
      </x:c>
    </x:row>
    <x:row r="430">
      <x:c r="A430" t="str">
        <x:v>JFD-20230527-0428</x:v>
      </x:c>
      <x:c r="B430" s="11" t="n">
        <x:v>45073.61875</x:v>
      </x:c>
      <x:c r="C430" s="13" t="n">
        <x:v>0.61875</x:v>
      </x:c>
      <x:c r="D430" t="str">
        <x:v>Damak</x:v>
      </x:c>
      <x:c r="E430" t="str">
        <x:v>Late Night Cravings</x:v>
      </x:c>
      <x:c r="F430" s="14" t="n">
        <x:v>750</x:v>
      </x:c>
      <x:c r="G430" t="str">
        <x:v>DEMO / SIMULATED</x:v>
      </x:c>
    </x:row>
    <x:row r="431">
      <x:c r="A431" t="str">
        <x:v>JFD-20240210-0429</x:v>
      </x:c>
      <x:c r="B431" s="11" t="n">
        <x:v>45332.56597222222</x:v>
      </x:c>
      <x:c r="C431" s="13" t="n">
        <x:v>0.5659722222222222</x:v>
      </x:c>
      <x:c r="D431" t="str">
        <x:v>Damak</x:v>
      </x:c>
      <x:c r="E431" t="str">
        <x:v>Late Night Cravings</x:v>
      </x:c>
      <x:c r="F431" s="14" t="n">
        <x:v>1120</x:v>
      </x:c>
      <x:c r="G431" t="str">
        <x:v>DEMO / SIMULATED</x:v>
      </x:c>
    </x:row>
    <x:row r="432">
      <x:c r="A432" t="str">
        <x:v>JFD-20240911-0430</x:v>
      </x:c>
      <x:c r="B432" s="11" t="n">
        <x:v>45546.54375</x:v>
      </x:c>
      <x:c r="C432" s="13" t="n">
        <x:v>0.54375</x:v>
      </x:c>
      <x:c r="D432" t="str">
        <x:v>Damak</x:v>
      </x:c>
      <x:c r="E432" t="str">
        <x:v>Milan’s Bakery</x:v>
      </x:c>
      <x:c r="F432" s="14" t="n">
        <x:v>35</x:v>
      </x:c>
      <x:c r="G432" t="str">
        <x:v>DEMO / SIMULATED</x:v>
      </x:c>
    </x:row>
    <x:row r="433">
      <x:c r="A433" t="str">
        <x:v>JFD-20240711-0431</x:v>
      </x:c>
      <x:c r="B433" s="11" t="n">
        <x:v>45484.72152777778</x:v>
      </x:c>
      <x:c r="C433" s="13" t="n">
        <x:v>0.7215277777777778</x:v>
      </x:c>
      <x:c r="D433" t="str">
        <x:v>Birtamode</x:v>
      </x:c>
      <x:c r="E433" t="str">
        <x:v>The Underground Cafe &amp; Restaurant</x:v>
      </x:c>
      <x:c r="F433" s="14" t="n">
        <x:v>160</x:v>
      </x:c>
      <x:c r="G433" t="str">
        <x:v>DEMO / SIMULATED</x:v>
      </x:c>
    </x:row>
    <x:row r="434">
      <x:c r="A434" t="str">
        <x:v>JFD-20231022-0432</x:v>
      </x:c>
      <x:c r="B434" s="11" t="n">
        <x:v>45221.67638888889</x:v>
      </x:c>
      <x:c r="C434" s="13" t="n">
        <x:v>0.6763888888888889</x:v>
      </x:c>
      <x:c r="D434" t="str">
        <x:v>Damak</x:v>
      </x:c>
      <x:c r="E434" t="str">
        <x:v>Milan’s Bakery</x:v>
      </x:c>
      <x:c r="F434" s="14" t="n">
        <x:v>1165</x:v>
      </x:c>
      <x:c r="G434" t="str">
        <x:v>DEMO / SIMULATED</x:v>
      </x:c>
    </x:row>
    <x:row r="435">
      <x:c r="A435" t="str">
        <x:v>JFD-20260325-0433</x:v>
      </x:c>
      <x:c r="B435" s="11" t="n">
        <x:v>46106.790972222225</x:v>
      </x:c>
      <x:c r="C435" s="13" t="n">
        <x:v>0.7909722222222222</x:v>
      </x:c>
      <x:c r="D435" t="str">
        <x:v>Birtamode</x:v>
      </x:c>
      <x:c r="E435" t="str">
        <x:v>The Underground Cafe &amp; Restaurant</x:v>
      </x:c>
      <x:c r="F435" s="14" t="n">
        <x:v>160</x:v>
      </x:c>
      <x:c r="G435" t="str">
        <x:v>DEMO / SIMULATED</x:v>
      </x:c>
    </x:row>
    <x:row r="436">
      <x:c r="A436" t="str">
        <x:v>JFD-20260723-0434</x:v>
      </x:c>
      <x:c r="B436" s="11" t="n">
        <x:v>46226.74166666667</x:v>
      </x:c>
      <x:c r="C436" s="13" t="n">
        <x:v>0.7416666666666667</x:v>
      </x:c>
      <x:c r="D436" t="str">
        <x:v>Damak</x:v>
      </x:c>
      <x:c r="E436" t="str">
        <x:v>Late Night Cravings</x:v>
      </x:c>
      <x:c r="F436" s="14" t="n">
        <x:v>80</x:v>
      </x:c>
      <x:c r="G436" t="str">
        <x:v>DEMO / SIMULATED</x:v>
      </x:c>
    </x:row>
    <x:row r="437">
      <x:c r="A437" t="str">
        <x:v>JFD-20250623-0435</x:v>
      </x:c>
      <x:c r="B437" s="11" t="n">
        <x:v>45831.65694444445</x:v>
      </x:c>
      <x:c r="C437" s="13" t="n">
        <x:v>0.6569444444444444</x:v>
      </x:c>
      <x:c r="D437" t="str">
        <x:v>Damak</x:v>
      </x:c>
      <x:c r="E437" t="str">
        <x:v>Late Night Cravings</x:v>
      </x:c>
      <x:c r="F437" s="14" t="n">
        <x:v>865</x:v>
      </x:c>
      <x:c r="G437" t="str">
        <x:v>DEMO / SIMULATED</x:v>
      </x:c>
    </x:row>
    <x:row r="438">
      <x:c r="A438" t="str">
        <x:v>JFD-20250722-0436</x:v>
      </x:c>
      <x:c r="B438" s="11" t="n">
        <x:v>45860.520833333336</x:v>
      </x:c>
      <x:c r="C438" s="13" t="n">
        <x:v>0.5208333333333334</x:v>
      </x:c>
      <x:c r="D438" t="str">
        <x:v>Damak</x:v>
      </x:c>
      <x:c r="E438" t="str">
        <x:v>Late Night Cravings</x:v>
      </x:c>
      <x:c r="F438" s="14" t="n">
        <x:v>80</x:v>
      </x:c>
      <x:c r="G438" t="str">
        <x:v>DEMO / SIMULATED</x:v>
      </x:c>
    </x:row>
    <x:row r="439">
      <x:c r="A439" t="str">
        <x:v>JFD-20240111-0437</x:v>
      </x:c>
      <x:c r="B439" s="11" t="n">
        <x:v>45302.81458333333</x:v>
      </x:c>
      <x:c r="C439" s="13" t="n">
        <x:v>0.8145833333333333</x:v>
      </x:c>
      <x:c r="D439" t="str">
        <x:v>Birtamode</x:v>
      </x:c>
      <x:c r="E439" t="str">
        <x:v>The Underground Cafe &amp; Restaurant</x:v>
      </x:c>
      <x:c r="F439" s="14" t="n">
        <x:v>800</x:v>
      </x:c>
      <x:c r="G439" t="str">
        <x:v>DEMO / SIMULATED</x:v>
      </x:c>
    </x:row>
    <x:row r="440">
      <x:c r="A440" t="str">
        <x:v>JFD-20241119-0438</x:v>
      </x:c>
      <x:c r="B440" s="11" t="n">
        <x:v>45615.57708333333</x:v>
      </x:c>
      <x:c r="C440" s="13" t="n">
        <x:v>0.5770833333333333</x:v>
      </x:c>
      <x:c r="D440" t="str">
        <x:v>Damak</x:v>
      </x:c>
      <x:c r="E440" t="str">
        <x:v>Milan’s Bakery</x:v>
      </x:c>
      <x:c r="F440" s="14" t="n">
        <x:v>265</x:v>
      </x:c>
      <x:c r="G440" t="str">
        <x:v>DEMO / SIMULATED</x:v>
      </x:c>
    </x:row>
    <x:row r="441">
      <x:c r="A441" t="str">
        <x:v>JFD-20230411-0439</x:v>
      </x:c>
      <x:c r="B441" s="11" t="n">
        <x:v>45027.527083333334</x:v>
      </x:c>
      <x:c r="C441" s="13" t="n">
        <x:v>0.5270833333333333</x:v>
      </x:c>
      <x:c r="D441" t="str">
        <x:v>Damak</x:v>
      </x:c>
      <x:c r="E441" t="str">
        <x:v>Late Night Cravings</x:v>
      </x:c>
      <x:c r="F441" s="14" t="n">
        <x:v>500</x:v>
      </x:c>
      <x:c r="G441" t="str">
        <x:v>DEMO / SIMULATED</x:v>
      </x:c>
    </x:row>
    <x:row r="442">
      <x:c r="A442" t="str">
        <x:v>JFD-20231119-0440</x:v>
      </x:c>
      <x:c r="B442" s="11" t="n">
        <x:v>45249.799305555556</x:v>
      </x:c>
      <x:c r="C442" s="13" t="n">
        <x:v>0.7993055555555556</x:v>
      </x:c>
      <x:c r="D442" t="str">
        <x:v>Damak</x:v>
      </x:c>
      <x:c r="E442" t="str">
        <x:v>Milan’s Bakery</x:v>
      </x:c>
      <x:c r="F442" s="14" t="n">
        <x:v>1585</x:v>
      </x:c>
      <x:c r="G442" t="str">
        <x:v>DEMO / SIMULATED</x:v>
      </x:c>
    </x:row>
    <x:row r="443">
      <x:c r="A443" t="str">
        <x:v>JFD-20241024-0441</x:v>
      </x:c>
      <x:c r="B443" s="11" t="n">
        <x:v>45589.81736111111</x:v>
      </x:c>
      <x:c r="C443" s="13" t="n">
        <x:v>0.8173611111111111</x:v>
      </x:c>
      <x:c r="D443" t="str">
        <x:v>Birtamode</x:v>
      </x:c>
      <x:c r="E443" t="str">
        <x:v>Pizza Ghar</x:v>
      </x:c>
      <x:c r="F443" s="14" t="n">
        <x:v>1210</x:v>
      </x:c>
      <x:c r="G443" t="str">
        <x:v>DEMO / SIMULATED</x:v>
      </x:c>
    </x:row>
    <x:row r="444">
      <x:c r="A444" t="str">
        <x:v>JFD-20260818-0442</x:v>
      </x:c>
      <x:c r="B444" s="11" t="n">
        <x:v>46252.822916666664</x:v>
      </x:c>
      <x:c r="C444" s="13" t="n">
        <x:v>0.8229166666666666</x:v>
      </x:c>
      <x:c r="D444" t="str">
        <x:v>Birtamode</x:v>
      </x:c>
      <x:c r="E444" t="str">
        <x:v>Pizza Ghar</x:v>
      </x:c>
      <x:c r="F444" s="14" t="n">
        <x:v>1740</x:v>
      </x:c>
      <x:c r="G444" t="str">
        <x:v>DEMO / SIMULATED</x:v>
      </x:c>
    </x:row>
    <x:row r="445">
      <x:c r="A445" t="str">
        <x:v>JFD-20230313-0443</x:v>
      </x:c>
      <x:c r="B445" s="11" t="n">
        <x:v>44998.77222222222</x:v>
      </x:c>
      <x:c r="C445" s="13" t="n">
        <x:v>0.7722222222222223</x:v>
      </x:c>
      <x:c r="D445" t="str">
        <x:v>Birtamode</x:v>
      </x:c>
      <x:c r="E445" t="str">
        <x:v>Pizza Ghar</x:v>
      </x:c>
      <x:c r="F445" s="14" t="n">
        <x:v>80</x:v>
      </x:c>
      <x:c r="G445" t="str">
        <x:v>DEMO / SIMULATED</x:v>
      </x:c>
    </x:row>
    <x:row r="446">
      <x:c r="A446" t="str">
        <x:v>JFD-20230503-0444</x:v>
      </x:c>
      <x:c r="B446" s="11" t="n">
        <x:v>45049.822916666664</x:v>
      </x:c>
      <x:c r="C446" s="13" t="n">
        <x:v>0.8229166666666666</x:v>
      </x:c>
      <x:c r="D446" t="str">
        <x:v>Damak</x:v>
      </x:c>
      <x:c r="E446" t="str">
        <x:v>Late Night Cravings</x:v>
      </x:c>
      <x:c r="F446" s="14" t="n">
        <x:v>180</x:v>
      </x:c>
      <x:c r="G446" t="str">
        <x:v>DEMO / SIMULATED</x:v>
      </x:c>
    </x:row>
    <x:row r="447">
      <x:c r="A447" t="str">
        <x:v>JFD-20240125-0445</x:v>
      </x:c>
      <x:c r="B447" s="11" t="n">
        <x:v>45316.81875</x:v>
      </x:c>
      <x:c r="C447" s="13" t="n">
        <x:v>0.81875</x:v>
      </x:c>
      <x:c r="D447" t="str">
        <x:v>Damak</x:v>
      </x:c>
      <x:c r="E447" t="str">
        <x:v>Milan’s Bakery</x:v>
      </x:c>
      <x:c r="F447" s="14" t="n">
        <x:v>70</x:v>
      </x:c>
      <x:c r="G447" t="str">
        <x:v>DEMO / SIMULATED</x:v>
      </x:c>
    </x:row>
    <x:row r="448">
      <x:c r="A448" t="str">
        <x:v>JFD-20251105-0446</x:v>
      </x:c>
      <x:c r="B448" s="11" t="n">
        <x:v>45966.56597222222</x:v>
      </x:c>
      <x:c r="C448" s="13" t="n">
        <x:v>0.5659722222222222</x:v>
      </x:c>
      <x:c r="D448" t="str">
        <x:v>Birtamode</x:v>
      </x:c>
      <x:c r="E448" t="str">
        <x:v>Pizza Ghar</x:v>
      </x:c>
      <x:c r="F448" s="14" t="n">
        <x:v>1020</x:v>
      </x:c>
      <x:c r="G448" t="str">
        <x:v>DEMO / SIMULATED</x:v>
      </x:c>
    </x:row>
    <x:row r="449">
      <x:c r="A449" t="str">
        <x:v>JFD-20250523-0447</x:v>
      </x:c>
      <x:c r="B449" s="11" t="n">
        <x:v>45800.7875</x:v>
      </x:c>
      <x:c r="C449" s="13" t="n">
        <x:v>0.7875</x:v>
      </x:c>
      <x:c r="D449" t="str">
        <x:v>Damak</x:v>
      </x:c>
      <x:c r="E449" t="str">
        <x:v>Milan’s Bakery</x:v>
      </x:c>
      <x:c r="F449" s="14" t="n">
        <x:v>2810</x:v>
      </x:c>
      <x:c r="G449" t="str">
        <x:v>DEMO / SIMULATED</x:v>
      </x:c>
    </x:row>
    <x:row r="450">
      <x:c r="A450" t="str">
        <x:v>JFD-20230413-0448</x:v>
      </x:c>
      <x:c r="B450" s="11" t="n">
        <x:v>45029.55972222222</x:v>
      </x:c>
      <x:c r="C450" s="13" t="n">
        <x:v>0.5597222222222222</x:v>
      </x:c>
      <x:c r="D450" t="str">
        <x:v>Damak</x:v>
      </x:c>
      <x:c r="E450" t="str">
        <x:v>Late Night Cravings</x:v>
      </x:c>
      <x:c r="F450" s="14" t="n">
        <x:v>130</x:v>
      </x:c>
      <x:c r="G450" t="str">
        <x:v>DEMO / SIMULATED</x:v>
      </x:c>
    </x:row>
    <x:row r="451">
      <x:c r="A451" t="str">
        <x:v>JFD-20230104-0449</x:v>
      </x:c>
      <x:c r="B451" s="11" t="n">
        <x:v>44930.85833333333</x:v>
      </x:c>
      <x:c r="C451" s="13" t="n">
        <x:v>0.8583333333333333</x:v>
      </x:c>
      <x:c r="D451" t="str">
        <x:v>Birtamode</x:v>
      </x:c>
      <x:c r="E451" t="str">
        <x:v>Pizza Ghar</x:v>
      </x:c>
      <x:c r="F451" s="14" t="n">
        <x:v>1425</x:v>
      </x:c>
      <x:c r="G451" t="str">
        <x:v>DEMO / SIMULATED</x:v>
      </x:c>
    </x:row>
    <x:row r="452">
      <x:c r="A452" t="str">
        <x:v>JFD-20240724-0450</x:v>
      </x:c>
      <x:c r="B452" s="11" t="n">
        <x:v>45497.61944444444</x:v>
      </x:c>
      <x:c r="C452" s="13" t="n">
        <x:v>0.6194444444444445</x:v>
      </x:c>
      <x:c r="D452" t="str">
        <x:v>Damak</x:v>
      </x:c>
      <x:c r="E452" t="str">
        <x:v>Milan’s Bakery</x:v>
      </x:c>
      <x:c r="F452" s="14" t="n">
        <x:v>935</x:v>
      </x:c>
      <x:c r="G452" t="str">
        <x:v>DEMO / SIMULATED</x:v>
      </x:c>
    </x:row>
    <x:row r="453">
      <x:c r="A453" t="str">
        <x:v>JFD-20230831-0451</x:v>
      </x:c>
      <x:c r="B453" s="11" t="n">
        <x:v>45169.43194444444</x:v>
      </x:c>
      <x:c r="C453" s="13" t="n">
        <x:v>0.43194444444444446</x:v>
      </x:c>
      <x:c r="D453" t="str">
        <x:v>Damak</x:v>
      </x:c>
      <x:c r="E453" t="str">
        <x:v>Late Night Cravings</x:v>
      </x:c>
      <x:c r="F453" s="14" t="n">
        <x:v>645</x:v>
      </x:c>
      <x:c r="G453" t="str">
        <x:v>DEMO / SIMULATED</x:v>
      </x:c>
    </x:row>
    <x:row r="454">
      <x:c r="A454" t="str">
        <x:v>JFD-20230718-0452</x:v>
      </x:c>
      <x:c r="B454" s="11" t="n">
        <x:v>45125.48541666667</x:v>
      </x:c>
      <x:c r="C454" s="13" t="n">
        <x:v>0.48541666666666666</x:v>
      </x:c>
      <x:c r="D454" t="str">
        <x:v>Birtamode</x:v>
      </x:c>
      <x:c r="E454" t="str">
        <x:v>Pizza Ghar</x:v>
      </x:c>
      <x:c r="F454" s="14" t="n">
        <x:v>365</x:v>
      </x:c>
      <x:c r="G454" t="str">
        <x:v>DEMO / SIMULATED</x:v>
      </x:c>
    </x:row>
    <x:row r="455">
      <x:c r="A455" t="str">
        <x:v>JFD-20250918-0453</x:v>
      </x:c>
      <x:c r="B455" s="11" t="n">
        <x:v>45918.85277777778</x:v>
      </x:c>
      <x:c r="C455" s="13" t="n">
        <x:v>0.8527777777777777</x:v>
      </x:c>
      <x:c r="D455" t="str">
        <x:v>Birtamode</x:v>
      </x:c>
      <x:c r="E455" t="str">
        <x:v>The Underground Cafe &amp; Restaurant</x:v>
      </x:c>
      <x:c r="F455" s="14" t="n">
        <x:v>285</x:v>
      </x:c>
      <x:c r="G455" t="str">
        <x:v>DEMO / SIMULATED</x:v>
      </x:c>
    </x:row>
    <x:row r="456">
      <x:c r="A456" t="str">
        <x:v>JFD-20230430-0454</x:v>
      </x:c>
      <x:c r="B456" s="11" t="n">
        <x:v>45046.777083333334</x:v>
      </x:c>
      <x:c r="C456" s="13" t="n">
        <x:v>0.7770833333333333</x:v>
      </x:c>
      <x:c r="D456" t="str">
        <x:v>Birtamode</x:v>
      </x:c>
      <x:c r="E456" t="str">
        <x:v>Pizza Ghar</x:v>
      </x:c>
      <x:c r="F456" s="14" t="n">
        <x:v>2260</x:v>
      </x:c>
      <x:c r="G456" t="str">
        <x:v>DEMO / SIMULATED</x:v>
      </x:c>
    </x:row>
    <x:row r="457">
      <x:c r="A457" t="str">
        <x:v>JFD-20240901-0455</x:v>
      </x:c>
      <x:c r="B457" s="11" t="n">
        <x:v>45536.76736111111</x:v>
      </x:c>
      <x:c r="C457" s="13" t="n">
        <x:v>0.7673611111111112</x:v>
      </x:c>
      <x:c r="D457" t="str">
        <x:v>Damak</x:v>
      </x:c>
      <x:c r="E457" t="str">
        <x:v>Late Night Cravings</x:v>
      </x:c>
      <x:c r="F457" s="14" t="n">
        <x:v>780</x:v>
      </x:c>
      <x:c r="G457" t="str">
        <x:v>DEMO / SIMULATED</x:v>
      </x:c>
    </x:row>
    <x:row r="458">
      <x:c r="A458" t="str">
        <x:v>JFD-20261008-0456</x:v>
      </x:c>
      <x:c r="B458" s="11" t="n">
        <x:v>46303.85555555556</x:v>
      </x:c>
      <x:c r="C458" s="13" t="n">
        <x:v>0.8555555555555555</x:v>
      </x:c>
      <x:c r="D458" t="str">
        <x:v>Damak</x:v>
      </x:c>
      <x:c r="E458" t="str">
        <x:v>Late Night Cravings</x:v>
      </x:c>
      <x:c r="F458" s="14" t="n">
        <x:v>1060</x:v>
      </x:c>
      <x:c r="G458" t="str">
        <x:v>DEMO / SIMULATED</x:v>
      </x:c>
    </x:row>
    <x:row r="459">
      <x:c r="A459" t="str">
        <x:v>JFD-20230112-0457</x:v>
      </x:c>
      <x:c r="B459" s="11" t="n">
        <x:v>44938.72638888889</x:v>
      </x:c>
      <x:c r="C459" s="13" t="n">
        <x:v>0.7263888888888889</x:v>
      </x:c>
      <x:c r="D459" t="str">
        <x:v>Damak</x:v>
      </x:c>
      <x:c r="E459" t="str">
        <x:v>Milan’s Bakery</x:v>
      </x:c>
      <x:c r="F459" s="14" t="n">
        <x:v>245</x:v>
      </x:c>
      <x:c r="G459" t="str">
        <x:v>DEMO / SIMULATED</x:v>
      </x:c>
    </x:row>
    <x:row r="460">
      <x:c r="A460" t="str">
        <x:v>JFD-20230215-0458</x:v>
      </x:c>
      <x:c r="B460" s="11" t="n">
        <x:v>44972.55625</x:v>
      </x:c>
      <x:c r="C460" s="13" t="n">
        <x:v>0.55625</x:v>
      </x:c>
      <x:c r="D460" t="str">
        <x:v>Birtamode</x:v>
      </x:c>
      <x:c r="E460" t="str">
        <x:v>The Underground Cafe &amp; Restaurant</x:v>
      </x:c>
      <x:c r="F460" s="14" t="n">
        <x:v>955</x:v>
      </x:c>
      <x:c r="G460" t="str">
        <x:v>DEMO / SIMULATED</x:v>
      </x:c>
    </x:row>
    <x:row r="461">
      <x:c r="A461" t="str">
        <x:v>JFD-20250115-0459</x:v>
      </x:c>
      <x:c r="B461" s="11" t="n">
        <x:v>45672.55763888889</x:v>
      </x:c>
      <x:c r="C461" s="13" t="n">
        <x:v>0.5576388888888889</x:v>
      </x:c>
      <x:c r="D461" t="str">
        <x:v>Birtamode</x:v>
      </x:c>
      <x:c r="E461" t="str">
        <x:v>Pizza Ghar</x:v>
      </x:c>
      <x:c r="F461" s="14" t="n">
        <x:v>2220</x:v>
      </x:c>
      <x:c r="G461" t="str">
        <x:v>DEMO / SIMULATED</x:v>
      </x:c>
    </x:row>
    <x:row r="462">
      <x:c r="A462" t="str">
        <x:v>JFD-20230125-0460</x:v>
      </x:c>
      <x:c r="B462" s="11" t="n">
        <x:v>44951.69375</x:v>
      </x:c>
      <x:c r="C462" s="13" t="n">
        <x:v>0.69375</x:v>
      </x:c>
      <x:c r="D462" t="str">
        <x:v>Damak</x:v>
      </x:c>
      <x:c r="E462" t="str">
        <x:v>Milan’s Bakery</x:v>
      </x:c>
      <x:c r="F462" s="14" t="n">
        <x:v>245</x:v>
      </x:c>
      <x:c r="G462" t="str">
        <x:v>DEMO / SIMULATED</x:v>
      </x:c>
    </x:row>
    <x:row r="463">
      <x:c r="A463" t="str">
        <x:v>JFD-20240317-0461</x:v>
      </x:c>
      <x:c r="B463" s="11" t="n">
        <x:v>45368.62708333333</x:v>
      </x:c>
      <x:c r="C463" s="13" t="n">
        <x:v>0.6270833333333333</x:v>
      </x:c>
      <x:c r="D463" t="str">
        <x:v>Birtamode</x:v>
      </x:c>
      <x:c r="E463" t="str">
        <x:v>Pizza Ghar</x:v>
      </x:c>
      <x:c r="F463" s="14" t="n">
        <x:v>285</x:v>
      </x:c>
      <x:c r="G463" t="str">
        <x:v>DEMO / SIMULATED</x:v>
      </x:c>
    </x:row>
    <x:row r="464">
      <x:c r="A464" t="str">
        <x:v>JFD-20240823-0462</x:v>
      </x:c>
      <x:c r="B464" s="11" t="n">
        <x:v>45527.57708333333</x:v>
      </x:c>
      <x:c r="C464" s="13" t="n">
        <x:v>0.5770833333333333</x:v>
      </x:c>
      <x:c r="D464" t="str">
        <x:v>Damak</x:v>
      </x:c>
      <x:c r="E464" t="str">
        <x:v>Milan’s Bakery</x:v>
      </x:c>
      <x:c r="F464" s="14" t="n">
        <x:v>3425</x:v>
      </x:c>
      <x:c r="G464" t="str">
        <x:v>DEMO / SIMULATED</x:v>
      </x:c>
    </x:row>
    <x:row r="465">
      <x:c r="A465" t="str">
        <x:v>JFD-20260210-0463</x:v>
      </x:c>
      <x:c r="B465" s="11" t="n">
        <x:v>46063.67986111111</x:v>
      </x:c>
      <x:c r="C465" s="13" t="n">
        <x:v>0.6798611111111111</x:v>
      </x:c>
      <x:c r="D465" t="str">
        <x:v>Birtamode</x:v>
      </x:c>
      <x:c r="E465" t="str">
        <x:v>The Underground Cafe &amp; Restaurant</x:v>
      </x:c>
      <x:c r="F465" s="14" t="n">
        <x:v>675</x:v>
      </x:c>
      <x:c r="G465" t="str">
        <x:v>DEMO / SIMULATED</x:v>
      </x:c>
    </x:row>
    <x:row r="466">
      <x:c r="A466" t="str">
        <x:v>JFD-20240418-0464</x:v>
      </x:c>
      <x:c r="B466" s="11" t="n">
        <x:v>45400.53958333333</x:v>
      </x:c>
      <x:c r="C466" s="13" t="n">
        <x:v>0.5395833333333333</x:v>
      </x:c>
      <x:c r="D466" t="str">
        <x:v>Damak</x:v>
      </x:c>
      <x:c r="E466" t="str">
        <x:v>Milan’s Bakery</x:v>
      </x:c>
      <x:c r="F466" s="14" t="n">
        <x:v>1950</x:v>
      </x:c>
      <x:c r="G466" t="str">
        <x:v>DEMO / SIMULATED</x:v>
      </x:c>
    </x:row>
    <x:row r="467">
      <x:c r="A467" t="str">
        <x:v>JFD-20250212-0465</x:v>
      </x:c>
      <x:c r="B467" s="11" t="n">
        <x:v>45700.54861111111</x:v>
      </x:c>
      <x:c r="C467" s="13" t="n">
        <x:v>0.5486111111111112</x:v>
      </x:c>
      <x:c r="D467" t="str">
        <x:v>Birtamode</x:v>
      </x:c>
      <x:c r="E467" t="str">
        <x:v>Pizza Ghar</x:v>
      </x:c>
      <x:c r="F467" s="14" t="n">
        <x:v>1635</x:v>
      </x:c>
      <x:c r="G467" t="str">
        <x:v>DEMO / SIMULATED</x:v>
      </x:c>
    </x:row>
    <x:row r="468">
      <x:c r="A468" t="str">
        <x:v>JFD-20230930-0466</x:v>
      </x:c>
      <x:c r="B468" s="11" t="n">
        <x:v>45199.88888888889</x:v>
      </x:c>
      <x:c r="C468" s="13" t="n">
        <x:v>0.8888888888888888</x:v>
      </x:c>
      <x:c r="D468" t="str">
        <x:v>Damak</x:v>
      </x:c>
      <x:c r="E468" t="str">
        <x:v>Milan’s Bakery</x:v>
      </x:c>
      <x:c r="F468" s="14" t="n">
        <x:v>3235</x:v>
      </x:c>
      <x:c r="G468" t="str">
        <x:v>DEMO / SIMULATED</x:v>
      </x:c>
    </x:row>
    <x:row r="469">
      <x:c r="A469" t="str">
        <x:v>JFD-20250227-0467</x:v>
      </x:c>
      <x:c r="B469" s="11" t="n">
        <x:v>45715.59861111111</x:v>
      </x:c>
      <x:c r="C469" s="13" t="n">
        <x:v>0.5986111111111111</x:v>
      </x:c>
      <x:c r="D469" t="str">
        <x:v>Birtamode</x:v>
      </x:c>
      <x:c r="E469" t="str">
        <x:v>Pizza Ghar</x:v>
      </x:c>
      <x:c r="F469" s="14" t="n">
        <x:v>1020</x:v>
      </x:c>
      <x:c r="G469" t="str">
        <x:v>DEMO / SIMULATED</x:v>
      </x:c>
    </x:row>
    <x:row r="470">
      <x:c r="A470" t="str">
        <x:v>JFD-20230226-0468</x:v>
      </x:c>
      <x:c r="B470" s="11" t="n">
        <x:v>44983.88263888889</x:v>
      </x:c>
      <x:c r="C470" s="13" t="n">
        <x:v>0.8826388888888889</x:v>
      </x:c>
      <x:c r="D470" t="str">
        <x:v>Damak</x:v>
      </x:c>
      <x:c r="E470" t="str">
        <x:v>Late Night Cravings</x:v>
      </x:c>
      <x:c r="F470" s="14" t="n">
        <x:v>495</x:v>
      </x:c>
      <x:c r="G470" t="str">
        <x:v>DEMO / SIMULATED</x:v>
      </x:c>
    </x:row>
    <x:row r="471">
      <x:c r="A471" t="str">
        <x:v>JFD-20250618-0469</x:v>
      </x:c>
      <x:c r="B471" s="11" t="n">
        <x:v>45826.521527777775</x:v>
      </x:c>
      <x:c r="C471" s="13" t="n">
        <x:v>0.5215277777777778</x:v>
      </x:c>
      <x:c r="D471" t="str">
        <x:v>Damak</x:v>
      </x:c>
      <x:c r="E471" t="str">
        <x:v>Late Night Cravings</x:v>
      </x:c>
      <x:c r="F471" s="14" t="n">
        <x:v>865</x:v>
      </x:c>
      <x:c r="G471" t="str">
        <x:v>DEMO / SIMULATED</x:v>
      </x:c>
    </x:row>
    <x:row r="472">
      <x:c r="A472" t="str">
        <x:v>JFD-20240427-0470</x:v>
      </x:c>
      <x:c r="B472" s="11" t="n">
        <x:v>45409.60972222222</x:v>
      </x:c>
      <x:c r="C472" s="13" t="n">
        <x:v>0.6097222222222223</x:v>
      </x:c>
      <x:c r="D472" t="str">
        <x:v>Birtamode</x:v>
      </x:c>
      <x:c r="E472" t="str">
        <x:v>The Underground Cafe &amp; Restaurant</x:v>
      </x:c>
      <x:c r="F472" s="14" t="n">
        <x:v>735</x:v>
      </x:c>
      <x:c r="G472" t="str">
        <x:v>DEMO / SIMULATED</x:v>
      </x:c>
    </x:row>
    <x:row r="473">
      <x:c r="A473" t="str">
        <x:v>JFD-20260106-0471</x:v>
      </x:c>
      <x:c r="B473" s="11" t="n">
        <x:v>46028.74791666667</x:v>
      </x:c>
      <x:c r="C473" s="13" t="n">
        <x:v>0.7479166666666667</x:v>
      </x:c>
      <x:c r="D473" t="str">
        <x:v>Birtamode</x:v>
      </x:c>
      <x:c r="E473" t="str">
        <x:v>Pizza Ghar</x:v>
      </x:c>
      <x:c r="F473" s="14" t="n">
        <x:v>1200</x:v>
      </x:c>
      <x:c r="G473" t="str">
        <x:v>DEMO / SIMULATED</x:v>
      </x:c>
    </x:row>
    <x:row r="474">
      <x:c r="A474" t="str">
        <x:v>JFD-20240205-0472</x:v>
      </x:c>
      <x:c r="B474" s="11" t="n">
        <x:v>45327.54027777778</x:v>
      </x:c>
      <x:c r="C474" s="13" t="n">
        <x:v>0.5402777777777777</x:v>
      </x:c>
      <x:c r="D474" t="str">
        <x:v>Damak</x:v>
      </x:c>
      <x:c r="E474" t="str">
        <x:v>Late Night Cravings</x:v>
      </x:c>
      <x:c r="F474" s="14" t="n">
        <x:v>1130</x:v>
      </x:c>
      <x:c r="G474" t="str">
        <x:v>DEMO / SIMULATED</x:v>
      </x:c>
    </x:row>
    <x:row r="475">
      <x:c r="A475" t="str">
        <x:v>JFD-20231006-0473</x:v>
      </x:c>
      <x:c r="B475" s="11" t="n">
        <x:v>45205.86388888889</x:v>
      </x:c>
      <x:c r="C475" s="13" t="n">
        <x:v>0.8638888888888889</x:v>
      </x:c>
      <x:c r="D475" t="str">
        <x:v>Damak</x:v>
      </x:c>
      <x:c r="E475" t="str">
        <x:v>Late Night Cravings</x:v>
      </x:c>
      <x:c r="F475" s="14" t="n">
        <x:v>945</x:v>
      </x:c>
      <x:c r="G475" t="str">
        <x:v>DEMO / SIMULATED</x:v>
      </x:c>
    </x:row>
    <x:row r="476">
      <x:c r="A476" t="str">
        <x:v>JFD-20230824-0474</x:v>
      </x:c>
      <x:c r="B476" s="11" t="n">
        <x:v>45162.76111111111</x:v>
      </x:c>
      <x:c r="C476" s="13" t="n">
        <x:v>0.7611111111111111</x:v>
      </x:c>
      <x:c r="D476" t="str">
        <x:v>Birtamode</x:v>
      </x:c>
      <x:c r="E476" t="str">
        <x:v>Pizza Ghar</x:v>
      </x:c>
      <x:c r="F476" s="14" t="n">
        <x:v>1425</x:v>
      </x:c>
      <x:c r="G476" t="str">
        <x:v>DEMO / SIMULATED</x:v>
      </x:c>
    </x:row>
    <x:row r="477">
      <x:c r="A477" t="str">
        <x:v>JFD-20240508-0475</x:v>
      </x:c>
      <x:c r="B477" s="11" t="n">
        <x:v>45420.77013888889</x:v>
      </x:c>
      <x:c r="C477" s="13" t="n">
        <x:v>0.7701388888888889</x:v>
      </x:c>
      <x:c r="D477" t="str">
        <x:v>Damak</x:v>
      </x:c>
      <x:c r="E477" t="str">
        <x:v>Late Night Cravings</x:v>
      </x:c>
      <x:c r="F477" s="14" t="n">
        <x:v>735</x:v>
      </x:c>
      <x:c r="G477" t="str">
        <x:v>DEMO / SIMULATED</x:v>
      </x:c>
    </x:row>
    <x:row r="478">
      <x:c r="A478" t="str">
        <x:v>JFD-20240810-0476</x:v>
      </x:c>
      <x:c r="B478" s="11" t="n">
        <x:v>45514.78402777778</x:v>
      </x:c>
      <x:c r="C478" s="13" t="n">
        <x:v>0.7840277777777778</x:v>
      </x:c>
      <x:c r="D478" t="str">
        <x:v>Birtamode</x:v>
      </x:c>
      <x:c r="E478" t="str">
        <x:v>Pizza Ghar</x:v>
      </x:c>
      <x:c r="F478" s="14" t="n">
        <x:v>395</x:v>
      </x:c>
      <x:c r="G478" t="str">
        <x:v>DEMO / SIMULATED</x:v>
      </x:c>
    </x:row>
    <x:row r="479">
      <x:c r="A479" t="str">
        <x:v>JFD-20240209-0477</x:v>
      </x:c>
      <x:c r="B479" s="11" t="n">
        <x:v>45331.65625</x:v>
      </x:c>
      <x:c r="C479" s="13" t="n">
        <x:v>0.65625</x:v>
      </x:c>
      <x:c r="D479" t="str">
        <x:v>Birtamode</x:v>
      </x:c>
      <x:c r="E479" t="str">
        <x:v>Pizza Ghar</x:v>
      </x:c>
      <x:c r="F479" s="14" t="n">
        <x:v>870</x:v>
      </x:c>
      <x:c r="G479" t="str">
        <x:v>DEMO / SIMULATED</x:v>
      </x:c>
    </x:row>
    <x:row r="480">
      <x:c r="A480" t="str">
        <x:v>JFD-20230824-0478</x:v>
      </x:c>
      <x:c r="B480" s="11" t="n">
        <x:v>45162.751388888886</x:v>
      </x:c>
      <x:c r="C480" s="13" t="n">
        <x:v>0.7513888888888889</x:v>
      </x:c>
      <x:c r="D480" t="str">
        <x:v>Birtamode</x:v>
      </x:c>
      <x:c r="E480" t="str">
        <x:v>The Underground Cafe &amp; Restaurant</x:v>
      </x:c>
      <x:c r="F480" s="14" t="n">
        <x:v>430</x:v>
      </x:c>
      <x:c r="G480" t="str">
        <x:v>DEMO / SIMULATED</x:v>
      </x:c>
    </x:row>
    <x:row r="481">
      <x:c r="A481" t="str">
        <x:v>JFD-20260701-0479</x:v>
      </x:c>
      <x:c r="B481" s="11" t="n">
        <x:v>46204.44027777778</x:v>
      </x:c>
      <x:c r="C481" s="13" t="n">
        <x:v>0.44027777777777777</x:v>
      </x:c>
      <x:c r="D481" t="str">
        <x:v>Birtamode</x:v>
      </x:c>
      <x:c r="E481" t="str">
        <x:v>Pizza Ghar</x:v>
      </x:c>
      <x:c r="F481" s="14" t="n">
        <x:v>540</x:v>
      </x:c>
      <x:c r="G481" t="str">
        <x:v>DEMO / SIMULATED</x:v>
      </x:c>
    </x:row>
    <x:row r="482">
      <x:c r="A482" t="str">
        <x:v>JFD-20231018-0480</x:v>
      </x:c>
      <x:c r="B482" s="11" t="n">
        <x:v>45217.811111111114</x:v>
      </x:c>
      <x:c r="C482" s="13" t="n">
        <x:v>0.8111111111111111</x:v>
      </x:c>
      <x:c r="D482" t="str">
        <x:v>Birtamode</x:v>
      </x:c>
      <x:c r="E482" t="str">
        <x:v>Pizza Ghar</x:v>
      </x:c>
      <x:c r="F482" s="14" t="n">
        <x:v>1645</x:v>
      </x:c>
      <x:c r="G482" t="str">
        <x:v>DEMO / SIMULATED</x:v>
      </x:c>
    </x:row>
    <x:row r="483">
      <x:c r="A483" t="str">
        <x:v>JFD-20231018-0481</x:v>
      </x:c>
      <x:c r="B483" s="11" t="n">
        <x:v>45217.825</x:v>
      </x:c>
      <x:c r="C483" s="13" t="n">
        <x:v>0.825</x:v>
      </x:c>
      <x:c r="D483" t="str">
        <x:v>Damak</x:v>
      </x:c>
      <x:c r="E483" t="str">
        <x:v>Milan’s Bakery</x:v>
      </x:c>
      <x:c r="F483" s="14" t="n">
        <x:v>140</x:v>
      </x:c>
      <x:c r="G483" t="str">
        <x:v>DEMO / SIMULATED</x:v>
      </x:c>
    </x:row>
    <x:row r="484">
      <x:c r="A484" t="str">
        <x:v>JFD-20251213-0482</x:v>
      </x:c>
      <x:c r="B484" s="11" t="n">
        <x:v>46004.85555555556</x:v>
      </x:c>
      <x:c r="C484" s="13" t="n">
        <x:v>0.8555555555555555</x:v>
      </x:c>
      <x:c r="D484" t="str">
        <x:v>Birtamode</x:v>
      </x:c>
      <x:c r="E484" t="str">
        <x:v>Pizza Ghar</x:v>
      </x:c>
      <x:c r="F484" s="14" t="n">
        <x:v>255</x:v>
      </x:c>
      <x:c r="G484" t="str">
        <x:v>DEMO / SIMULATED</x:v>
      </x:c>
    </x:row>
    <x:row r="485">
      <x:c r="A485" t="str">
        <x:v>JFD-20230306-0483</x:v>
      </x:c>
      <x:c r="B485" s="11" t="n">
        <x:v>44991.6875</x:v>
      </x:c>
      <x:c r="C485" s="13" t="n">
        <x:v>0.6875</x:v>
      </x:c>
      <x:c r="D485" t="str">
        <x:v>Birtamode</x:v>
      </x:c>
      <x:c r="E485" t="str">
        <x:v>Pizza Ghar</x:v>
      </x:c>
      <x:c r="F485" s="14" t="n">
        <x:v>1260</x:v>
      </x:c>
      <x:c r="G485" t="str">
        <x:v>DEMO / SIMULATED</x:v>
      </x:c>
    </x:row>
    <x:row r="486">
      <x:c r="A486" t="str">
        <x:v>JFD-20240531-0484</x:v>
      </x:c>
      <x:c r="B486" s="11" t="n">
        <x:v>45443.49791666667</x:v>
      </x:c>
      <x:c r="C486" s="13" t="n">
        <x:v>0.4979166666666667</x:v>
      </x:c>
      <x:c r="D486" t="str">
        <x:v>Birtamode</x:v>
      </x:c>
      <x:c r="E486" t="str">
        <x:v>The Underground Cafe &amp; Restaurant</x:v>
      </x:c>
      <x:c r="F486" s="14" t="n">
        <x:v>70</x:v>
      </x:c>
      <x:c r="G486" t="str">
        <x:v>DEMO / SIMULATED</x:v>
      </x:c>
    </x:row>
    <x:row r="487">
      <x:c r="A487" t="str">
        <x:v>JFD-20250130-0485</x:v>
      </x:c>
      <x:c r="B487" s="11" t="n">
        <x:v>45687.75347222222</x:v>
      </x:c>
      <x:c r="C487" s="13" t="n">
        <x:v>0.7534722222222222</x:v>
      </x:c>
      <x:c r="D487" t="str">
        <x:v>Damak</x:v>
      </x:c>
      <x:c r="E487" t="str">
        <x:v>Milan’s Bakery</x:v>
      </x:c>
      <x:c r="F487" s="14" t="n">
        <x:v>1220</x:v>
      </x:c>
      <x:c r="G487" t="str">
        <x:v>DEMO / SIMULATED</x:v>
      </x:c>
    </x:row>
    <x:row r="488">
      <x:c r="A488" t="str">
        <x:v>JFD-20231007-0486</x:v>
      </x:c>
      <x:c r="B488" s="11" t="n">
        <x:v>45206.830555555556</x:v>
      </x:c>
      <x:c r="C488" s="13" t="n">
        <x:v>0.8305555555555556</x:v>
      </x:c>
      <x:c r="D488" t="str">
        <x:v>Birtamode</x:v>
      </x:c>
      <x:c r="E488" t="str">
        <x:v>Pizza Ghar</x:v>
      </x:c>
      <x:c r="F488" s="14" t="n">
        <x:v>220</x:v>
      </x:c>
      <x:c r="G488" t="str">
        <x:v>DEMO / SIMULATED</x:v>
      </x:c>
    </x:row>
    <x:row r="489">
      <x:c r="A489" t="str">
        <x:v>JFD-20250616-0487</x:v>
      </x:c>
      <x:c r="B489" s="11" t="n">
        <x:v>45824.42916666667</x:v>
      </x:c>
      <x:c r="C489" s="13" t="n">
        <x:v>0.42916666666666664</x:v>
      </x:c>
      <x:c r="D489" t="str">
        <x:v>Birtamode</x:v>
      </x:c>
      <x:c r="E489" t="str">
        <x:v>The Underground Cafe &amp; Restaurant</x:v>
      </x:c>
      <x:c r="F489" s="14" t="n">
        <x:v>580</x:v>
      </x:c>
      <x:c r="G489" t="str">
        <x:v>DEMO / SIMULATED</x:v>
      </x:c>
    </x:row>
    <x:row r="490">
      <x:c r="A490" t="str">
        <x:v>JFD-20231026-0488</x:v>
      </x:c>
      <x:c r="B490" s="11" t="n">
        <x:v>45225.709027777775</x:v>
      </x:c>
      <x:c r="C490" s="13" t="n">
        <x:v>0.7090277777777778</x:v>
      </x:c>
      <x:c r="D490" t="str">
        <x:v>Birtamode</x:v>
      </x:c>
      <x:c r="E490" t="str">
        <x:v>Pizza Ghar</x:v>
      </x:c>
      <x:c r="F490" s="14" t="n">
        <x:v>2630</x:v>
      </x:c>
      <x:c r="G490" t="str">
        <x:v>DEMO / SIMULATED</x:v>
      </x:c>
    </x:row>
    <x:row r="491">
      <x:c r="A491" t="str">
        <x:v>JFD-20260824-0489</x:v>
      </x:c>
      <x:c r="B491" s="11" t="n">
        <x:v>46258.80694444444</x:v>
      </x:c>
      <x:c r="C491" s="13" t="n">
        <x:v>0.8069444444444445</x:v>
      </x:c>
      <x:c r="D491" t="str">
        <x:v>Birtamode</x:v>
      </x:c>
      <x:c r="E491" t="str">
        <x:v>The Underground Cafe &amp; Restaurant</x:v>
      </x:c>
      <x:c r="F491" s="14" t="n">
        <x:v>400</x:v>
      </x:c>
      <x:c r="G491" t="str">
        <x:v>DEMO / SIMULATED</x:v>
      </x:c>
    </x:row>
    <x:row r="492">
      <x:c r="A492" t="str">
        <x:v>JFD-20241014-0490</x:v>
      </x:c>
      <x:c r="B492" s="11" t="n">
        <x:v>45579.82847222222</x:v>
      </x:c>
      <x:c r="C492" s="13" t="n">
        <x:v>0.8284722222222223</x:v>
      </x:c>
      <x:c r="D492" t="str">
        <x:v>Birtamode</x:v>
      </x:c>
      <x:c r="E492" t="str">
        <x:v>The Underground Cafe &amp; Restaurant</x:v>
      </x:c>
      <x:c r="F492" s="14" t="n">
        <x:v>425</x:v>
      </x:c>
      <x:c r="G492" t="str">
        <x:v>DEMO / SIMULATED</x:v>
      </x:c>
    </x:row>
    <x:row r="493">
      <x:c r="A493" t="str">
        <x:v>JFD-20240917-0491</x:v>
      </x:c>
      <x:c r="B493" s="11" t="n">
        <x:v>45552.87777777778</x:v>
      </x:c>
      <x:c r="C493" s="13" t="n">
        <x:v>0.8777777777777778</x:v>
      </x:c>
      <x:c r="D493" t="str">
        <x:v>Birtamode</x:v>
      </x:c>
      <x:c r="E493" t="str">
        <x:v>Pizza Ghar</x:v>
      </x:c>
      <x:c r="F493" s="14" t="n">
        <x:v>905</x:v>
      </x:c>
      <x:c r="G493" t="str">
        <x:v>DEMO / SIMULATED</x:v>
      </x:c>
    </x:row>
    <x:row r="494">
      <x:c r="A494" t="str">
        <x:v>JFD-20250320-0492</x:v>
      </x:c>
      <x:c r="B494" s="11" t="n">
        <x:v>45736.77569444444</x:v>
      </x:c>
      <x:c r="C494" s="13" t="n">
        <x:v>0.7756944444444445</x:v>
      </x:c>
      <x:c r="D494" t="str">
        <x:v>Damak</x:v>
      </x:c>
      <x:c r="E494" t="str">
        <x:v>Milan’s Bakery</x:v>
      </x:c>
      <x:c r="F494" s="14" t="n">
        <x:v>655</x:v>
      </x:c>
      <x:c r="G494" t="str">
        <x:v>DEMO / SIMULATED</x:v>
      </x:c>
    </x:row>
    <x:row r="495">
      <x:c r="A495" t="str">
        <x:v>JFD-20231217-0493</x:v>
      </x:c>
      <x:c r="B495" s="11" t="n">
        <x:v>45277.634722222225</x:v>
      </x:c>
      <x:c r="C495" s="13" t="n">
        <x:v>0.6347222222222222</x:v>
      </x:c>
      <x:c r="D495" t="str">
        <x:v>Damak</x:v>
      </x:c>
      <x:c r="E495" t="str">
        <x:v>Milan’s Bakery</x:v>
      </x:c>
      <x:c r="F495" s="14" t="n">
        <x:v>1300</x:v>
      </x:c>
      <x:c r="G495" t="str">
        <x:v>DEMO / SIMULATED</x:v>
      </x:c>
    </x:row>
    <x:row r="496">
      <x:c r="A496" t="str">
        <x:v>JFD-20260607-0494</x:v>
      </x:c>
      <x:c r="B496" s="11" t="n">
        <x:v>46180.881944444445</x:v>
      </x:c>
      <x:c r="C496" s="13" t="n">
        <x:v>0.8819444444444444</x:v>
      </x:c>
      <x:c r="D496" t="str">
        <x:v>Birtamode</x:v>
      </x:c>
      <x:c r="E496" t="str">
        <x:v>The Underground Cafe &amp; Restaurant</x:v>
      </x:c>
      <x:c r="F496" s="14" t="n">
        <x:v>560</x:v>
      </x:c>
      <x:c r="G496" t="str">
        <x:v>DEMO / SIMULATED</x:v>
      </x:c>
    </x:row>
    <x:row r="497">
      <x:c r="A497" t="str">
        <x:v>JFD-20260622-0495</x:v>
      </x:c>
      <x:c r="B497" s="11" t="n">
        <x:v>46195.87291666667</x:v>
      </x:c>
      <x:c r="C497" s="13" t="n">
        <x:v>0.8729166666666667</x:v>
      </x:c>
      <x:c r="D497" t="str">
        <x:v>Damak</x:v>
      </x:c>
      <x:c r="E497" t="str">
        <x:v>Milan’s Bakery</x:v>
      </x:c>
      <x:c r="F497" s="14" t="n">
        <x:v>200</x:v>
      </x:c>
      <x:c r="G497" t="str">
        <x:v>DEMO / SIMULATED</x:v>
      </x:c>
    </x:row>
    <x:row r="498">
      <x:c r="A498" t="str">
        <x:v>JFD-20260928-0496</x:v>
      </x:c>
      <x:c r="B498" s="11" t="n">
        <x:v>46293.714583333334</x:v>
      </x:c>
      <x:c r="C498" s="13" t="n">
        <x:v>0.7145833333333333</x:v>
      </x:c>
      <x:c r="D498" t="str">
        <x:v>Birtamode</x:v>
      </x:c>
      <x:c r="E498" t="str">
        <x:v>Pizza Ghar</x:v>
      </x:c>
      <x:c r="F498" s="14" t="n">
        <x:v>300</x:v>
      </x:c>
      <x:c r="G498" t="str">
        <x:v>DEMO / SIMULATED</x:v>
      </x:c>
    </x:row>
    <x:row r="499">
      <x:c r="A499" t="str">
        <x:v>JFD-20250313-0497</x:v>
      </x:c>
      <x:c r="B499" s="11" t="n">
        <x:v>45729.69305555556</x:v>
      </x:c>
      <x:c r="C499" s="13" t="n">
        <x:v>0.6930555555555555</x:v>
      </x:c>
      <x:c r="D499" t="str">
        <x:v>Birtamode</x:v>
      </x:c>
      <x:c r="E499" t="str">
        <x:v>The Underground Cafe &amp; Restaurant</x:v>
      </x:c>
      <x:c r="F499" s="14" t="n">
        <x:v>330</x:v>
      </x:c>
      <x:c r="G499" t="str">
        <x:v>DEMO / SIMULATED</x:v>
      </x:c>
    </x:row>
    <x:row r="500">
      <x:c r="A500" t="str">
        <x:v>JFD-20251001-0498</x:v>
      </x:c>
      <x:c r="B500" s="11" t="n">
        <x:v>45931.91527777778</x:v>
      </x:c>
      <x:c r="C500" s="13" t="n">
        <x:v>0.9152777777777777</x:v>
      </x:c>
      <x:c r="D500" t="str">
        <x:v>Birtamode</x:v>
      </x:c>
      <x:c r="E500" t="str">
        <x:v>The Underground Cafe &amp; Restaurant</x:v>
      </x:c>
      <x:c r="F500" s="14" t="n">
        <x:v>190</x:v>
      </x:c>
      <x:c r="G500" t="str">
        <x:v>DEMO / SIMULATED</x:v>
      </x:c>
    </x:row>
    <x:row r="501">
      <x:c r="A501" t="str">
        <x:v>JFD-20241121-0499</x:v>
      </x:c>
      <x:c r="B501" s="11" t="n">
        <x:v>45617.74097222222</x:v>
      </x:c>
      <x:c r="C501" s="13" t="n">
        <x:v>0.7409722222222223</x:v>
      </x:c>
      <x:c r="D501" t="str">
        <x:v>Birtamode</x:v>
      </x:c>
      <x:c r="E501" t="str">
        <x:v>The Underground Cafe &amp; Restaurant</x:v>
      </x:c>
      <x:c r="F501" s="14" t="n">
        <x:v>200</x:v>
      </x:c>
      <x:c r="G501" t="str">
        <x:v>DEMO / SIMULATED</x:v>
      </x:c>
    </x:row>
    <x:row r="502">
      <x:c r="A502" t="str">
        <x:v>JFD-20260716-0500</x:v>
      </x:c>
      <x:c r="B502" s="11" t="n">
        <x:v>46219.62430555555</x:v>
      </x:c>
      <x:c r="C502" s="13" t="n">
        <x:v>0.6243055555555556</x:v>
      </x:c>
      <x:c r="D502" t="str">
        <x:v>Damak</x:v>
      </x:c>
      <x:c r="E502" t="str">
        <x:v>Milan’s Bakery</x:v>
      </x:c>
      <x:c r="F502" s="14" t="n">
        <x:v>1300</x:v>
      </x:c>
      <x:c r="G502" t="str">
        <x:v>DEMO / SIMULATED</x:v>
      </x:c>
    </x:row>
    <x:row r="503">
      <x:c r="A503" t="str">
        <x:v>JFD-20240813-0501</x:v>
      </x:c>
      <x:c r="B503" s="11" t="n">
        <x:v>45517.85625</x:v>
      </x:c>
      <x:c r="C503" s="13" t="n">
        <x:v>0.85625</x:v>
      </x:c>
      <x:c r="D503" t="str">
        <x:v>Birtamode</x:v>
      </x:c>
      <x:c r="E503" t="str">
        <x:v>Pizza Ghar</x:v>
      </x:c>
      <x:c r="F503" s="14" t="n">
        <x:v>795</x:v>
      </x:c>
      <x:c r="G503" t="str">
        <x:v>DEMO / SIMULATED</x:v>
      </x:c>
    </x:row>
    <x:row r="504">
      <x:c r="A504" t="str">
        <x:v>JFD-20240312-0502</x:v>
      </x:c>
      <x:c r="B504" s="11" t="n">
        <x:v>45363.427083333336</x:v>
      </x:c>
      <x:c r="C504" s="13" t="n">
        <x:v>0.4270833333333333</x:v>
      </x:c>
      <x:c r="D504" t="str">
        <x:v>Birtamode</x:v>
      </x:c>
      <x:c r="E504" t="str">
        <x:v>Pizza Ghar</x:v>
      </x:c>
      <x:c r="F504" s="14" t="n">
        <x:v>960</x:v>
      </x:c>
      <x:c r="G504" t="str">
        <x:v>DEMO / SIMULATED</x:v>
      </x:c>
    </x:row>
    <x:row r="505">
      <x:c r="A505" t="str">
        <x:v>JFD-20230330-0503</x:v>
      </x:c>
      <x:c r="B505" s="11" t="n">
        <x:v>45015.4875</x:v>
      </x:c>
      <x:c r="C505" s="13" t="n">
        <x:v>0.4875</x:v>
      </x:c>
      <x:c r="D505" t="str">
        <x:v>Birtamode</x:v>
      </x:c>
      <x:c r="E505" t="str">
        <x:v>Pizza Ghar</x:v>
      </x:c>
      <x:c r="F505" s="14" t="n">
        <x:v>990</x:v>
      </x:c>
      <x:c r="G505" t="str">
        <x:v>DEMO / SIMULATED</x:v>
      </x:c>
    </x:row>
    <x:row r="506">
      <x:c r="A506" t="str">
        <x:v>JFD-20260510-0504</x:v>
      </x:c>
      <x:c r="B506" s="11" t="n">
        <x:v>46152.44861111111</x:v>
      </x:c>
      <x:c r="C506" s="13" t="n">
        <x:v>0.4486111111111111</x:v>
      </x:c>
      <x:c r="D506" t="str">
        <x:v>Birtamode</x:v>
      </x:c>
      <x:c r="E506" t="str">
        <x:v>The Underground Cafe &amp; Restaurant</x:v>
      </x:c>
      <x:c r="F506" s="14" t="n">
        <x:v>80</x:v>
      </x:c>
      <x:c r="G506" t="str">
        <x:v>DEMO / SIMULATED</x:v>
      </x:c>
    </x:row>
    <x:row r="507">
      <x:c r="A507" t="str">
        <x:v>JFD-20250405-0505</x:v>
      </x:c>
      <x:c r="B507" s="11" t="n">
        <x:v>45752.58819444444</x:v>
      </x:c>
      <x:c r="C507" s="13" t="n">
        <x:v>0.5881944444444445</x:v>
      </x:c>
      <x:c r="D507" t="str">
        <x:v>Damak</x:v>
      </x:c>
      <x:c r="E507" t="str">
        <x:v>Late Night Cravings</x:v>
      </x:c>
      <x:c r="F507" s="14" t="n">
        <x:v>1080</x:v>
      </x:c>
      <x:c r="G507" t="str">
        <x:v>DEMO / SIMULATED</x:v>
      </x:c>
    </x:row>
    <x:row r="508">
      <x:c r="A508" t="str">
        <x:v>JFD-20231220-0506</x:v>
      </x:c>
      <x:c r="B508" s="11" t="n">
        <x:v>45280.802777777775</x:v>
      </x:c>
      <x:c r="C508" s="13" t="n">
        <x:v>0.8027777777777778</x:v>
      </x:c>
      <x:c r="D508" t="str">
        <x:v>Damak</x:v>
      </x:c>
      <x:c r="E508" t="str">
        <x:v>Milan’s Bakery</x:v>
      </x:c>
      <x:c r="F508" s="14" t="n">
        <x:v>790</x:v>
      </x:c>
      <x:c r="G508" t="str">
        <x:v>DEMO / SIMULATED</x:v>
      </x:c>
    </x:row>
    <x:row r="509">
      <x:c r="A509" t="str">
        <x:v>JFD-20251125-0507</x:v>
      </x:c>
      <x:c r="B509" s="11" t="n">
        <x:v>45986.41805555556</x:v>
      </x:c>
      <x:c r="C509" s="13" t="n">
        <x:v>0.41805555555555557</x:v>
      </x:c>
      <x:c r="D509" t="str">
        <x:v>Damak</x:v>
      </x:c>
      <x:c r="E509" t="str">
        <x:v>Milan’s Bakery</x:v>
      </x:c>
      <x:c r="F509" s="14" t="n">
        <x:v>120</x:v>
      </x:c>
      <x:c r="G509" t="str">
        <x:v>DEMO / SIMULATED</x:v>
      </x:c>
    </x:row>
    <x:row r="510">
      <x:c r="A510" t="str">
        <x:v>JFD-20231206-0508</x:v>
      </x:c>
      <x:c r="B510" s="11" t="n">
        <x:v>45266.4625</x:v>
      </x:c>
      <x:c r="C510" s="13" t="n">
        <x:v>0.4625</x:v>
      </x:c>
      <x:c r="D510" t="str">
        <x:v>Birtamode</x:v>
      </x:c>
      <x:c r="E510" t="str">
        <x:v>The Underground Cafe &amp; Restaurant</x:v>
      </x:c>
      <x:c r="F510" s="14" t="n">
        <x:v>1060</x:v>
      </x:c>
      <x:c r="G510" t="str">
        <x:v>DEMO / SIMULATED</x:v>
      </x:c>
    </x:row>
    <x:row r="511">
      <x:c r="A511" t="str">
        <x:v>JFD-20230814-0509</x:v>
      </x:c>
      <x:c r="B511" s="11" t="n">
        <x:v>45152.424305555556</x:v>
      </x:c>
      <x:c r="C511" s="13" t="n">
        <x:v>0.42430555555555555</x:v>
      </x:c>
      <x:c r="D511" t="str">
        <x:v>Birtamode</x:v>
      </x:c>
      <x:c r="E511" t="str">
        <x:v>The Underground Cafe &amp; Restaurant</x:v>
      </x:c>
      <x:c r="F511" s="14" t="n">
        <x:v>545</x:v>
      </x:c>
      <x:c r="G511" t="str">
        <x:v>DEMO / SIMULATED</x:v>
      </x:c>
    </x:row>
    <x:row r="512">
      <x:c r="A512" t="str">
        <x:v>JFD-20251015-0510</x:v>
      </x:c>
      <x:c r="B512" s="11" t="n">
        <x:v>45945.68680555555</x:v>
      </x:c>
      <x:c r="C512" s="13" t="n">
        <x:v>0.6868055555555556</x:v>
      </x:c>
      <x:c r="D512" t="str">
        <x:v>Damak</x:v>
      </x:c>
      <x:c r="E512" t="str">
        <x:v>Milan’s Bakery</x:v>
      </x:c>
      <x:c r="F512" s="14" t="n">
        <x:v>660</x:v>
      </x:c>
      <x:c r="G512" t="str">
        <x:v>DEMO / SIMULATED</x:v>
      </x:c>
    </x:row>
    <x:row r="513">
      <x:c r="A513" t="str">
        <x:v>JFD-20251002-0511</x:v>
      </x:c>
      <x:c r="B513" s="11" t="n">
        <x:v>45932.85138888889</x:v>
      </x:c>
      <x:c r="C513" s="13" t="n">
        <x:v>0.8513888888888889</x:v>
      </x:c>
      <x:c r="D513" t="str">
        <x:v>Damak</x:v>
      </x:c>
      <x:c r="E513" t="str">
        <x:v>Milan’s Bakery</x:v>
      </x:c>
      <x:c r="F513" s="14" t="n">
        <x:v>95</x:v>
      </x:c>
      <x:c r="G513" t="str">
        <x:v>DEMO / SIMULATED</x:v>
      </x:c>
    </x:row>
    <x:row r="514">
      <x:c r="A514" t="str">
        <x:v>JFD-20260115-0512</x:v>
      </x:c>
      <x:c r="B514" s="11" t="n">
        <x:v>46037.67847222222</x:v>
      </x:c>
      <x:c r="C514" s="13" t="n">
        <x:v>0.6784722222222223</x:v>
      </x:c>
      <x:c r="D514" t="str">
        <x:v>Birtamode</x:v>
      </x:c>
      <x:c r="E514" t="str">
        <x:v>Pizza Ghar</x:v>
      </x:c>
      <x:c r="F514" s="14" t="n">
        <x:v>2310</x:v>
      </x:c>
      <x:c r="G514" t="str">
        <x:v>DEMO / SIMULATED</x:v>
      </x:c>
    </x:row>
    <x:row r="515">
      <x:c r="A515" t="str">
        <x:v>JFD-20250318-0513</x:v>
      </x:c>
      <x:c r="B515" s="11" t="n">
        <x:v>45734.61875</x:v>
      </x:c>
      <x:c r="C515" s="13" t="n">
        <x:v>0.61875</x:v>
      </x:c>
      <x:c r="D515" t="str">
        <x:v>Damak</x:v>
      </x:c>
      <x:c r="E515" t="str">
        <x:v>Milan’s Bakery</x:v>
      </x:c>
      <x:c r="F515" s="14" t="n">
        <x:v>1225</x:v>
      </x:c>
      <x:c r="G515" t="str">
        <x:v>DEMO / SIMULATED</x:v>
      </x:c>
    </x:row>
    <x:row r="516">
      <x:c r="A516" t="str">
        <x:v>JFD-20240508-0514</x:v>
      </x:c>
      <x:c r="B516" s="11" t="n">
        <x:v>45420.71319444444</x:v>
      </x:c>
      <x:c r="C516" s="13" t="n">
        <x:v>0.7131944444444445</x:v>
      </x:c>
      <x:c r="D516" t="str">
        <x:v>Damak</x:v>
      </x:c>
      <x:c r="E516" t="str">
        <x:v>Milan’s Bakery</x:v>
      </x:c>
      <x:c r="F516" s="14" t="n">
        <x:v>2740</x:v>
      </x:c>
      <x:c r="G516" t="str">
        <x:v>DEMO / SIMULATED</x:v>
      </x:c>
    </x:row>
    <x:row r="517">
      <x:c r="A517" t="str">
        <x:v>JFD-20250130-0515</x:v>
      </x:c>
      <x:c r="B517" s="11" t="n">
        <x:v>45687.455555555556</x:v>
      </x:c>
      <x:c r="C517" s="13" t="n">
        <x:v>0.45555555555555555</x:v>
      </x:c>
      <x:c r="D517" t="str">
        <x:v>Damak</x:v>
      </x:c>
      <x:c r="E517" t="str">
        <x:v>Milan’s Bakery</x:v>
      </x:c>
      <x:c r="F517" s="14" t="n">
        <x:v>965</x:v>
      </x:c>
      <x:c r="G517" t="str">
        <x:v>DEMO / SIMULATED</x:v>
      </x:c>
    </x:row>
    <x:row r="518">
      <x:c r="A518" t="str">
        <x:v>JFD-20260326-0516</x:v>
      </x:c>
      <x:c r="B518" s="11" t="n">
        <x:v>46107.90555555555</x:v>
      </x:c>
      <x:c r="C518" s="13" t="n">
        <x:v>0.9055555555555556</x:v>
      </x:c>
      <x:c r="D518" t="str">
        <x:v>Birtamode</x:v>
      </x:c>
      <x:c r="E518" t="str">
        <x:v>Pizza Ghar</x:v>
      </x:c>
      <x:c r="F518" s="14" t="n">
        <x:v>900</x:v>
      </x:c>
      <x:c r="G518" t="str">
        <x:v>DEMO / SIMULATED</x:v>
      </x:c>
    </x:row>
    <x:row r="519">
      <x:c r="A519" t="str">
        <x:v>JFD-20240730-0517</x:v>
      </x:c>
      <x:c r="B519" s="11" t="n">
        <x:v>45503.73819444444</x:v>
      </x:c>
      <x:c r="C519" s="13" t="n">
        <x:v>0.7381944444444445</x:v>
      </x:c>
      <x:c r="D519" t="str">
        <x:v>Damak</x:v>
      </x:c>
      <x:c r="E519" t="str">
        <x:v>Milan’s Bakery</x:v>
      </x:c>
      <x:c r="F519" s="14" t="n">
        <x:v>1150</x:v>
      </x:c>
      <x:c r="G519" t="str">
        <x:v>DEMO / SIMULATED</x:v>
      </x:c>
    </x:row>
    <x:row r="520">
      <x:c r="A520" t="str">
        <x:v>JFD-20250120-0518</x:v>
      </x:c>
      <x:c r="B520" s="11" t="n">
        <x:v>45677.444444444445</x:v>
      </x:c>
      <x:c r="C520" s="13" t="n">
        <x:v>0.4444444444444444</x:v>
      </x:c>
      <x:c r="D520" t="str">
        <x:v>Damak</x:v>
      </x:c>
      <x:c r="E520" t="str">
        <x:v>Milan’s Bakery</x:v>
      </x:c>
      <x:c r="F520" s="14" t="n">
        <x:v>3710</x:v>
      </x:c>
      <x:c r="G520" t="str">
        <x:v>DEMO / SIMULATED</x:v>
      </x:c>
    </x:row>
    <x:row r="521">
      <x:c r="A521" t="str">
        <x:v>JFD-20260105-0519</x:v>
      </x:c>
      <x:c r="B521" s="11" t="n">
        <x:v>46027.81180555555</x:v>
      </x:c>
      <x:c r="C521" s="13" t="n">
        <x:v>0.8118055555555556</x:v>
      </x:c>
      <x:c r="D521" t="str">
        <x:v>Birtamode</x:v>
      </x:c>
      <x:c r="E521" t="str">
        <x:v>Pizza Ghar</x:v>
      </x:c>
      <x:c r="F521" s="14" t="n">
        <x:v>650</x:v>
      </x:c>
      <x:c r="G521" t="str">
        <x:v>DEMO / SIMULATED</x:v>
      </x:c>
    </x:row>
    <x:row r="522">
      <x:c r="A522" t="str">
        <x:v>JFD-20260909-0520</x:v>
      </x:c>
      <x:c r="B522" s="11" t="n">
        <x:v>46274.54722222222</x:v>
      </x:c>
      <x:c r="C522" s="13" t="n">
        <x:v>0.5472222222222223</x:v>
      </x:c>
      <x:c r="D522" t="str">
        <x:v>Birtamode</x:v>
      </x:c>
      <x:c r="E522" t="str">
        <x:v>Pizza Ghar</x:v>
      </x:c>
      <x:c r="F522" s="14" t="n">
        <x:v>120</x:v>
      </x:c>
      <x:c r="G522" t="str">
        <x:v>DEMO / SIMULATED</x:v>
      </x:c>
    </x:row>
    <x:row r="523">
      <x:c r="A523" t="str">
        <x:v>JFD-20230427-0521</x:v>
      </x:c>
      <x:c r="B523" s="11" t="n">
        <x:v>45043.811111111114</x:v>
      </x:c>
      <x:c r="C523" s="13" t="n">
        <x:v>0.8111111111111111</x:v>
      </x:c>
      <x:c r="D523" t="str">
        <x:v>Birtamode</x:v>
      </x:c>
      <x:c r="E523" t="str">
        <x:v>Pizza Ghar</x:v>
      </x:c>
      <x:c r="F523" s="14" t="n">
        <x:v>980</x:v>
      </x:c>
      <x:c r="G523" t="str">
        <x:v>DEMO / SIMULATED</x:v>
      </x:c>
    </x:row>
    <x:row r="524">
      <x:c r="A524" t="str">
        <x:v>JFD-20260407-0522</x:v>
      </x:c>
      <x:c r="B524" s="11" t="n">
        <x:v>46119.53402777778</x:v>
      </x:c>
      <x:c r="C524" s="13" t="n">
        <x:v>0.5340277777777778</x:v>
      </x:c>
      <x:c r="D524" t="str">
        <x:v>Damak</x:v>
      </x:c>
      <x:c r="E524" t="str">
        <x:v>Late Night Cravings</x:v>
      </x:c>
      <x:c r="F524" s="14" t="n">
        <x:v>400</x:v>
      </x:c>
      <x:c r="G524" t="str">
        <x:v>DEMO / SIMULATED</x:v>
      </x:c>
    </x:row>
    <x:row r="525">
      <x:c r="A525" t="str">
        <x:v>JFD-20230111-0523</x:v>
      </x:c>
      <x:c r="B525" s="11" t="n">
        <x:v>44937.75763888889</x:v>
      </x:c>
      <x:c r="C525" s="13" t="n">
        <x:v>0.7576388888888889</x:v>
      </x:c>
      <x:c r="D525" t="str">
        <x:v>Damak</x:v>
      </x:c>
      <x:c r="E525" t="str">
        <x:v>Milan’s Bakery</x:v>
      </x:c>
      <x:c r="F525" s="14" t="n">
        <x:v>740</x:v>
      </x:c>
      <x:c r="G525" t="str">
        <x:v>DEMO / SIMULATED</x:v>
      </x:c>
    </x:row>
    <x:row r="526">
      <x:c r="A526" t="str">
        <x:v>JFD-20251119-0524</x:v>
      </x:c>
      <x:c r="B526" s="11" t="n">
        <x:v>45980.91388888889</x:v>
      </x:c>
      <x:c r="C526" s="13" t="n">
        <x:v>0.9138888888888889</x:v>
      </x:c>
      <x:c r="D526" t="str">
        <x:v>Damak</x:v>
      </x:c>
      <x:c r="E526" t="str">
        <x:v>Milan’s Bakery</x:v>
      </x:c>
      <x:c r="F526" s="14" t="n">
        <x:v>190</x:v>
      </x:c>
      <x:c r="G526" t="str">
        <x:v>DEMO / SIMULATED</x:v>
      </x:c>
    </x:row>
    <x:row r="527">
      <x:c r="A527" t="str">
        <x:v>JFD-20240802-0525</x:v>
      </x:c>
      <x:c r="B527" s="11" t="n">
        <x:v>45506.60486111111</x:v>
      </x:c>
      <x:c r="C527" s="13" t="n">
        <x:v>0.6048611111111111</x:v>
      </x:c>
      <x:c r="D527" t="str">
        <x:v>Birtamode</x:v>
      </x:c>
      <x:c r="E527" t="str">
        <x:v>Pizza Ghar</x:v>
      </x:c>
      <x:c r="F527" s="14" t="n">
        <x:v>265</x:v>
      </x:c>
      <x:c r="G527" t="str">
        <x:v>DEMO / SIMULATED</x:v>
      </x:c>
    </x:row>
    <x:row r="528">
      <x:c r="A528" t="str">
        <x:v>JFD-20240618-0526</x:v>
      </x:c>
      <x:c r="B528" s="11" t="n">
        <x:v>45461.84444444445</x:v>
      </x:c>
      <x:c r="C528" s="13" t="n">
        <x:v>0.8444444444444444</x:v>
      </x:c>
      <x:c r="D528" t="str">
        <x:v>Damak</x:v>
      </x:c>
      <x:c r="E528" t="str">
        <x:v>Milan’s Bakery</x:v>
      </x:c>
      <x:c r="F528" s="14" t="n">
        <x:v>935</x:v>
      </x:c>
      <x:c r="G528" t="str">
        <x:v>DEMO / SIMULATED</x:v>
      </x:c>
    </x:row>
    <x:row r="529">
      <x:c r="A529" t="str">
        <x:v>JFD-20260926-0527</x:v>
      </x:c>
      <x:c r="B529" s="11" t="n">
        <x:v>46291.885416666664</x:v>
      </x:c>
      <x:c r="C529" s="13" t="n">
        <x:v>0.8854166666666666</x:v>
      </x:c>
      <x:c r="D529" t="str">
        <x:v>Damak</x:v>
      </x:c>
      <x:c r="E529" t="str">
        <x:v>Late Night Cravings</x:v>
      </x:c>
      <x:c r="F529" s="14" t="n">
        <x:v>840</x:v>
      </x:c>
      <x:c r="G529" t="str">
        <x:v>DEMO / SIMULATED</x:v>
      </x:c>
    </x:row>
    <x:row r="530">
      <x:c r="A530" t="str">
        <x:v>JFD-20241204-0528</x:v>
      </x:c>
      <x:c r="B530" s="11" t="n">
        <x:v>45630.74236111111</x:v>
      </x:c>
      <x:c r="C530" s="13" t="n">
        <x:v>0.7423611111111111</x:v>
      </x:c>
      <x:c r="D530" t="str">
        <x:v>Damak</x:v>
      </x:c>
      <x:c r="E530" t="str">
        <x:v>Milan’s Bakery</x:v>
      </x:c>
      <x:c r="F530" s="14" t="n">
        <x:v>3465</x:v>
      </x:c>
      <x:c r="G530" t="str">
        <x:v>DEMO / SIMULATED</x:v>
      </x:c>
    </x:row>
    <x:row r="531">
      <x:c r="A531" t="str">
        <x:v>JFD-20260618-0529</x:v>
      </x:c>
      <x:c r="B531" s="11" t="n">
        <x:v>46191.544444444444</x:v>
      </x:c>
      <x:c r="C531" s="13" t="n">
        <x:v>0.5444444444444444</x:v>
      </x:c>
      <x:c r="D531" t="str">
        <x:v>Birtamode</x:v>
      </x:c>
      <x:c r="E531" t="str">
        <x:v>The Underground Cafe &amp; Restaurant</x:v>
      </x:c>
      <x:c r="F531" s="14" t="n">
        <x:v>175</x:v>
      </x:c>
      <x:c r="G531" t="str">
        <x:v>DEMO / SIMULATED</x:v>
      </x:c>
    </x:row>
    <x:row r="532">
      <x:c r="A532" t="str">
        <x:v>JFD-20230701-0530</x:v>
      </x:c>
      <x:c r="B532" s="11" t="n">
        <x:v>45108.888194444444</x:v>
      </x:c>
      <x:c r="C532" s="13" t="n">
        <x:v>0.8881944444444444</x:v>
      </x:c>
      <x:c r="D532" t="str">
        <x:v>Damak</x:v>
      </x:c>
      <x:c r="E532" t="str">
        <x:v>Milan’s Bakery</x:v>
      </x:c>
      <x:c r="F532" s="14" t="n">
        <x:v>735</x:v>
      </x:c>
      <x:c r="G532" t="str">
        <x:v>DEMO / SIMULATED</x:v>
      </x:c>
    </x:row>
    <x:row r="533">
      <x:c r="A533" t="str">
        <x:v>JFD-20230911-0531</x:v>
      </x:c>
      <x:c r="B533" s="11" t="n">
        <x:v>45180.79652777778</x:v>
      </x:c>
      <x:c r="C533" s="13" t="n">
        <x:v>0.7965277777777777</x:v>
      </x:c>
      <x:c r="D533" t="str">
        <x:v>Birtamode</x:v>
      </x:c>
      <x:c r="E533" t="str">
        <x:v>The Underground Cafe &amp; Restaurant</x:v>
      </x:c>
      <x:c r="F533" s="14" t="n">
        <x:v>145</x:v>
      </x:c>
      <x:c r="G533" t="str">
        <x:v>DEMO / SIMULATED</x:v>
      </x:c>
    </x:row>
    <x:row r="534">
      <x:c r="A534" t="str">
        <x:v>JFD-20230103-0532</x:v>
      </x:c>
      <x:c r="B534" s="11" t="n">
        <x:v>44929.70208333333</x:v>
      </x:c>
      <x:c r="C534" s="13" t="n">
        <x:v>0.7020833333333333</x:v>
      </x:c>
      <x:c r="D534" t="str">
        <x:v>Birtamode</x:v>
      </x:c>
      <x:c r="E534" t="str">
        <x:v>The Underground Cafe &amp; Restaurant</x:v>
      </x:c>
      <x:c r="F534" s="14" t="n">
        <x:v>250</x:v>
      </x:c>
      <x:c r="G534" t="str">
        <x:v>DEMO / SIMULATED</x:v>
      </x:c>
    </x:row>
    <x:row r="535">
      <x:c r="A535" t="str">
        <x:v>JFD-20231203-0533</x:v>
      </x:c>
      <x:c r="B535" s="11" t="n">
        <x:v>45263.59305555555</x:v>
      </x:c>
      <x:c r="C535" s="13" t="n">
        <x:v>0.5930555555555556</x:v>
      </x:c>
      <x:c r="D535" t="str">
        <x:v>Damak</x:v>
      </x:c>
      <x:c r="E535" t="str">
        <x:v>Milan’s Bakery</x:v>
      </x:c>
      <x:c r="F535" s="14" t="n">
        <x:v>1630</x:v>
      </x:c>
      <x:c r="G535" t="str">
        <x:v>DEMO / SIMULATED</x:v>
      </x:c>
    </x:row>
    <x:row r="536">
      <x:c r="A536" t="str">
        <x:v>JFD-20240303-0534</x:v>
      </x:c>
      <x:c r="B536" s="11" t="n">
        <x:v>45354.606944444444</x:v>
      </x:c>
      <x:c r="C536" s="13" t="n">
        <x:v>0.6069444444444444</x:v>
      </x:c>
      <x:c r="D536" t="str">
        <x:v>Birtamode</x:v>
      </x:c>
      <x:c r="E536" t="str">
        <x:v>Pizza Ghar</x:v>
      </x:c>
      <x:c r="F536" s="14" t="n">
        <x:v>780</x:v>
      </x:c>
      <x:c r="G536" t="str">
        <x:v>DEMO / SIMULATED</x:v>
      </x:c>
    </x:row>
    <x:row r="537">
      <x:c r="A537" t="str">
        <x:v>JFD-20251001-0535</x:v>
      </x:c>
      <x:c r="B537" s="11" t="n">
        <x:v>45931.81875</x:v>
      </x:c>
      <x:c r="C537" s="13" t="n">
        <x:v>0.81875</x:v>
      </x:c>
      <x:c r="D537" t="str">
        <x:v>Birtamode</x:v>
      </x:c>
      <x:c r="E537" t="str">
        <x:v>Pizza Ghar</x:v>
      </x:c>
      <x:c r="F537" s="14" t="n">
        <x:v>1060</x:v>
      </x:c>
      <x:c r="G537" t="str">
        <x:v>DEMO / SIMULATED</x:v>
      </x:c>
    </x:row>
    <x:row r="538">
      <x:c r="A538" t="str">
        <x:v>JFD-20230113-0536</x:v>
      </x:c>
      <x:c r="B538" s="11" t="n">
        <x:v>44939.84930555556</x:v>
      </x:c>
      <x:c r="C538" s="13" t="n">
        <x:v>0.8493055555555555</x:v>
      </x:c>
      <x:c r="D538" t="str">
        <x:v>Birtamode</x:v>
      </x:c>
      <x:c r="E538" t="str">
        <x:v>Pizza Ghar</x:v>
      </x:c>
      <x:c r="F538" s="14" t="n">
        <x:v>1085</x:v>
      </x:c>
      <x:c r="G538" t="str">
        <x:v>DEMO / SIMULATED</x:v>
      </x:c>
    </x:row>
    <x:row r="539">
      <x:c r="A539" t="str">
        <x:v>JFD-20241202-0537</x:v>
      </x:c>
      <x:c r="B539" s="11" t="n">
        <x:v>45628.61736111111</x:v>
      </x:c>
      <x:c r="C539" s="13" t="n">
        <x:v>0.6173611111111111</x:v>
      </x:c>
      <x:c r="D539" t="str">
        <x:v>Birtamode</x:v>
      </x:c>
      <x:c r="E539" t="str">
        <x:v>The Underground Cafe &amp; Restaurant</x:v>
      </x:c>
      <x:c r="F539" s="14" t="n">
        <x:v>1250</x:v>
      </x:c>
      <x:c r="G539" t="str">
        <x:v>DEMO / SIMULATED</x:v>
      </x:c>
    </x:row>
    <x:row r="540">
      <x:c r="A540" t="str">
        <x:v>JFD-20230715-0538</x:v>
      </x:c>
      <x:c r="B540" s="11" t="n">
        <x:v>45122.60486111111</x:v>
      </x:c>
      <x:c r="C540" s="13" t="n">
        <x:v>0.6048611111111111</x:v>
      </x:c>
      <x:c r="D540" t="str">
        <x:v>Damak</x:v>
      </x:c>
      <x:c r="E540" t="str">
        <x:v>Milan’s Bakery</x:v>
      </x:c>
      <x:c r="F540" s="14" t="n">
        <x:v>895</x:v>
      </x:c>
      <x:c r="G540" t="str">
        <x:v>DEMO / SIMULATED</x:v>
      </x:c>
    </x:row>
    <x:row r="541">
      <x:c r="A541" t="str">
        <x:v>JFD-20260607-0539</x:v>
      </x:c>
      <x:c r="B541" s="11" t="n">
        <x:v>46180.52638888889</x:v>
      </x:c>
      <x:c r="C541" s="13" t="n">
        <x:v>0.5263888888888889</x:v>
      </x:c>
      <x:c r="D541" t="str">
        <x:v>Birtamode</x:v>
      </x:c>
      <x:c r="E541" t="str">
        <x:v>The Underground Cafe &amp; Restaurant</x:v>
      </x:c>
      <x:c r="F541" s="14" t="n">
        <x:v>640</x:v>
      </x:c>
      <x:c r="G541" t="str">
        <x:v>DEMO / SIMULATED</x:v>
      </x:c>
    </x:row>
    <x:row r="542">
      <x:c r="A542" t="str">
        <x:v>JFD-20251215-0540</x:v>
      </x:c>
      <x:c r="B542" s="11" t="n">
        <x:v>46006.88125</x:v>
      </x:c>
      <x:c r="C542" s="13" t="n">
        <x:v>0.88125</x:v>
      </x:c>
      <x:c r="D542" t="str">
        <x:v>Birtamode</x:v>
      </x:c>
      <x:c r="E542" t="str">
        <x:v>The Underground Cafe &amp; Restaurant</x:v>
      </x:c>
      <x:c r="F542" s="14" t="n">
        <x:v>630</x:v>
      </x:c>
      <x:c r="G542" t="str">
        <x:v>DEMO / SIMULATED</x:v>
      </x:c>
    </x:row>
    <x:row r="543">
      <x:c r="A543" t="str">
        <x:v>JFD-20250503-0541</x:v>
      </x:c>
      <x:c r="B543" s="11" t="n">
        <x:v>45780.60277777778</x:v>
      </x:c>
      <x:c r="C543" s="13" t="n">
        <x:v>0.6027777777777777</x:v>
      </x:c>
      <x:c r="D543" t="str">
        <x:v>Birtamode</x:v>
      </x:c>
      <x:c r="E543" t="str">
        <x:v>Pizza Ghar</x:v>
      </x:c>
      <x:c r="F543" s="14" t="n">
        <x:v>2425</x:v>
      </x:c>
      <x:c r="G543" t="str">
        <x:v>DEMO / SIMULATED</x:v>
      </x:c>
    </x:row>
    <x:row r="544">
      <x:c r="A544" t="str">
        <x:v>JFD-20230326-0542</x:v>
      </x:c>
      <x:c r="B544" s="11" t="n">
        <x:v>45011.77222222222</x:v>
      </x:c>
      <x:c r="C544" s="13" t="n">
        <x:v>0.7722222222222223</x:v>
      </x:c>
      <x:c r="D544" t="str">
        <x:v>Birtamode</x:v>
      </x:c>
      <x:c r="E544" t="str">
        <x:v>Pizza Ghar</x:v>
      </x:c>
      <x:c r="F544" s="14" t="n">
        <x:v>940</x:v>
      </x:c>
      <x:c r="G544" t="str">
        <x:v>DEMO / SIMULATED</x:v>
      </x:c>
    </x:row>
    <x:row r="545">
      <x:c r="A545" t="str">
        <x:v>JFD-20231211-0543</x:v>
      </x:c>
      <x:c r="B545" s="11" t="n">
        <x:v>45271.54791666667</x:v>
      </x:c>
      <x:c r="C545" s="13" t="n">
        <x:v>0.5479166666666667</x:v>
      </x:c>
      <x:c r="D545" t="str">
        <x:v>Birtamode</x:v>
      </x:c>
      <x:c r="E545" t="str">
        <x:v>The Underground Cafe &amp; Restaurant</x:v>
      </x:c>
      <x:c r="F545" s="14" t="n">
        <x:v>80</x:v>
      </x:c>
      <x:c r="G545" t="str">
        <x:v>DEMO / SIMULATED</x:v>
      </x:c>
    </x:row>
    <x:row r="546">
      <x:c r="A546" t="str">
        <x:v>JFD-20230911-0544</x:v>
      </x:c>
      <x:c r="B546" s="11" t="n">
        <x:v>45180.700694444444</x:v>
      </x:c>
      <x:c r="C546" s="13" t="n">
        <x:v>0.7006944444444444</x:v>
      </x:c>
      <x:c r="D546" t="str">
        <x:v>Damak</x:v>
      </x:c>
      <x:c r="E546" t="str">
        <x:v>Milan’s Bakery</x:v>
      </x:c>
      <x:c r="F546" s="14" t="n">
        <x:v>490</x:v>
      </x:c>
      <x:c r="G546" t="str">
        <x:v>DEMO / SIMULATED</x:v>
      </x:c>
    </x:row>
    <x:row r="547">
      <x:c r="A547" t="str">
        <x:v>JFD-20240621-0545</x:v>
      </x:c>
      <x:c r="B547" s="11" t="n">
        <x:v>45464.470138888886</x:v>
      </x:c>
      <x:c r="C547" s="13" t="n">
        <x:v>0.4701388888888889</x:v>
      </x:c>
      <x:c r="D547" t="str">
        <x:v>Birtamode</x:v>
      </x:c>
      <x:c r="E547" t="str">
        <x:v>Pizza Ghar</x:v>
      </x:c>
      <x:c r="F547" s="14" t="n">
        <x:v>850</x:v>
      </x:c>
      <x:c r="G547" t="str">
        <x:v>DEMO / SIMULATED</x:v>
      </x:c>
    </x:row>
    <x:row r="548">
      <x:c r="A548" t="str">
        <x:v>JFD-20251030-0546</x:v>
      </x:c>
      <x:c r="B548" s="11" t="n">
        <x:v>45960.72222222222</x:v>
      </x:c>
      <x:c r="C548" s="13" t="n">
        <x:v>0.7222222222222222</x:v>
      </x:c>
      <x:c r="D548" t="str">
        <x:v>Birtamode</x:v>
      </x:c>
      <x:c r="E548" t="str">
        <x:v>The Underground Cafe &amp; Restaurant</x:v>
      </x:c>
      <x:c r="F548" s="14" t="n">
        <x:v>795</x:v>
      </x:c>
      <x:c r="G548" t="str">
        <x:v>DEMO / SIMULATED</x:v>
      </x:c>
    </x:row>
    <x:row r="549">
      <x:c r="A549" t="str">
        <x:v>JFD-20240410-0547</x:v>
      </x:c>
      <x:c r="B549" s="11" t="n">
        <x:v>45392.55347222222</x:v>
      </x:c>
      <x:c r="C549" s="13" t="n">
        <x:v>0.5534722222222223</x:v>
      </x:c>
      <x:c r="D549" t="str">
        <x:v>Birtamode</x:v>
      </x:c>
      <x:c r="E549" t="str">
        <x:v>Pizza Ghar</x:v>
      </x:c>
      <x:c r="F549" s="14" t="n">
        <x:v>530</x:v>
      </x:c>
      <x:c r="G549" t="str">
        <x:v>DEMO / SIMULATED</x:v>
      </x:c>
    </x:row>
    <x:row r="550">
      <x:c r="A550" t="str">
        <x:v>JFD-20260602-0548</x:v>
      </x:c>
      <x:c r="B550" s="11" t="n">
        <x:v>46175.686111111114</x:v>
      </x:c>
      <x:c r="C550" s="13" t="n">
        <x:v>0.6861111111111111</x:v>
      </x:c>
      <x:c r="D550" t="str">
        <x:v>Birtamode</x:v>
      </x:c>
      <x:c r="E550" t="str">
        <x:v>The Underground Cafe &amp; Restaurant</x:v>
      </x:c>
      <x:c r="F550" s="14" t="n">
        <x:v>975</x:v>
      </x:c>
      <x:c r="G550" t="str">
        <x:v>DEMO / SIMULATED</x:v>
      </x:c>
    </x:row>
    <x:row r="551">
      <x:c r="A551" t="str">
        <x:v>JFD-20240520-0549</x:v>
      </x:c>
      <x:c r="B551" s="11" t="n">
        <x:v>45432.72361111111</x:v>
      </x:c>
      <x:c r="C551" s="13" t="n">
        <x:v>0.7236111111111111</x:v>
      </x:c>
      <x:c r="D551" t="str">
        <x:v>Damak</x:v>
      </x:c>
      <x:c r="E551" t="str">
        <x:v>Late Night Cravings</x:v>
      </x:c>
      <x:c r="F551" s="14" t="n">
        <x:v>455</x:v>
      </x:c>
      <x:c r="G551" t="str">
        <x:v>DEMO / SIMULATED</x:v>
      </x:c>
    </x:row>
    <x:row r="552">
      <x:c r="A552" t="str">
        <x:v>JFD-20230325-0550</x:v>
      </x:c>
      <x:c r="B552" s="11" t="n">
        <x:v>45010.63263888889</x:v>
      </x:c>
      <x:c r="C552" s="13" t="n">
        <x:v>0.6326388888888889</x:v>
      </x:c>
      <x:c r="D552" t="str">
        <x:v>Birtamode</x:v>
      </x:c>
      <x:c r="E552" t="str">
        <x:v>The Underground Cafe &amp; Restaurant</x:v>
      </x:c>
      <x:c r="F552" s="14" t="n">
        <x:v>1135</x:v>
      </x:c>
      <x:c r="G552" t="str">
        <x:v>DEMO / SIMULATED</x:v>
      </x:c>
    </x:row>
    <x:row r="553">
      <x:c r="A553" t="str">
        <x:v>JFD-20260101-0551</x:v>
      </x:c>
      <x:c r="B553" s="11" t="n">
        <x:v>46023.57083333333</x:v>
      </x:c>
      <x:c r="C553" s="13" t="n">
        <x:v>0.5708333333333333</x:v>
      </x:c>
      <x:c r="D553" t="str">
        <x:v>Birtamode</x:v>
      </x:c>
      <x:c r="E553" t="str">
        <x:v>Pizza Ghar</x:v>
      </x:c>
      <x:c r="F553" s="14" t="n">
        <x:v>160</x:v>
      </x:c>
      <x:c r="G553" t="str">
        <x:v>DEMO / SIMULATED</x:v>
      </x:c>
    </x:row>
    <x:row r="554">
      <x:c r="A554" t="str">
        <x:v>JFD-20260821-0552</x:v>
      </x:c>
      <x:c r="B554" s="11" t="n">
        <x:v>46255.82083333333</x:v>
      </x:c>
      <x:c r="C554" s="13" t="n">
        <x:v>0.8208333333333333</x:v>
      </x:c>
      <x:c r="D554" t="str">
        <x:v>Damak</x:v>
      </x:c>
      <x:c r="E554" t="str">
        <x:v>Late Night Cravings</x:v>
      </x:c>
      <x:c r="F554" s="14" t="n">
        <x:v>100</x:v>
      </x:c>
      <x:c r="G554" t="str">
        <x:v>DEMO / SIMULATED</x:v>
      </x:c>
    </x:row>
    <x:row r="555">
      <x:c r="A555" t="str">
        <x:v>JFD-20241027-0553</x:v>
      </x:c>
      <x:c r="B555" s="11" t="n">
        <x:v>45592.54722222222</x:v>
      </x:c>
      <x:c r="C555" s="13" t="n">
        <x:v>0.5472222222222223</x:v>
      </x:c>
      <x:c r="D555" t="str">
        <x:v>Birtamode</x:v>
      </x:c>
      <x:c r="E555" t="str">
        <x:v>The Underground Cafe &amp; Restaurant</x:v>
      </x:c>
      <x:c r="F555" s="14" t="n">
        <x:v>955</x:v>
      </x:c>
      <x:c r="G555" t="str">
        <x:v>DEMO / SIMULATED</x:v>
      </x:c>
    </x:row>
    <x:row r="556">
      <x:c r="A556" t="str">
        <x:v>JFD-20230208-0554</x:v>
      </x:c>
      <x:c r="B556" s="11" t="n">
        <x:v>44965.47430555556</x:v>
      </x:c>
      <x:c r="C556" s="13" t="n">
        <x:v>0.47430555555555554</x:v>
      </x:c>
      <x:c r="D556" t="str">
        <x:v>Damak</x:v>
      </x:c>
      <x:c r="E556" t="str">
        <x:v>Late Night Cravings</x:v>
      </x:c>
      <x:c r="F556" s="14" t="n">
        <x:v>520</x:v>
      </x:c>
      <x:c r="G556" t="str">
        <x:v>DEMO / SIMULATED</x:v>
      </x:c>
    </x:row>
    <x:row r="557">
      <x:c r="A557" t="str">
        <x:v>JFD-20250809-0555</x:v>
      </x:c>
      <x:c r="B557" s="11" t="n">
        <x:v>45878.493055555555</x:v>
      </x:c>
      <x:c r="C557" s="13" t="n">
        <x:v>0.4930555555555556</x:v>
      </x:c>
      <x:c r="D557" t="str">
        <x:v>Birtamode</x:v>
      </x:c>
      <x:c r="E557" t="str">
        <x:v>The Underground Cafe &amp; Restaurant</x:v>
      </x:c>
      <x:c r="F557" s="14" t="n">
        <x:v>160</x:v>
      </x:c>
      <x:c r="G557" t="str">
        <x:v>DEMO / SIMULATED</x:v>
      </x:c>
    </x:row>
    <x:row r="558">
      <x:c r="A558" t="str">
        <x:v>JFD-20241022-0556</x:v>
      </x:c>
      <x:c r="B558" s="11" t="n">
        <x:v>45587.57986111111</x:v>
      </x:c>
      <x:c r="C558" s="13" t="n">
        <x:v>0.5798611111111112</x:v>
      </x:c>
      <x:c r="D558" t="str">
        <x:v>Damak</x:v>
      </x:c>
      <x:c r="E558" t="str">
        <x:v>Milan’s Bakery</x:v>
      </x:c>
      <x:c r="F558" s="14" t="n">
        <x:v>1275</x:v>
      </x:c>
      <x:c r="G558" t="str">
        <x:v>DEMO / SIMULATED</x:v>
      </x:c>
    </x:row>
    <x:row r="559">
      <x:c r="A559" t="str">
        <x:v>JFD-20260814-0557</x:v>
      </x:c>
      <x:c r="B559" s="11" t="n">
        <x:v>46248.56597222222</x:v>
      </x:c>
      <x:c r="C559" s="13" t="n">
        <x:v>0.5659722222222222</x:v>
      </x:c>
      <x:c r="D559" t="str">
        <x:v>Damak</x:v>
      </x:c>
      <x:c r="E559" t="str">
        <x:v>Milan’s Bakery</x:v>
      </x:c>
      <x:c r="F559" s="14" t="n">
        <x:v>1300</x:v>
      </x:c>
      <x:c r="G559" t="str">
        <x:v>DEMO / SIMULATED</x:v>
      </x:c>
    </x:row>
    <x:row r="560">
      <x:c r="A560" t="str">
        <x:v>JFD-20240331-0558</x:v>
      </x:c>
      <x:c r="B560" s="11" t="n">
        <x:v>45382.51736111111</x:v>
      </x:c>
      <x:c r="C560" s="13" t="n">
        <x:v>0.5173611111111112</x:v>
      </x:c>
      <x:c r="D560" t="str">
        <x:v>Damak</x:v>
      </x:c>
      <x:c r="E560" t="str">
        <x:v>Milan’s Bakery</x:v>
      </x:c>
      <x:c r="F560" s="14" t="n">
        <x:v>3690</x:v>
      </x:c>
      <x:c r="G560" t="str">
        <x:v>DEMO / SIMULATED</x:v>
      </x:c>
    </x:row>
    <x:row r="561">
      <x:c r="A561" t="str">
        <x:v>JFD-20230626-0559</x:v>
      </x:c>
      <x:c r="B561" s="11" t="n">
        <x:v>45103.711805555555</x:v>
      </x:c>
      <x:c r="C561" s="13" t="n">
        <x:v>0.7118055555555556</x:v>
      </x:c>
      <x:c r="D561" t="str">
        <x:v>Damak</x:v>
      </x:c>
      <x:c r="E561" t="str">
        <x:v>Milan’s Bakery</x:v>
      </x:c>
      <x:c r="F561" s="14" t="n">
        <x:v>735</x:v>
      </x:c>
      <x:c r="G561" t="str">
        <x:v>DEMO / SIMULATED</x:v>
      </x:c>
    </x:row>
    <x:row r="562">
      <x:c r="A562" t="str">
        <x:v>JFD-20251222-0560</x:v>
      </x:c>
      <x:c r="B562" s="11" t="n">
        <x:v>46013.525</x:v>
      </x:c>
      <x:c r="C562" s="13" t="n">
        <x:v>0.525</x:v>
      </x:c>
      <x:c r="D562" t="str">
        <x:v>Birtamode</x:v>
      </x:c>
      <x:c r="E562" t="str">
        <x:v>Pizza Ghar</x:v>
      </x:c>
      <x:c r="F562" s="14" t="n">
        <x:v>1840</x:v>
      </x:c>
      <x:c r="G562" t="str">
        <x:v>DEMO / SIMULATED</x:v>
      </x:c>
    </x:row>
    <x:row r="563">
      <x:c r="A563" t="str">
        <x:v>JFD-20250618-0561</x:v>
      </x:c>
      <x:c r="B563" s="11" t="n">
        <x:v>45826.52291666667</x:v>
      </x:c>
      <x:c r="C563" s="13" t="n">
        <x:v>0.5229166666666667</x:v>
      </x:c>
      <x:c r="D563" t="str">
        <x:v>Birtamode</x:v>
      </x:c>
      <x:c r="E563" t="str">
        <x:v>Pizza Ghar</x:v>
      </x:c>
      <x:c r="F563" s="14" t="n">
        <x:v>255</x:v>
      </x:c>
      <x:c r="G563" t="str">
        <x:v>DEMO / SIMULATED</x:v>
      </x:c>
    </x:row>
    <x:row r="564">
      <x:c r="A564" t="str">
        <x:v>JFD-20251016-0562</x:v>
      </x:c>
      <x:c r="B564" s="11" t="n">
        <x:v>45946.53680555556</x:v>
      </x:c>
      <x:c r="C564" s="13" t="n">
        <x:v>0.5368055555555555</x:v>
      </x:c>
      <x:c r="D564" t="str">
        <x:v>Damak</x:v>
      </x:c>
      <x:c r="E564" t="str">
        <x:v>Late Night Cravings</x:v>
      </x:c>
      <x:c r="F564" s="14" t="n">
        <x:v>1275</x:v>
      </x:c>
      <x:c r="G564" t="str">
        <x:v>DEMO / SIMULATED</x:v>
      </x:c>
    </x:row>
    <x:row r="565">
      <x:c r="A565" t="str">
        <x:v>JFD-20240404-0563</x:v>
      </x:c>
      <x:c r="B565" s="11" t="n">
        <x:v>45386.61319444444</x:v>
      </x:c>
      <x:c r="C565" s="13" t="n">
        <x:v>0.6131944444444445</x:v>
      </x:c>
      <x:c r="D565" t="str">
        <x:v>Damak</x:v>
      </x:c>
      <x:c r="E565" t="str">
        <x:v>Late Night Cravings</x:v>
      </x:c>
      <x:c r="F565" s="14" t="n">
        <x:v>560</x:v>
      </x:c>
      <x:c r="G565" t="str">
        <x:v>DEMO / SIMULATED</x:v>
      </x:c>
    </x:row>
    <x:row r="566">
      <x:c r="A566" t="str">
        <x:v>JFD-20240122-0564</x:v>
      </x:c>
      <x:c r="B566" s="11" t="n">
        <x:v>45313.67916666667</x:v>
      </x:c>
      <x:c r="C566" s="13" t="n">
        <x:v>0.6791666666666667</x:v>
      </x:c>
      <x:c r="D566" t="str">
        <x:v>Damak</x:v>
      </x:c>
      <x:c r="E566" t="str">
        <x:v>Late Night Cravings</x:v>
      </x:c>
      <x:c r="F566" s="14" t="n">
        <x:v>1305</x:v>
      </x:c>
      <x:c r="G566" t="str">
        <x:v>DEMO / SIMULATED</x:v>
      </x:c>
    </x:row>
    <x:row r="567">
      <x:c r="A567" t="str">
        <x:v>JFD-20260727-0565</x:v>
      </x:c>
      <x:c r="B567" s="11" t="n">
        <x:v>46230.91527777778</x:v>
      </x:c>
      <x:c r="C567" s="13" t="n">
        <x:v>0.9152777777777777</x:v>
      </x:c>
      <x:c r="D567" t="str">
        <x:v>Damak</x:v>
      </x:c>
      <x:c r="E567" t="str">
        <x:v>Late Night Cravings</x:v>
      </x:c>
      <x:c r="F567" s="14" t="n">
        <x:v>400</x:v>
      </x:c>
      <x:c r="G567" t="str">
        <x:v>DEMO / SIMULATED</x:v>
      </x:c>
    </x:row>
    <x:row r="568">
      <x:c r="A568" t="str">
        <x:v>JFD-20230329-0566</x:v>
      </x:c>
      <x:c r="B568" s="11" t="n">
        <x:v>45014.79722222222</x:v>
      </x:c>
      <x:c r="C568" s="13" t="n">
        <x:v>0.7972222222222223</x:v>
      </x:c>
      <x:c r="D568" t="str">
        <x:v>Damak</x:v>
      </x:c>
      <x:c r="E568" t="str">
        <x:v>Late Night Cravings</x:v>
      </x:c>
      <x:c r="F568" s="14" t="n">
        <x:v>660</x:v>
      </x:c>
      <x:c r="G568" t="str">
        <x:v>DEMO / SIMULATED</x:v>
      </x:c>
    </x:row>
    <x:row r="569">
      <x:c r="A569" t="str">
        <x:v>JFD-20250227-0567</x:v>
      </x:c>
      <x:c r="B569" s="11" t="n">
        <x:v>45715.447916666664</x:v>
      </x:c>
      <x:c r="C569" s="13" t="n">
        <x:v>0.4479166666666667</x:v>
      </x:c>
      <x:c r="D569" t="str">
        <x:v>Damak</x:v>
      </x:c>
      <x:c r="E569" t="str">
        <x:v>Milan’s Bakery</x:v>
      </x:c>
      <x:c r="F569" s="14" t="n">
        <x:v>840</x:v>
      </x:c>
      <x:c r="G569" t="str">
        <x:v>DEMO / SIMULATED</x:v>
      </x:c>
    </x:row>
    <x:row r="570">
      <x:c r="A570" t="str">
        <x:v>JFD-20240405-0568</x:v>
      </x:c>
      <x:c r="B570" s="11" t="n">
        <x:v>45387.54513888889</x:v>
      </x:c>
      <x:c r="C570" s="13" t="n">
        <x:v>0.5451388888888888</x:v>
      </x:c>
      <x:c r="D570" t="str">
        <x:v>Birtamode</x:v>
      </x:c>
      <x:c r="E570" t="str">
        <x:v>Pizza Ghar</x:v>
      </x:c>
      <x:c r="F570" s="14" t="n">
        <x:v>360</x:v>
      </x:c>
      <x:c r="G570" t="str">
        <x:v>DEMO / SIMULATED</x:v>
      </x:c>
    </x:row>
    <x:row r="571">
      <x:c r="A571" t="str">
        <x:v>JFD-20230905-0569</x:v>
      </x:c>
      <x:c r="B571" s="11" t="n">
        <x:v>45174.84722222222</x:v>
      </x:c>
      <x:c r="C571" s="13" t="n">
        <x:v>0.8472222222222222</x:v>
      </x:c>
      <x:c r="D571" t="str">
        <x:v>Damak</x:v>
      </x:c>
      <x:c r="E571" t="str">
        <x:v>Late Night Cravings</x:v>
      </x:c>
      <x:c r="F571" s="14" t="n">
        <x:v>1320</x:v>
      </x:c>
      <x:c r="G571" t="str">
        <x:v>DEMO / SIMULATED</x:v>
      </x:c>
    </x:row>
    <x:row r="572">
      <x:c r="A572" t="str">
        <x:v>JFD-20241113-0570</x:v>
      </x:c>
      <x:c r="B572" s="11" t="n">
        <x:v>45609.46527777778</x:v>
      </x:c>
      <x:c r="C572" s="13" t="n">
        <x:v>0.4652777777777778</x:v>
      </x:c>
      <x:c r="D572" t="str">
        <x:v>Birtamode</x:v>
      </x:c>
      <x:c r="E572" t="str">
        <x:v>Pizza Ghar</x:v>
      </x:c>
      <x:c r="F572" s="14" t="n">
        <x:v>2085</x:v>
      </x:c>
      <x:c r="G572" t="str">
        <x:v>DEMO / SIMULATED</x:v>
      </x:c>
    </x:row>
    <x:row r="573">
      <x:c r="A573" t="str">
        <x:v>JFD-20250208-0571</x:v>
      </x:c>
      <x:c r="B573" s="11" t="n">
        <x:v>45696.50555555556</x:v>
      </x:c>
      <x:c r="C573" s="13" t="n">
        <x:v>0.5055555555555555</x:v>
      </x:c>
      <x:c r="D573" t="str">
        <x:v>Damak</x:v>
      </x:c>
      <x:c r="E573" t="str">
        <x:v>Late Night Cravings</x:v>
      </x:c>
      <x:c r="F573" s="14" t="n">
        <x:v>340</x:v>
      </x:c>
      <x:c r="G573" t="str">
        <x:v>DEMO / SIMULATED</x:v>
      </x:c>
    </x:row>
    <x:row r="574">
      <x:c r="A574" t="str">
        <x:v>JFD-20260527-0572</x:v>
      </x:c>
      <x:c r="B574" s="11" t="n">
        <x:v>46169.71041666667</x:v>
      </x:c>
      <x:c r="C574" s="13" t="n">
        <x:v>0.7104166666666667</x:v>
      </x:c>
      <x:c r="D574" t="str">
        <x:v>Damak</x:v>
      </x:c>
      <x:c r="E574" t="str">
        <x:v>Late Night Cravings</x:v>
      </x:c>
      <x:c r="F574" s="14" t="n">
        <x:v>940</x:v>
      </x:c>
      <x:c r="G574" t="str">
        <x:v>DEMO / SIMULATED</x:v>
      </x:c>
    </x:row>
    <x:row r="575">
      <x:c r="A575" t="str">
        <x:v>JFD-20260216-0573</x:v>
      </x:c>
      <x:c r="B575" s="11" t="n">
        <x:v>46069.47777777778</x:v>
      </x:c>
      <x:c r="C575" s="13" t="n">
        <x:v>0.4777777777777778</x:v>
      </x:c>
      <x:c r="D575" t="str">
        <x:v>Birtamode</x:v>
      </x:c>
      <x:c r="E575" t="str">
        <x:v>Pizza Ghar</x:v>
      </x:c>
      <x:c r="F575" s="14" t="n">
        <x:v>900</x:v>
      </x:c>
      <x:c r="G575" t="str">
        <x:v>DEMO / SIMULATED</x:v>
      </x:c>
    </x:row>
    <x:row r="576">
      <x:c r="A576" t="str">
        <x:v>JFD-20230526-0574</x:v>
      </x:c>
      <x:c r="B576" s="11" t="n">
        <x:v>45072.72986111111</x:v>
      </x:c>
      <x:c r="C576" s="13" t="n">
        <x:v>0.7298611111111111</x:v>
      </x:c>
      <x:c r="D576" t="str">
        <x:v>Birtamode</x:v>
      </x:c>
      <x:c r="E576" t="str">
        <x:v>The Underground Cafe &amp; Restaurant</x:v>
      </x:c>
      <x:c r="F576" s="14" t="n">
        <x:v>530</x:v>
      </x:c>
      <x:c r="G576" t="str">
        <x:v>DEMO / SIMULATED</x:v>
      </x:c>
    </x:row>
    <x:row r="577">
      <x:c r="A577" t="str">
        <x:v>JFD-20241217-0575</x:v>
      </x:c>
      <x:c r="B577" s="11" t="n">
        <x:v>45643.89375</x:v>
      </x:c>
      <x:c r="C577" s="13" t="n">
        <x:v>0.89375</x:v>
      </x:c>
      <x:c r="D577" t="str">
        <x:v>Birtamode</x:v>
      </x:c>
      <x:c r="E577" t="str">
        <x:v>The Underground Cafe &amp; Restaurant</x:v>
      </x:c>
      <x:c r="F577" s="14" t="n">
        <x:v>1365</x:v>
      </x:c>
      <x:c r="G577" t="str">
        <x:v>DEMO / SIMULATED</x:v>
      </x:c>
    </x:row>
    <x:row r="578">
      <x:c r="A578" t="str">
        <x:v>JFD-20260326-0576</x:v>
      </x:c>
      <x:c r="B578" s="11" t="n">
        <x:v>46107.447916666664</x:v>
      </x:c>
      <x:c r="C578" s="13" t="n">
        <x:v>0.4479166666666667</x:v>
      </x:c>
      <x:c r="D578" t="str">
        <x:v>Birtamode</x:v>
      </x:c>
      <x:c r="E578" t="str">
        <x:v>Pizza Ghar</x:v>
      </x:c>
      <x:c r="F578" s="14" t="n">
        <x:v>1200</x:v>
      </x:c>
      <x:c r="G578" t="str">
        <x:v>DEMO / SIMULATED</x:v>
      </x:c>
    </x:row>
    <x:row r="579">
      <x:c r="A579" t="str">
        <x:v>JFD-20260322-0577</x:v>
      </x:c>
      <x:c r="B579" s="11" t="n">
        <x:v>46103.75277777778</x:v>
      </x:c>
      <x:c r="C579" s="13" t="n">
        <x:v>0.7527777777777778</x:v>
      </x:c>
      <x:c r="D579" t="str">
        <x:v>Birtamode</x:v>
      </x:c>
      <x:c r="E579" t="str">
        <x:v>Pizza Ghar</x:v>
      </x:c>
      <x:c r="F579" s="14" t="n">
        <x:v>2480</x:v>
      </x:c>
      <x:c r="G579" t="str">
        <x:v>DEMO / SIMULATED</x:v>
      </x:c>
    </x:row>
    <x:row r="580">
      <x:c r="A580" t="str">
        <x:v>JFD-20231103-0578</x:v>
      </x:c>
      <x:c r="B580" s="11" t="n">
        <x:v>45233.69930555556</x:v>
      </x:c>
      <x:c r="C580" s="13" t="n">
        <x:v>0.6993055555555555</x:v>
      </x:c>
      <x:c r="D580" t="str">
        <x:v>Birtamode</x:v>
      </x:c>
      <x:c r="E580" t="str">
        <x:v>The Underground Cafe &amp; Restaurant</x:v>
      </x:c>
      <x:c r="F580" s="14" t="n">
        <x:v>290</x:v>
      </x:c>
      <x:c r="G580" t="str">
        <x:v>DEMO / SIMULATED</x:v>
      </x:c>
    </x:row>
    <x:row r="581">
      <x:c r="A581" t="str">
        <x:v>JFD-20260405-0579</x:v>
      </x:c>
      <x:c r="B581" s="11" t="n">
        <x:v>46117.555555555555</x:v>
      </x:c>
      <x:c r="C581" s="13" t="n">
        <x:v>0.5555555555555556</x:v>
      </x:c>
      <x:c r="D581" t="str">
        <x:v>Birtamode</x:v>
      </x:c>
      <x:c r="E581" t="str">
        <x:v>The Underground Cafe &amp; Restaurant</x:v>
      </x:c>
      <x:c r="F581" s="14" t="n">
        <x:v>155</x:v>
      </x:c>
      <x:c r="G581" t="str">
        <x:v>DEMO / SIMULATED</x:v>
      </x:c>
    </x:row>
    <x:row r="582">
      <x:c r="A582" t="str">
        <x:v>JFD-20260812-0580</x:v>
      </x:c>
      <x:c r="B582" s="11" t="n">
        <x:v>46246.77291666667</x:v>
      </x:c>
      <x:c r="C582" s="13" t="n">
        <x:v>0.7729166666666667</x:v>
      </x:c>
      <x:c r="D582" t="str">
        <x:v>Damak</x:v>
      </x:c>
      <x:c r="E582" t="str">
        <x:v>Milan’s Bakery</x:v>
      </x:c>
      <x:c r="F582" s="14" t="n">
        <x:v>600</x:v>
      </x:c>
      <x:c r="G582" t="str">
        <x:v>DEMO / SIMULATED</x:v>
      </x:c>
    </x:row>
    <x:row r="583">
      <x:c r="A583" t="str">
        <x:v>JFD-20240617-0581</x:v>
      </x:c>
      <x:c r="B583" s="11" t="n">
        <x:v>45460.57986111111</x:v>
      </x:c>
      <x:c r="C583" s="13" t="n">
        <x:v>0.5798611111111112</x:v>
      </x:c>
      <x:c r="D583" t="str">
        <x:v>Damak</x:v>
      </x:c>
      <x:c r="E583" t="str">
        <x:v>Late Night Cravings</x:v>
      </x:c>
      <x:c r="F583" s="14" t="n">
        <x:v>270</x:v>
      </x:c>
      <x:c r="G583" t="str">
        <x:v>DEMO / SIMULATED</x:v>
      </x:c>
    </x:row>
    <x:row r="584">
      <x:c r="A584" t="str">
        <x:v>JFD-20241117-0582</x:v>
      </x:c>
      <x:c r="B584" s="11" t="n">
        <x:v>45613.43541666667</x:v>
      </x:c>
      <x:c r="C584" s="13" t="n">
        <x:v>0.4354166666666667</x:v>
      </x:c>
      <x:c r="D584" t="str">
        <x:v>Damak</x:v>
      </x:c>
      <x:c r="E584" t="str">
        <x:v>Late Night Cravings</x:v>
      </x:c>
      <x:c r="F584" s="14" t="n">
        <x:v>1350</x:v>
      </x:c>
      <x:c r="G584" t="str">
        <x:v>DEMO / SIMULATED</x:v>
      </x:c>
    </x:row>
    <x:row r="585">
      <x:c r="A585" t="str">
        <x:v>JFD-20230821-0583</x:v>
      </x:c>
      <x:c r="B585" s="11" t="n">
        <x:v>45159.48819444444</x:v>
      </x:c>
      <x:c r="C585" s="13" t="n">
        <x:v>0.48819444444444443</x:v>
      </x:c>
      <x:c r="D585" t="str">
        <x:v>Birtamode</x:v>
      </x:c>
      <x:c r="E585" t="str">
        <x:v>The Underground Cafe &amp; Restaurant</x:v>
      </x:c>
      <x:c r="F585" s="14" t="n">
        <x:v>965</x:v>
      </x:c>
      <x:c r="G585" t="str">
        <x:v>DEMO / SIMULATED</x:v>
      </x:c>
    </x:row>
    <x:row r="586">
      <x:c r="A586" t="str">
        <x:v>JFD-20230713-0584</x:v>
      </x:c>
      <x:c r="B586" s="11" t="n">
        <x:v>45120.71666666667</x:v>
      </x:c>
      <x:c r="C586" s="13" t="n">
        <x:v>0.7166666666666667</x:v>
      </x:c>
      <x:c r="D586" t="str">
        <x:v>Birtamode</x:v>
      </x:c>
      <x:c r="E586" t="str">
        <x:v>Pizza Ghar</x:v>
      </x:c>
      <x:c r="F586" s="14" t="n">
        <x:v>950</x:v>
      </x:c>
      <x:c r="G586" t="str">
        <x:v>DEMO / SIMULATED</x:v>
      </x:c>
    </x:row>
    <x:row r="587">
      <x:c r="A587" t="str">
        <x:v>JFD-20230604-0585</x:v>
      </x:c>
      <x:c r="B587" s="11" t="n">
        <x:v>45081.55416666667</x:v>
      </x:c>
      <x:c r="C587" s="13" t="n">
        <x:v>0.5541666666666667</x:v>
      </x:c>
      <x:c r="D587" t="str">
        <x:v>Birtamode</x:v>
      </x:c>
      <x:c r="E587" t="str">
        <x:v>The Underground Cafe &amp; Restaurant</x:v>
      </x:c>
      <x:c r="F587" s="14" t="n">
        <x:v>70</x:v>
      </x:c>
      <x:c r="G587" t="str">
        <x:v>DEMO / SIMULATED</x:v>
      </x:c>
    </x:row>
    <x:row r="588">
      <x:c r="A588" t="str">
        <x:v>JFD-20261005-0586</x:v>
      </x:c>
      <x:c r="B588" s="11" t="n">
        <x:v>46300.54652777778</x:v>
      </x:c>
      <x:c r="C588" s="13" t="n">
        <x:v>0.5465277777777777</x:v>
      </x:c>
      <x:c r="D588" t="str">
        <x:v>Damak</x:v>
      </x:c>
      <x:c r="E588" t="str">
        <x:v>Milan’s Bakery</x:v>
      </x:c>
      <x:c r="F588" s="14" t="n">
        <x:v>300</x:v>
      </x:c>
      <x:c r="G588" t="str">
        <x:v>DEMO / SIMULATED</x:v>
      </x:c>
    </x:row>
    <x:row r="589">
      <x:c r="A589" t="str">
        <x:v>JFD-20230116-0587</x:v>
      </x:c>
      <x:c r="B589" s="11" t="n">
        <x:v>44942.861805555556</x:v>
      </x:c>
      <x:c r="C589" s="13" t="n">
        <x:v>0.8618055555555556</x:v>
      </x:c>
      <x:c r="D589" t="str">
        <x:v>Damak</x:v>
      </x:c>
      <x:c r="E589" t="str">
        <x:v>Milan’s Bakery</x:v>
      </x:c>
      <x:c r="F589" s="14" t="n">
        <x:v>3310</x:v>
      </x:c>
      <x:c r="G589" t="str">
        <x:v>DEMO / SIMULATED</x:v>
      </x:c>
    </x:row>
    <x:row r="590">
      <x:c r="A590" t="str">
        <x:v>JFD-20230720-0588</x:v>
      </x:c>
      <x:c r="B590" s="11" t="n">
        <x:v>45127.58472222222</x:v>
      </x:c>
      <x:c r="C590" s="13" t="n">
        <x:v>0.5847222222222223</x:v>
      </x:c>
      <x:c r="D590" t="str">
        <x:v>Birtamode</x:v>
      </x:c>
      <x:c r="E590" t="str">
        <x:v>The Underground Cafe &amp; Restaurant</x:v>
      </x:c>
      <x:c r="F590" s="14" t="n">
        <x:v>575</x:v>
      </x:c>
      <x:c r="G590" t="str">
        <x:v>DEMO / SIMULATED</x:v>
      </x:c>
    </x:row>
    <x:row r="591">
      <x:c r="A591" t="str">
        <x:v>JFD-20260210-0589</x:v>
      </x:c>
      <x:c r="B591" s="11" t="n">
        <x:v>46063.91180555556</x:v>
      </x:c>
      <x:c r="C591" s="13" t="n">
        <x:v>0.9118055555555555</x:v>
      </x:c>
      <x:c r="D591" t="str">
        <x:v>Birtamode</x:v>
      </x:c>
      <x:c r="E591" t="str">
        <x:v>Pizza Ghar</x:v>
      </x:c>
      <x:c r="F591" s="14" t="n">
        <x:v>880</x:v>
      </x:c>
      <x:c r="G591" t="str">
        <x:v>DEMO / SIMULATED</x:v>
      </x:c>
    </x:row>
    <x:row r="592">
      <x:c r="A592" t="str">
        <x:v>JFD-20230921-0590</x:v>
      </x:c>
      <x:c r="B592" s="11" t="n">
        <x:v>45190.59375</x:v>
      </x:c>
      <x:c r="C592" s="13" t="n">
        <x:v>0.59375</x:v>
      </x:c>
      <x:c r="D592" t="str">
        <x:v>Birtamode</x:v>
      </x:c>
      <x:c r="E592" t="str">
        <x:v>The Underground Cafe &amp; Restaurant</x:v>
      </x:c>
      <x:c r="F592" s="14" t="n">
        <x:v>820</x:v>
      </x:c>
      <x:c r="G592" t="str">
        <x:v>DEMO / SIMULATED</x:v>
      </x:c>
    </x:row>
    <x:row r="593">
      <x:c r="A593" t="str">
        <x:v>JFD-20260818-0591</x:v>
      </x:c>
      <x:c r="B593" s="11" t="n">
        <x:v>46252.745833333334</x:v>
      </x:c>
      <x:c r="C593" s="13" t="n">
        <x:v>0.7458333333333333</x:v>
      </x:c>
      <x:c r="D593" t="str">
        <x:v>Damak</x:v>
      </x:c>
      <x:c r="E593" t="str">
        <x:v>Milan’s Bakery</x:v>
      </x:c>
      <x:c r="F593" s="14" t="n">
        <x:v>1200</x:v>
      </x:c>
      <x:c r="G593" t="str">
        <x:v>DEMO / SIMULATED</x:v>
      </x:c>
    </x:row>
    <x:row r="594">
      <x:c r="A594" t="str">
        <x:v>JFD-20240915-0592</x:v>
      </x:c>
      <x:c r="B594" s="11" t="n">
        <x:v>45550.81041666667</x:v>
      </x:c>
      <x:c r="C594" s="13" t="n">
        <x:v>0.8104166666666667</x:v>
      </x:c>
      <x:c r="D594" t="str">
        <x:v>Birtamode</x:v>
      </x:c>
      <x:c r="E594" t="str">
        <x:v>Pizza Ghar</x:v>
      </x:c>
      <x:c r="F594" s="14" t="n">
        <x:v>310</x:v>
      </x:c>
      <x:c r="G594" t="str">
        <x:v>DEMO / SIMULATED</x:v>
      </x:c>
    </x:row>
    <x:row r="595">
      <x:c r="A595" t="str">
        <x:v>JFD-20240813-0593</x:v>
      </x:c>
      <x:c r="B595" s="11" t="n">
        <x:v>45517.83819444444</x:v>
      </x:c>
      <x:c r="C595" s="13" t="n">
        <x:v>0.8381944444444445</x:v>
      </x:c>
      <x:c r="D595" t="str">
        <x:v>Birtamode</x:v>
      </x:c>
      <x:c r="E595" t="str">
        <x:v>The Underground Cafe &amp; Restaurant</x:v>
      </x:c>
      <x:c r="F595" s="14" t="n">
        <x:v>270</x:v>
      </x:c>
      <x:c r="G595" t="str">
        <x:v>DEMO / SIMULATED</x:v>
      </x:c>
    </x:row>
    <x:row r="596">
      <x:c r="A596" t="str">
        <x:v>JFD-20230603-0594</x:v>
      </x:c>
      <x:c r="B596" s="11" t="n">
        <x:v>45080.58611111111</x:v>
      </x:c>
      <x:c r="C596" s="13" t="n">
        <x:v>0.5861111111111111</x:v>
      </x:c>
      <x:c r="D596" t="str">
        <x:v>Birtamode</x:v>
      </x:c>
      <x:c r="E596" t="str">
        <x:v>Pizza Ghar</x:v>
      </x:c>
      <x:c r="F596" s="14" t="n">
        <x:v>1595</x:v>
      </x:c>
      <x:c r="G596" t="str">
        <x:v>DEMO / SIMULATED</x:v>
      </x:c>
    </x:row>
    <x:row r="597">
      <x:c r="A597" t="str">
        <x:v>JFD-20230318-0595</x:v>
      </x:c>
      <x:c r="B597" s="11" t="n">
        <x:v>45003.79027777778</x:v>
      </x:c>
      <x:c r="C597" s="13" t="n">
        <x:v>0.7902777777777777</x:v>
      </x:c>
      <x:c r="D597" t="str">
        <x:v>Damak</x:v>
      </x:c>
      <x:c r="E597" t="str">
        <x:v>Late Night Cravings</x:v>
      </x:c>
      <x:c r="F597" s="14" t="n">
        <x:v>720</x:v>
      </x:c>
      <x:c r="G597" t="str">
        <x:v>DEMO / SIMULATED</x:v>
      </x:c>
    </x:row>
    <x:row r="598">
      <x:c r="A598" t="str">
        <x:v>JFD-20250715-0596</x:v>
      </x:c>
      <x:c r="B598" s="11" t="n">
        <x:v>45853.549305555556</x:v>
      </x:c>
      <x:c r="C598" s="13" t="n">
        <x:v>0.5493055555555556</x:v>
      </x:c>
      <x:c r="D598" t="str">
        <x:v>Damak</x:v>
      </x:c>
      <x:c r="E598" t="str">
        <x:v>Milan’s Bakery</x:v>
      </x:c>
      <x:c r="F598" s="14" t="n">
        <x:v>3420</x:v>
      </x:c>
      <x:c r="G598" t="str">
        <x:v>DEMO / SIMULATED</x:v>
      </x:c>
    </x:row>
    <x:row r="599">
      <x:c r="A599" t="str">
        <x:v>JFD-20230520-0597</x:v>
      </x:c>
      <x:c r="B599" s="11" t="n">
        <x:v>45066.875</x:v>
      </x:c>
      <x:c r="C599" s="13" t="n">
        <x:v>0.875</x:v>
      </x:c>
      <x:c r="D599" t="str">
        <x:v>Damak</x:v>
      </x:c>
      <x:c r="E599" t="str">
        <x:v>Late Night Cravings</x:v>
      </x:c>
      <x:c r="F599" s="14" t="n">
        <x:v>1610</x:v>
      </x:c>
      <x:c r="G599" t="str">
        <x:v>DEMO / SIMULATED</x:v>
      </x:c>
    </x:row>
    <x:row r="600">
      <x:c r="A600" t="str">
        <x:v>JFD-20260611-0598</x:v>
      </x:c>
      <x:c r="B600" s="11" t="n">
        <x:v>46184.5875</x:v>
      </x:c>
      <x:c r="C600" s="13" t="n">
        <x:v>0.5875</x:v>
      </x:c>
      <x:c r="D600" t="str">
        <x:v>Birtamode</x:v>
      </x:c>
      <x:c r="E600" t="str">
        <x:v>Pizza Ghar</x:v>
      </x:c>
      <x:c r="F600" s="14" t="n">
        <x:v>1200</x:v>
      </x:c>
      <x:c r="G600" t="str">
        <x:v>DEMO / SIMULATED</x:v>
      </x:c>
    </x:row>
    <x:row r="601">
      <x:c r="A601" t="str">
        <x:v>JFD-20260103-0599</x:v>
      </x:c>
      <x:c r="B601" s="11" t="n">
        <x:v>46025.46319444444</x:v>
      </x:c>
      <x:c r="C601" s="13" t="n">
        <x:v>0.46319444444444446</x:v>
      </x:c>
      <x:c r="D601" t="str">
        <x:v>Birtamode</x:v>
      </x:c>
      <x:c r="E601" t="str">
        <x:v>Pizza Ghar</x:v>
      </x:c>
      <x:c r="F601" s="14" t="n">
        <x:v>900</x:v>
      </x:c>
      <x:c r="G601" t="str">
        <x:v>DEMO / SIMULATED</x:v>
      </x:c>
    </x:row>
    <x:row r="602">
      <x:c r="A602" t="str">
        <x:v>JFD-20260829-0600</x:v>
      </x:c>
      <x:c r="B602" s="11" t="n">
        <x:v>46263.65277777778</x:v>
      </x:c>
      <x:c r="C602" s="13" t="n">
        <x:v>0.6527777777777778</x:v>
      </x:c>
      <x:c r="D602" t="str">
        <x:v>Damak</x:v>
      </x:c>
      <x:c r="E602" t="str">
        <x:v>Milan’s Bakery</x:v>
      </x:c>
      <x:c r="F602" s="14" t="n">
        <x:v>1650</x:v>
      </x:c>
      <x:c r="G602" t="str">
        <x:v>DEMO / SIMULATED</x:v>
      </x:c>
    </x:row>
    <x:row r="603">
      <x:c r="A603" t="str">
        <x:v>JFD-20230724-0601</x:v>
      </x:c>
      <x:c r="B603" s="11" t="n">
        <x:v>45131.558333333334</x:v>
      </x:c>
      <x:c r="C603" s="13" t="n">
        <x:v>0.5583333333333333</x:v>
      </x:c>
      <x:c r="D603" t="str">
        <x:v>Damak</x:v>
      </x:c>
      <x:c r="E603" t="str">
        <x:v>Late Night Cravings</x:v>
      </x:c>
      <x:c r="F603" s="14" t="n">
        <x:v>460</x:v>
      </x:c>
      <x:c r="G603" t="str">
        <x:v>DEMO / SIMULATED</x:v>
      </x:c>
    </x:row>
    <x:row r="604">
      <x:c r="A604" t="str">
        <x:v>JFD-20230819-0602</x:v>
      </x:c>
      <x:c r="B604" s="11" t="n">
        <x:v>45157.56736111111</x:v>
      </x:c>
      <x:c r="C604" s="13" t="n">
        <x:v>0.5673611111111111</x:v>
      </x:c>
      <x:c r="D604" t="str">
        <x:v>Birtamode</x:v>
      </x:c>
      <x:c r="E604" t="str">
        <x:v>Pizza Ghar</x:v>
      </x:c>
      <x:c r="F604" s="14" t="n">
        <x:v>670</x:v>
      </x:c>
      <x:c r="G604" t="str">
        <x:v>DEMO / SIMULATED</x:v>
      </x:c>
    </x:row>
    <x:row r="605">
      <x:c r="A605" t="str">
        <x:v>JFD-20260126-0603</x:v>
      </x:c>
      <x:c r="B605" s="11" t="n">
        <x:v>46048.59930555556</x:v>
      </x:c>
      <x:c r="C605" s="13" t="n">
        <x:v>0.5993055555555555</x:v>
      </x:c>
      <x:c r="D605" t="str">
        <x:v>Damak</x:v>
      </x:c>
      <x:c r="E605" t="str">
        <x:v>Late Night Cravings</x:v>
      </x:c>
      <x:c r="F605" s="14" t="n">
        <x:v>900</x:v>
      </x:c>
      <x:c r="G605" t="str">
        <x:v>DEMO / SIMULATED</x:v>
      </x:c>
    </x:row>
    <x:row r="606">
      <x:c r="A606" t="str">
        <x:v>JFD-20240106-0604</x:v>
      </x:c>
      <x:c r="B606" s="11" t="n">
        <x:v>45297.563888888886</x:v>
      </x:c>
      <x:c r="C606" s="13" t="n">
        <x:v>0.5638888888888889</x:v>
      </x:c>
      <x:c r="D606" t="str">
        <x:v>Damak</x:v>
      </x:c>
      <x:c r="E606" t="str">
        <x:v>Late Night Cravings</x:v>
      </x:c>
      <x:c r="F606" s="14" t="n">
        <x:v>350</x:v>
      </x:c>
      <x:c r="G606" t="str">
        <x:v>DEMO / SIMULATED</x:v>
      </x:c>
    </x:row>
    <x:row r="607">
      <x:c r="A607" t="str">
        <x:v>JFD-20230527-0605</x:v>
      </x:c>
      <x:c r="B607" s="11" t="n">
        <x:v>45073.81527777778</x:v>
      </x:c>
      <x:c r="C607" s="13" t="n">
        <x:v>0.8152777777777778</x:v>
      </x:c>
      <x:c r="D607" t="str">
        <x:v>Birtamode</x:v>
      </x:c>
      <x:c r="E607" t="str">
        <x:v>Pizza Ghar</x:v>
      </x:c>
      <x:c r="F607" s="14" t="n">
        <x:v>980</x:v>
      </x:c>
      <x:c r="G607" t="str">
        <x:v>DEMO / SIMULATED</x:v>
      </x:c>
    </x:row>
    <x:row r="608">
      <x:c r="A608" t="str">
        <x:v>JFD-20241129-0606</x:v>
      </x:c>
      <x:c r="B608" s="11" t="n">
        <x:v>45625.876388888886</x:v>
      </x:c>
      <x:c r="C608" s="13" t="n">
        <x:v>0.8763888888888889</x:v>
      </x:c>
      <x:c r="D608" t="str">
        <x:v>Damak</x:v>
      </x:c>
      <x:c r="E608" t="str">
        <x:v>Late Night Cravings</x:v>
      </x:c>
      <x:c r="F608" s="14" t="n">
        <x:v>515</x:v>
      </x:c>
      <x:c r="G608" t="str">
        <x:v>DEMO / SIMULATED</x:v>
      </x:c>
    </x:row>
    <x:row r="609">
      <x:c r="A609" t="str">
        <x:v>JFD-20231210-0607</x:v>
      </x:c>
      <x:c r="B609" s="11" t="n">
        <x:v>45270.80138888889</x:v>
      </x:c>
      <x:c r="C609" s="13" t="n">
        <x:v>0.8013888888888889</x:v>
      </x:c>
      <x:c r="D609" t="str">
        <x:v>Birtamode</x:v>
      </x:c>
      <x:c r="E609" t="str">
        <x:v>Pizza Ghar</x:v>
      </x:c>
      <x:c r="F609" s="14" t="n">
        <x:v>500</x:v>
      </x:c>
      <x:c r="G609" t="str">
        <x:v>DEMO / SIMULATED</x:v>
      </x:c>
    </x:row>
    <x:row r="610">
      <x:c r="A610" t="str">
        <x:v>JFD-20240512-0608</x:v>
      </x:c>
      <x:c r="B610" s="11" t="n">
        <x:v>45424.69583333333</x:v>
      </x:c>
      <x:c r="C610" s="13" t="n">
        <x:v>0.6958333333333333</x:v>
      </x:c>
      <x:c r="D610" t="str">
        <x:v>Damak</x:v>
      </x:c>
      <x:c r="E610" t="str">
        <x:v>Milan’s Bakery</x:v>
      </x:c>
      <x:c r="F610" s="14" t="n">
        <x:v>1090</x:v>
      </x:c>
      <x:c r="G610" t="str">
        <x:v>DEMO / SIMULATED</x:v>
      </x:c>
    </x:row>
    <x:row r="611">
      <x:c r="A611" t="str">
        <x:v>JFD-20230714-0609</x:v>
      </x:c>
      <x:c r="B611" s="11" t="n">
        <x:v>45121.654861111114</x:v>
      </x:c>
      <x:c r="C611" s="13" t="n">
        <x:v>0.6548611111111111</x:v>
      </x:c>
      <x:c r="D611" t="str">
        <x:v>Damak</x:v>
      </x:c>
      <x:c r="E611" t="str">
        <x:v>Milan’s Bakery</x:v>
      </x:c>
      <x:c r="F611" s="14" t="n">
        <x:v>2220</x:v>
      </x:c>
      <x:c r="G611" t="str">
        <x:v>DEMO / SIMULATED</x:v>
      </x:c>
    </x:row>
    <x:row r="612">
      <x:c r="A612" t="str">
        <x:v>JFD-20230602-0610</x:v>
      </x:c>
      <x:c r="B612" s="11" t="n">
        <x:v>45079.77013888889</x:v>
      </x:c>
      <x:c r="C612" s="13" t="n">
        <x:v>0.7701388888888889</x:v>
      </x:c>
      <x:c r="D612" t="str">
        <x:v>Birtamode</x:v>
      </x:c>
      <x:c r="E612" t="str">
        <x:v>The Underground Cafe &amp; Restaurant</x:v>
      </x:c>
      <x:c r="F612" s="14" t="n">
        <x:v>1320</x:v>
      </x:c>
      <x:c r="G612" t="str">
        <x:v>DEMO / SIMULATED</x:v>
      </x:c>
    </x:row>
    <x:row r="613">
      <x:c r="A613" t="str">
        <x:v>JFD-20240621-0611</x:v>
      </x:c>
      <x:c r="B613" s="11" t="n">
        <x:v>45464.575694444444</x:v>
      </x:c>
      <x:c r="C613" s="13" t="n">
        <x:v>0.5756944444444444</x:v>
      </x:c>
      <x:c r="D613" t="str">
        <x:v>Damak</x:v>
      </x:c>
      <x:c r="E613" t="str">
        <x:v>Milan’s Bakery</x:v>
      </x:c>
      <x:c r="F613" s="14" t="n">
        <x:v>625</x:v>
      </x:c>
      <x:c r="G613" t="str">
        <x:v>DEMO / SIMULATED</x:v>
      </x:c>
    </x:row>
    <x:row r="614">
      <x:c r="A614" t="str">
        <x:v>JFD-20231024-0612</x:v>
      </x:c>
      <x:c r="B614" s="11" t="n">
        <x:v>45223.75208333333</x:v>
      </x:c>
      <x:c r="C614" s="13" t="n">
        <x:v>0.7520833333333333</x:v>
      </x:c>
      <x:c r="D614" t="str">
        <x:v>Damak</x:v>
      </x:c>
      <x:c r="E614" t="str">
        <x:v>Milan’s Bakery</x:v>
      </x:c>
      <x:c r="F614" s="14" t="n">
        <x:v>3075</x:v>
      </x:c>
      <x:c r="G614" t="str">
        <x:v>DEMO / SIMULATED</x:v>
      </x:c>
    </x:row>
    <x:row r="615">
      <x:c r="A615" t="str">
        <x:v>JFD-20230810-0613</x:v>
      </x:c>
      <x:c r="B615" s="11" t="n">
        <x:v>45148.72708333333</x:v>
      </x:c>
      <x:c r="C615" s="13" t="n">
        <x:v>0.7270833333333333</x:v>
      </x:c>
      <x:c r="D615" t="str">
        <x:v>Damak</x:v>
      </x:c>
      <x:c r="E615" t="str">
        <x:v>Milan’s Bakery</x:v>
      </x:c>
      <x:c r="F615" s="14" t="n">
        <x:v>735</x:v>
      </x:c>
      <x:c r="G615" t="str">
        <x:v>DEMO / SIMULATED</x:v>
      </x:c>
    </x:row>
    <x:row r="616">
      <x:c r="A616" t="str">
        <x:v>JFD-20240202-0614</x:v>
      </x:c>
      <x:c r="B616" s="11" t="n">
        <x:v>45324.72638888889</x:v>
      </x:c>
      <x:c r="C616" s="13" t="n">
        <x:v>0.7263888888888889</x:v>
      </x:c>
      <x:c r="D616" t="str">
        <x:v>Birtamode</x:v>
      </x:c>
      <x:c r="E616" t="str">
        <x:v>The Underground Cafe &amp; Restaurant</x:v>
      </x:c>
      <x:c r="F616" s="14" t="n">
        <x:v>140</x:v>
      </x:c>
      <x:c r="G616" t="str">
        <x:v>DEMO / SIMULATED</x:v>
      </x:c>
    </x:row>
    <x:row r="617">
      <x:c r="A617" t="str">
        <x:v>JFD-20250831-0615</x:v>
      </x:c>
      <x:c r="B617" s="11" t="n">
        <x:v>45900.74652777778</x:v>
      </x:c>
      <x:c r="C617" s="13" t="n">
        <x:v>0.7465277777777778</x:v>
      </x:c>
      <x:c r="D617" t="str">
        <x:v>Damak</x:v>
      </x:c>
      <x:c r="E617" t="str">
        <x:v>Milan’s Bakery</x:v>
      </x:c>
      <x:c r="F617" s="14" t="n">
        <x:v>190</x:v>
      </x:c>
      <x:c r="G617" t="str">
        <x:v>DEMO / SIMULATED</x:v>
      </x:c>
    </x:row>
    <x:row r="618">
      <x:c r="A618" t="str">
        <x:v>JFD-20250820-0616</x:v>
      </x:c>
      <x:c r="B618" s="11" t="n">
        <x:v>45889.78958333333</x:v>
      </x:c>
      <x:c r="C618" s="13" t="n">
        <x:v>0.7895833333333333</x:v>
      </x:c>
      <x:c r="D618" t="str">
        <x:v>Damak</x:v>
      </x:c>
      <x:c r="E618" t="str">
        <x:v>Milan’s Bakery</x:v>
      </x:c>
      <x:c r="F618" s="14" t="n">
        <x:v>1120</x:v>
      </x:c>
      <x:c r="G618" t="str">
        <x:v>DEMO / SIMULATED</x:v>
      </x:c>
    </x:row>
    <x:row r="619">
      <x:c r="A619" t="str">
        <x:v>JFD-20260724-0617</x:v>
      </x:c>
      <x:c r="B619" s="11" t="n">
        <x:v>46227.46805555555</x:v>
      </x:c>
      <x:c r="C619" s="13" t="n">
        <x:v>0.46805555555555556</x:v>
      </x:c>
      <x:c r="D619" t="str">
        <x:v>Damak</x:v>
      </x:c>
      <x:c r="E619" t="str">
        <x:v>Milan’s Bakery</x:v>
      </x:c>
      <x:c r="F619" s="14" t="n">
        <x:v>980</x:v>
      </x:c>
      <x:c r="G619" t="str">
        <x:v>DEMO / SIMULATED</x:v>
      </x:c>
    </x:row>
    <x:row r="620">
      <x:c r="A620" t="str">
        <x:v>JFD-20230924-0618</x:v>
      </x:c>
      <x:c r="B620" s="11" t="n">
        <x:v>45193.65555555555</x:v>
      </x:c>
      <x:c r="C620" s="13" t="n">
        <x:v>0.6555555555555556</x:v>
      </x:c>
      <x:c r="D620" t="str">
        <x:v>Damak</x:v>
      </x:c>
      <x:c r="E620" t="str">
        <x:v>Late Night Cravings</x:v>
      </x:c>
      <x:c r="F620" s="14" t="n">
        <x:v>1310</x:v>
      </x:c>
      <x:c r="G620" t="str">
        <x:v>DEMO / SIMULATED</x:v>
      </x:c>
    </x:row>
    <x:row r="621">
      <x:c r="A621" t="str">
        <x:v>JFD-20240915-0619</x:v>
      </x:c>
      <x:c r="B621" s="11" t="n">
        <x:v>45550.586805555555</x:v>
      </x:c>
      <x:c r="C621" s="13" t="n">
        <x:v>0.5868055555555556</x:v>
      </x:c>
      <x:c r="D621" t="str">
        <x:v>Damak</x:v>
      </x:c>
      <x:c r="E621" t="str">
        <x:v>Milan’s Bakery</x:v>
      </x:c>
      <x:c r="F621" s="14" t="n">
        <x:v>3160</x:v>
      </x:c>
      <x:c r="G621" t="str">
        <x:v>DEMO / SIMULATED</x:v>
      </x:c>
    </x:row>
    <x:row r="622">
      <x:c r="A622" t="str">
        <x:v>JFD-20230414-0620</x:v>
      </x:c>
      <x:c r="B622" s="11" t="n">
        <x:v>45030.61388888889</x:v>
      </x:c>
      <x:c r="C622" s="13" t="n">
        <x:v>0.6138888888888889</x:v>
      </x:c>
      <x:c r="D622" t="str">
        <x:v>Birtamode</x:v>
      </x:c>
      <x:c r="E622" t="str">
        <x:v>Pizza Ghar</x:v>
      </x:c>
      <x:c r="F622" s="14" t="n">
        <x:v>2045</x:v>
      </x:c>
      <x:c r="G622" t="str">
        <x:v>DEMO / SIMULATED</x:v>
      </x:c>
    </x:row>
    <x:row r="623">
      <x:c r="A623" t="str">
        <x:v>JFD-20260705-0621</x:v>
      </x:c>
      <x:c r="B623" s="11" t="n">
        <x:v>46208.49652777778</x:v>
      </x:c>
      <x:c r="C623" s="13" t="n">
        <x:v>0.4965277777777778</x:v>
      </x:c>
      <x:c r="D623" t="str">
        <x:v>Damak</x:v>
      </x:c>
      <x:c r="E623" t="str">
        <x:v>Milan’s Bakery</x:v>
      </x:c>
      <x:c r="F623" s="14" t="n">
        <x:v>4050</x:v>
      </x:c>
      <x:c r="G623" t="str">
        <x:v>DEMO / SIMULATED</x:v>
      </x:c>
    </x:row>
    <x:row r="624">
      <x:c r="A624" t="str">
        <x:v>JFD-20240717-0622</x:v>
      </x:c>
      <x:c r="B624" s="11" t="n">
        <x:v>45490.75625</x:v>
      </x:c>
      <x:c r="C624" s="13" t="n">
        <x:v>0.75625</x:v>
      </x:c>
      <x:c r="D624" t="str">
        <x:v>Birtamode</x:v>
      </x:c>
      <x:c r="E624" t="str">
        <x:v>The Underground Cafe &amp; Restaurant</x:v>
      </x:c>
      <x:c r="F624" s="14" t="n">
        <x:v>225</x:v>
      </x:c>
      <x:c r="G624" t="str">
        <x:v>DEMO / SIMULATED</x:v>
      </x:c>
    </x:row>
    <x:row r="625">
      <x:c r="A625" t="str">
        <x:v>JFD-20230130-0623</x:v>
      </x:c>
      <x:c r="B625" s="11" t="n">
        <x:v>44956.55902777778</x:v>
      </x:c>
      <x:c r="C625" s="13" t="n">
        <x:v>0.5590277777777778</x:v>
      </x:c>
      <x:c r="D625" t="str">
        <x:v>Damak</x:v>
      </x:c>
      <x:c r="E625" t="str">
        <x:v>Late Night Cravings</x:v>
      </x:c>
      <x:c r="F625" s="14" t="n">
        <x:v>1210</x:v>
      </x:c>
      <x:c r="G625" t="str">
        <x:v>DEMO / SIMULATED</x:v>
      </x:c>
    </x:row>
    <x:row r="626">
      <x:c r="A626" t="str">
        <x:v>JFD-20240711-0624</x:v>
      </x:c>
      <x:c r="B626" s="11" t="n">
        <x:v>45484.60625</x:v>
      </x:c>
      <x:c r="C626" s="13" t="n">
        <x:v>0.60625</x:v>
      </x:c>
      <x:c r="D626" t="str">
        <x:v>Damak</x:v>
      </x:c>
      <x:c r="E626" t="str">
        <x:v>Milan’s Bakery</x:v>
      </x:c>
      <x:c r="F626" s="14" t="n">
        <x:v>565</x:v>
      </x:c>
      <x:c r="G626" t="str">
        <x:v>DEMO / SIMULATED</x:v>
      </x:c>
    </x:row>
    <x:row r="627">
      <x:c r="A627" t="str">
        <x:v>JFD-20240724-0625</x:v>
      </x:c>
      <x:c r="B627" s="11" t="n">
        <x:v>45497.47708333333</x:v>
      </x:c>
      <x:c r="C627" s="13" t="n">
        <x:v>0.47708333333333336</x:v>
      </x:c>
      <x:c r="D627" t="str">
        <x:v>Damak</x:v>
      </x:c>
      <x:c r="E627" t="str">
        <x:v>Milan’s Bakery</x:v>
      </x:c>
      <x:c r="F627" s="14" t="n">
        <x:v>2380</x:v>
      </x:c>
      <x:c r="G627" t="str">
        <x:v>DEMO / SIMULATED</x:v>
      </x:c>
    </x:row>
    <x:row r="628">
      <x:c r="A628" t="str">
        <x:v>JFD-20230217-0626</x:v>
      </x:c>
      <x:c r="B628" s="11" t="n">
        <x:v>44974.506944444445</x:v>
      </x:c>
      <x:c r="C628" s="13" t="n">
        <x:v>0.5069444444444444</x:v>
      </x:c>
      <x:c r="D628" t="str">
        <x:v>Damak</x:v>
      </x:c>
      <x:c r="E628" t="str">
        <x:v>Milan’s Bakery</x:v>
      </x:c>
      <x:c r="F628" s="14" t="n">
        <x:v>1140</x:v>
      </x:c>
      <x:c r="G628" t="str">
        <x:v>DEMO / SIMULATED</x:v>
      </x:c>
    </x:row>
    <x:row r="629">
      <x:c r="A629" t="str">
        <x:v>JFD-20240603-0627</x:v>
      </x:c>
      <x:c r="B629" s="11" t="n">
        <x:v>45446.790972222225</x:v>
      </x:c>
      <x:c r="C629" s="13" t="n">
        <x:v>0.7909722222222222</x:v>
      </x:c>
      <x:c r="D629" t="str">
        <x:v>Damak</x:v>
      </x:c>
      <x:c r="E629" t="str">
        <x:v>Milan’s Bakery</x:v>
      </x:c>
      <x:c r="F629" s="14" t="n">
        <x:v>2440</x:v>
      </x:c>
      <x:c r="G629" t="str">
        <x:v>DEMO / SIMULATED</x:v>
      </x:c>
    </x:row>
    <x:row r="630">
      <x:c r="A630" t="str">
        <x:v>JFD-20240621-0628</x:v>
      </x:c>
      <x:c r="B630" s="11" t="n">
        <x:v>45464.89166666667</x:v>
      </x:c>
      <x:c r="C630" s="13" t="n">
        <x:v>0.8916666666666667</x:v>
      </x:c>
      <x:c r="D630" t="str">
        <x:v>Birtamode</x:v>
      </x:c>
      <x:c r="E630" t="str">
        <x:v>The Underground Cafe &amp; Restaurant</x:v>
      </x:c>
      <x:c r="F630" s="14" t="n">
        <x:v>625</x:v>
      </x:c>
      <x:c r="G630" t="str">
        <x:v>DEMO / SIMULATED</x:v>
      </x:c>
    </x:row>
    <x:row r="631">
      <x:c r="A631" t="str">
        <x:v>JFD-20260927-0629</x:v>
      </x:c>
      <x:c r="B631" s="11" t="n">
        <x:v>46292.84375</x:v>
      </x:c>
      <x:c r="C631" s="13" t="n">
        <x:v>0.84375</x:v>
      </x:c>
      <x:c r="D631" t="str">
        <x:v>Damak</x:v>
      </x:c>
      <x:c r="E631" t="str">
        <x:v>Milan’s Bakery</x:v>
      </x:c>
      <x:c r="F631" s="14" t="n">
        <x:v>300</x:v>
      </x:c>
      <x:c r="G631" t="str">
        <x:v>DEMO / SIMULATED</x:v>
      </x:c>
    </x:row>
    <x:row r="632">
      <x:c r="A632" t="str">
        <x:v>JFD-20231027-0630</x:v>
      </x:c>
      <x:c r="B632" s="11" t="n">
        <x:v>45226.56319444445</x:v>
      </x:c>
      <x:c r="C632" s="13" t="n">
        <x:v>0.5631944444444444</x:v>
      </x:c>
      <x:c r="D632" t="str">
        <x:v>Birtamode</x:v>
      </x:c>
      <x:c r="E632" t="str">
        <x:v>The Underground Cafe &amp; Restaurant</x:v>
      </x:c>
      <x:c r="F632" s="14" t="n">
        <x:v>830</x:v>
      </x:c>
      <x:c r="G632" t="str">
        <x:v>DEMO / SIMULATED</x:v>
      </x:c>
    </x:row>
    <x:row r="633">
      <x:c r="A633" t="str">
        <x:v>JFD-20260429-0631</x:v>
      </x:c>
      <x:c r="B633" s="11" t="n">
        <x:v>46141.48402777778</x:v>
      </x:c>
      <x:c r="C633" s="13" t="n">
        <x:v>0.4840277777777778</x:v>
      </x:c>
      <x:c r="D633" t="str">
        <x:v>Birtamode</x:v>
      </x:c>
      <x:c r="E633" t="str">
        <x:v>Pizza Ghar</x:v>
      </x:c>
      <x:c r="F633" s="14" t="n">
        <x:v>2790</x:v>
      </x:c>
      <x:c r="G633" t="str">
        <x:v>DEMO / SIMULATED</x:v>
      </x:c>
    </x:row>
    <x:row r="634">
      <x:c r="A634" t="str">
        <x:v>JFD-20230911-0632</x:v>
      </x:c>
      <x:c r="B634" s="11" t="n">
        <x:v>45180.65694444445</x:v>
      </x:c>
      <x:c r="C634" s="13" t="n">
        <x:v>0.6569444444444444</x:v>
      </x:c>
      <x:c r="D634" t="str">
        <x:v>Damak</x:v>
      </x:c>
      <x:c r="E634" t="str">
        <x:v>Late Night Cravings</x:v>
      </x:c>
      <x:c r="F634" s="14" t="n">
        <x:v>600</x:v>
      </x:c>
      <x:c r="G634" t="str">
        <x:v>DEMO / SIMULATED</x:v>
      </x:c>
    </x:row>
    <x:row r="635">
      <x:c r="A635" t="str">
        <x:v>JFD-20260414-0633</x:v>
      </x:c>
      <x:c r="B635" s="11" t="n">
        <x:v>46126.72361111111</x:v>
      </x:c>
      <x:c r="C635" s="13" t="n">
        <x:v>0.7236111111111111</x:v>
      </x:c>
      <x:c r="D635" t="str">
        <x:v>Birtamode</x:v>
      </x:c>
      <x:c r="E635" t="str">
        <x:v>Pizza Ghar</x:v>
      </x:c>
      <x:c r="F635" s="14" t="n">
        <x:v>540</x:v>
      </x:c>
      <x:c r="G635" t="str">
        <x:v>DEMO / SIMULATED</x:v>
      </x:c>
    </x:row>
    <x:row r="636">
      <x:c r="A636" t="str">
        <x:v>JFD-20231211-0634</x:v>
      </x:c>
      <x:c r="B636" s="11" t="n">
        <x:v>45271.72777777778</x:v>
      </x:c>
      <x:c r="C636" s="13" t="n">
        <x:v>0.7277777777777777</x:v>
      </x:c>
      <x:c r="D636" t="str">
        <x:v>Birtamode</x:v>
      </x:c>
      <x:c r="E636" t="str">
        <x:v>Pizza Ghar</x:v>
      </x:c>
      <x:c r="F636" s="14" t="n">
        <x:v>685</x:v>
      </x:c>
      <x:c r="G636" t="str">
        <x:v>DEMO / SIMULATED</x:v>
      </x:c>
    </x:row>
    <x:row r="637">
      <x:c r="A637" t="str">
        <x:v>JFD-20230317-0635</x:v>
      </x:c>
      <x:c r="B637" s="11" t="n">
        <x:v>45002.87013888889</x:v>
      </x:c>
      <x:c r="C637" s="13" t="n">
        <x:v>0.8701388888888889</x:v>
      </x:c>
      <x:c r="D637" t="str">
        <x:v>Birtamode</x:v>
      </x:c>
      <x:c r="E637" t="str">
        <x:v>Pizza Ghar</x:v>
      </x:c>
      <x:c r="F637" s="14" t="n">
        <x:v>1900</x:v>
      </x:c>
      <x:c r="G637" t="str">
        <x:v>DEMO / SIMULATED</x:v>
      </x:c>
    </x:row>
    <x:row r="638">
      <x:c r="A638" t="str">
        <x:v>JFD-20230424-0636</x:v>
      </x:c>
      <x:c r="B638" s="11" t="n">
        <x:v>45040.60763888889</x:v>
      </x:c>
      <x:c r="C638" s="13" t="n">
        <x:v>0.6076388888888888</x:v>
      </x:c>
      <x:c r="D638" t="str">
        <x:v>Birtamode</x:v>
      </x:c>
      <x:c r="E638" t="str">
        <x:v>Pizza Ghar</x:v>
      </x:c>
      <x:c r="F638" s="14" t="n">
        <x:v>1050</x:v>
      </x:c>
      <x:c r="G638" t="str">
        <x:v>DEMO / SIMULATED</x:v>
      </x:c>
    </x:row>
    <x:row r="639">
      <x:c r="A639" t="str">
        <x:v>JFD-20250819-0637</x:v>
      </x:c>
      <x:c r="B639" s="11" t="n">
        <x:v>45888.54513888889</x:v>
      </x:c>
      <x:c r="C639" s="13" t="n">
        <x:v>0.5451388888888888</x:v>
      </x:c>
      <x:c r="D639" t="str">
        <x:v>Birtamode</x:v>
      </x:c>
      <x:c r="E639" t="str">
        <x:v>Pizza Ghar</x:v>
      </x:c>
      <x:c r="F639" s="14" t="n">
        <x:v>80</x:v>
      </x:c>
      <x:c r="G639" t="str">
        <x:v>DEMO / SIMULATED</x:v>
      </x:c>
    </x:row>
    <x:row r="640">
      <x:c r="A640" t="str">
        <x:v>JFD-20250306-0638</x:v>
      </x:c>
      <x:c r="B640" s="11" t="n">
        <x:v>45722.89791666667</x:v>
      </x:c>
      <x:c r="C640" s="13" t="n">
        <x:v>0.8979166666666667</x:v>
      </x:c>
      <x:c r="D640" t="str">
        <x:v>Damak</x:v>
      </x:c>
      <x:c r="E640" t="str">
        <x:v>Milan’s Bakery</x:v>
      </x:c>
      <x:c r="F640" s="14" t="n">
        <x:v>380</x:v>
      </x:c>
      <x:c r="G640" t="str">
        <x:v>DEMO / SIMULATED</x:v>
      </x:c>
    </x:row>
    <x:row r="641">
      <x:c r="A641" t="str">
        <x:v>JFD-20240712-0639</x:v>
      </x:c>
      <x:c r="B641" s="11" t="n">
        <x:v>45485.61041666667</x:v>
      </x:c>
      <x:c r="C641" s="13" t="n">
        <x:v>0.6104166666666667</x:v>
      </x:c>
      <x:c r="D641" t="str">
        <x:v>Damak</x:v>
      </x:c>
      <x:c r="E641" t="str">
        <x:v>Milan’s Bakery</x:v>
      </x:c>
      <x:c r="F641" s="14" t="n">
        <x:v>35</x:v>
      </x:c>
      <x:c r="G641" t="str">
        <x:v>DEMO / SIMULATED</x:v>
      </x:c>
    </x:row>
    <x:row r="642">
      <x:c r="A642" t="str">
        <x:v>JFD-20250526-0640</x:v>
      </x:c>
      <x:c r="B642" s="11" t="n">
        <x:v>45803.89513888889</x:v>
      </x:c>
      <x:c r="C642" s="13" t="n">
        <x:v>0.8951388888888889</x:v>
      </x:c>
      <x:c r="D642" t="str">
        <x:v>Damak</x:v>
      </x:c>
      <x:c r="E642" t="str">
        <x:v>Milan’s Bakery</x:v>
      </x:c>
      <x:c r="F642" s="14" t="n">
        <x:v>3380</x:v>
      </x:c>
      <x:c r="G642" t="str">
        <x:v>DEMO / SIMULATED</x:v>
      </x:c>
    </x:row>
    <x:row r="643">
      <x:c r="A643" t="str">
        <x:v>JFD-20241230-0641</x:v>
      </x:c>
      <x:c r="B643" s="11" t="n">
        <x:v>45656.50555555556</x:v>
      </x:c>
      <x:c r="C643" s="13" t="n">
        <x:v>0.5055555555555555</x:v>
      </x:c>
      <x:c r="D643" t="str">
        <x:v>Birtamode</x:v>
      </x:c>
      <x:c r="E643" t="str">
        <x:v>Pizza Ghar</x:v>
      </x:c>
      <x:c r="F643" s="14" t="n">
        <x:v>2305</x:v>
      </x:c>
      <x:c r="G643" t="str">
        <x:v>DEMO / SIMULATED</x:v>
      </x:c>
    </x:row>
    <x:row r="644">
      <x:c r="A644" t="str">
        <x:v>JFD-20231011-0642</x:v>
      </x:c>
      <x:c r="B644" s="11" t="n">
        <x:v>45210.57361111111</x:v>
      </x:c>
      <x:c r="C644" s="13" t="n">
        <x:v>0.5736111111111111</x:v>
      </x:c>
      <x:c r="D644" t="str">
        <x:v>Damak</x:v>
      </x:c>
      <x:c r="E644" t="str">
        <x:v>Milan’s Bakery</x:v>
      </x:c>
      <x:c r="F644" s="14" t="n">
        <x:v>4170</x:v>
      </x:c>
      <x:c r="G644" t="str">
        <x:v>DEMO / SIMULATED</x:v>
      </x:c>
    </x:row>
    <x:row r="645">
      <x:c r="A645" t="str">
        <x:v>JFD-20230726-0643</x:v>
      </x:c>
      <x:c r="B645" s="11" t="n">
        <x:v>45133.57986111111</x:v>
      </x:c>
      <x:c r="C645" s="13" t="n">
        <x:v>0.5798611111111112</x:v>
      </x:c>
      <x:c r="D645" t="str">
        <x:v>Damak</x:v>
      </x:c>
      <x:c r="E645" t="str">
        <x:v>Milan’s Bakery</x:v>
      </x:c>
      <x:c r="F645" s="14" t="n">
        <x:v>3200</x:v>
      </x:c>
      <x:c r="G645" t="str">
        <x:v>DEMO / SIMULATED</x:v>
      </x:c>
    </x:row>
    <x:row r="646">
      <x:c r="A646" t="str">
        <x:v>JFD-20260404-0644</x:v>
      </x:c>
      <x:c r="B646" s="11" t="n">
        <x:v>46116.76111111111</x:v>
      </x:c>
      <x:c r="C646" s="13" t="n">
        <x:v>0.7611111111111111</x:v>
      </x:c>
      <x:c r="D646" t="str">
        <x:v>Birtamode</x:v>
      </x:c>
      <x:c r="E646" t="str">
        <x:v>Pizza Ghar</x:v>
      </x:c>
      <x:c r="F646" s="14" t="n">
        <x:v>2640</x:v>
      </x:c>
      <x:c r="G646" t="str">
        <x:v>DEMO / SIMULATED</x:v>
      </x:c>
    </x:row>
    <x:row r="647">
      <x:c r="A647" t="str">
        <x:v>JFD-20250903-0645</x:v>
      </x:c>
      <x:c r="B647" s="11" t="n">
        <x:v>45903.63888888889</x:v>
      </x:c>
      <x:c r="C647" s="13" t="n">
        <x:v>0.6388888888888888</x:v>
      </x:c>
      <x:c r="D647" t="str">
        <x:v>Birtamode</x:v>
      </x:c>
      <x:c r="E647" t="str">
        <x:v>Pizza Ghar</x:v>
      </x:c>
      <x:c r="F647" s="14" t="n">
        <x:v>1220</x:v>
      </x:c>
      <x:c r="G647" t="str">
        <x:v>DEMO / SIMULATED</x:v>
      </x:c>
    </x:row>
    <x:row r="648">
      <x:c r="A648" t="str">
        <x:v>JFD-20250109-0646</x:v>
      </x:c>
      <x:c r="B648" s="11" t="n">
        <x:v>45666.65555555555</x:v>
      </x:c>
      <x:c r="C648" s="13" t="n">
        <x:v>0.6555555555555556</x:v>
      </x:c>
      <x:c r="D648" t="str">
        <x:v>Birtamode</x:v>
      </x:c>
      <x:c r="E648" t="str">
        <x:v>Pizza Ghar</x:v>
      </x:c>
      <x:c r="F648" s="14" t="n">
        <x:v>2025</x:v>
      </x:c>
      <x:c r="G648" t="str">
        <x:v>DEMO / SIMULATED</x:v>
      </x:c>
    </x:row>
    <x:row r="649">
      <x:c r="A649" t="str">
        <x:v>JFD-20251017-0647</x:v>
      </x:c>
      <x:c r="B649" s="11" t="n">
        <x:v>45947.82916666667</x:v>
      </x:c>
      <x:c r="C649" s="13" t="n">
        <x:v>0.8291666666666667</x:v>
      </x:c>
      <x:c r="D649" t="str">
        <x:v>Damak</x:v>
      </x:c>
      <x:c r="E649" t="str">
        <x:v>Milan’s Bakery</x:v>
      </x:c>
      <x:c r="F649" s="14" t="n">
        <x:v>3380</x:v>
      </x:c>
      <x:c r="G649" t="str">
        <x:v>DEMO / SIMULATED</x:v>
      </x:c>
    </x:row>
    <x:row r="650">
      <x:c r="A650" t="str">
        <x:v>JFD-20230922-0648</x:v>
      </x:c>
      <x:c r="B650" s="11" t="n">
        <x:v>45191.63958333333</x:v>
      </x:c>
      <x:c r="C650" s="13" t="n">
        <x:v>0.6395833333333333</x:v>
      </x:c>
      <x:c r="D650" t="str">
        <x:v>Damak</x:v>
      </x:c>
      <x:c r="E650" t="str">
        <x:v>Milan’s Bakery</x:v>
      </x:c>
      <x:c r="F650" s="14" t="n">
        <x:v>875</x:v>
      </x:c>
      <x:c r="G650" t="str">
        <x:v>DEMO / SIMULATED</x:v>
      </x:c>
    </x:row>
    <x:row r="651">
      <x:c r="A651" t="str">
        <x:v>JFD-20251112-0649</x:v>
      </x:c>
      <x:c r="B651" s="11" t="n">
        <x:v>45973.73541666667</x:v>
      </x:c>
      <x:c r="C651" s="13" t="n">
        <x:v>0.7354166666666667</x:v>
      </x:c>
      <x:c r="D651" t="str">
        <x:v>Damak</x:v>
      </x:c>
      <x:c r="E651" t="str">
        <x:v>Milan’s Bakery</x:v>
      </x:c>
      <x:c r="F651" s="14" t="n">
        <x:v>3655</x:v>
      </x:c>
      <x:c r="G651" t="str">
        <x:v>DEMO / SIMULATED</x:v>
      </x:c>
    </x:row>
    <x:row r="652">
      <x:c r="A652" t="str">
        <x:v>JFD-20230610-0650</x:v>
      </x:c>
      <x:c r="B652" s="11" t="n">
        <x:v>45087.90625</x:v>
      </x:c>
      <x:c r="C652" s="13" t="n">
        <x:v>0.90625</x:v>
      </x:c>
      <x:c r="D652" t="str">
        <x:v>Damak</x:v>
      </x:c>
      <x:c r="E652" t="str">
        <x:v>Milan’s Bakery</x:v>
      </x:c>
      <x:c r="F652" s="14" t="n">
        <x:v>140</x:v>
      </x:c>
      <x:c r="G652" t="str">
        <x:v>DEMO / SIMULATED</x:v>
      </x:c>
    </x:row>
    <x:row r="653">
      <x:c r="A653" t="str">
        <x:v>JFD-20240225-0651</x:v>
      </x:c>
      <x:c r="B653" s="11" t="n">
        <x:v>45347.47361111111</x:v>
      </x:c>
      <x:c r="C653" s="13" t="n">
        <x:v>0.4736111111111111</x:v>
      </x:c>
      <x:c r="D653" t="str">
        <x:v>Damak</x:v>
      </x:c>
      <x:c r="E653" t="str">
        <x:v>Milan’s Bakery</x:v>
      </x:c>
      <x:c r="F653" s="14" t="n">
        <x:v>1460</x:v>
      </x:c>
      <x:c r="G653" t="str">
        <x:v>DEMO / SIMULATED</x:v>
      </x:c>
    </x:row>
    <x:row r="654">
      <x:c r="A654" t="str">
        <x:v>JFD-20240122-0652</x:v>
      </x:c>
      <x:c r="B654" s="11" t="n">
        <x:v>45313.65347222222</x:v>
      </x:c>
      <x:c r="C654" s="13" t="n">
        <x:v>0.6534722222222222</x:v>
      </x:c>
      <x:c r="D654" t="str">
        <x:v>Damak</x:v>
      </x:c>
      <x:c r="E654" t="str">
        <x:v>Milan’s Bakery</x:v>
      </x:c>
      <x:c r="F654" s="14" t="n">
        <x:v>360</x:v>
      </x:c>
      <x:c r="G654" t="str">
        <x:v>DEMO / SIMULATED</x:v>
      </x:c>
    </x:row>
    <x:row r="655">
      <x:c r="A655" t="str">
        <x:v>JFD-20260219-0653</x:v>
      </x:c>
      <x:c r="B655" s="11" t="n">
        <x:v>46072.84027777778</x:v>
      </x:c>
      <x:c r="C655" s="13" t="n">
        <x:v>0.8402777777777778</x:v>
      </x:c>
      <x:c r="D655" t="str">
        <x:v>Birtamode</x:v>
      </x:c>
      <x:c r="E655" t="str">
        <x:v>Pizza Ghar</x:v>
      </x:c>
      <x:c r="F655" s="14" t="n">
        <x:v>220</x:v>
      </x:c>
      <x:c r="G655" t="str">
        <x:v>DEMO / SIMULATED</x:v>
      </x:c>
    </x:row>
    <x:row r="656">
      <x:c r="A656" t="str">
        <x:v>JFD-20260224-0654</x:v>
      </x:c>
      <x:c r="B656" s="11" t="n">
        <x:v>46077.541666666664</x:v>
      </x:c>
      <x:c r="C656" s="13" t="n">
        <x:v>0.5416666666666666</x:v>
      </x:c>
      <x:c r="D656" t="str">
        <x:v>Damak</x:v>
      </x:c>
      <x:c r="E656" t="str">
        <x:v>Late Night Cravings</x:v>
      </x:c>
      <x:c r="F656" s="14" t="n">
        <x:v>800</x:v>
      </x:c>
      <x:c r="G656" t="str">
        <x:v>DEMO / SIMULATED</x:v>
      </x:c>
    </x:row>
    <x:row r="657">
      <x:c r="A657" t="str">
        <x:v>JFD-20250305-0655</x:v>
      </x:c>
      <x:c r="B657" s="11" t="n">
        <x:v>45721.864583333336</x:v>
      </x:c>
      <x:c r="C657" s="13" t="n">
        <x:v>0.8645833333333334</x:v>
      </x:c>
      <x:c r="D657" t="str">
        <x:v>Damak</x:v>
      </x:c>
      <x:c r="E657" t="str">
        <x:v>Late Night Cravings</x:v>
      </x:c>
      <x:c r="F657" s="14" t="n">
        <x:v>95</x:v>
      </x:c>
      <x:c r="G657" t="str">
        <x:v>DEMO / SIMULATED</x:v>
      </x:c>
    </x:row>
    <x:row r="658">
      <x:c r="A658" t="str">
        <x:v>JFD-20250106-0656</x:v>
      </x:c>
      <x:c r="B658" s="11" t="n">
        <x:v>45663.46597222222</x:v>
      </x:c>
      <x:c r="C658" s="13" t="n">
        <x:v>0.46597222222222223</x:v>
      </x:c>
      <x:c r="D658" t="str">
        <x:v>Birtamode</x:v>
      </x:c>
      <x:c r="E658" t="str">
        <x:v>The Underground Cafe &amp; Restaurant</x:v>
      </x:c>
      <x:c r="F658" s="14" t="n">
        <x:v>645</x:v>
      </x:c>
      <x:c r="G658" t="str">
        <x:v>DEMO / SIMULATED</x:v>
      </x:c>
    </x:row>
    <x:row r="659">
      <x:c r="A659" t="str">
        <x:v>JFD-20230522-0657</x:v>
      </x:c>
      <x:c r="B659" s="11" t="n">
        <x:v>45068.55</x:v>
      </x:c>
      <x:c r="C659" s="13" t="n">
        <x:v>0.55</x:v>
      </x:c>
      <x:c r="D659" t="str">
        <x:v>Birtamode</x:v>
      </x:c>
      <x:c r="E659" t="str">
        <x:v>Pizza Ghar</x:v>
      </x:c>
      <x:c r="F659" s="14" t="n">
        <x:v>1130</x:v>
      </x:c>
      <x:c r="G659" t="str">
        <x:v>DEMO / SIMULATED</x:v>
      </x:c>
    </x:row>
    <x:row r="660">
      <x:c r="A660" t="str">
        <x:v>JFD-20241224-0658</x:v>
      </x:c>
      <x:c r="B660" s="11" t="n">
        <x:v>45650.89236111111</x:v>
      </x:c>
      <x:c r="C660" s="13" t="n">
        <x:v>0.8923611111111112</x:v>
      </x:c>
      <x:c r="D660" t="str">
        <x:v>Damak</x:v>
      </x:c>
      <x:c r="E660" t="str">
        <x:v>Late Night Cravings</x:v>
      </x:c>
      <x:c r="F660" s="14" t="n">
        <x:v>830</x:v>
      </x:c>
      <x:c r="G660" t="str">
        <x:v>DEMO / SIMULATED</x:v>
      </x:c>
    </x:row>
    <x:row r="661">
      <x:c r="A661" t="str">
        <x:v>JFD-20230615-0659</x:v>
      </x:c>
      <x:c r="B661" s="11" t="n">
        <x:v>45092.43819444445</x:v>
      </x:c>
      <x:c r="C661" s="13" t="n">
        <x:v>0.43819444444444444</x:v>
      </x:c>
      <x:c r="D661" t="str">
        <x:v>Birtamode</x:v>
      </x:c>
      <x:c r="E661" t="str">
        <x:v>Pizza Ghar</x:v>
      </x:c>
      <x:c r="F661" s="14" t="n">
        <x:v>805</x:v>
      </x:c>
      <x:c r="G661" t="str">
        <x:v>DEMO / SIMULATED</x:v>
      </x:c>
    </x:row>
    <x:row r="662">
      <x:c r="A662" t="str">
        <x:v>JFD-20260606-0660</x:v>
      </x:c>
      <x:c r="B662" s="11" t="n">
        <x:v>46179.72708333333</x:v>
      </x:c>
      <x:c r="C662" s="13" t="n">
        <x:v>0.7270833333333333</x:v>
      </x:c>
      <x:c r="D662" t="str">
        <x:v>Damak</x:v>
      </x:c>
      <x:c r="E662" t="str">
        <x:v>Late Night Cravings</x:v>
      </x:c>
      <x:c r="F662" s="14" t="n">
        <x:v>1080</x:v>
      </x:c>
      <x:c r="G662" t="str">
        <x:v>DEMO / SIMULATED</x:v>
      </x:c>
    </x:row>
    <x:row r="663">
      <x:c r="A663" t="str">
        <x:v>JFD-20230901-0661</x:v>
      </x:c>
      <x:c r="B663" s="11" t="n">
        <x:v>45170.69930555556</x:v>
      </x:c>
      <x:c r="C663" s="13" t="n">
        <x:v>0.6993055555555555</x:v>
      </x:c>
      <x:c r="D663" t="str">
        <x:v>Birtamode</x:v>
      </x:c>
      <x:c r="E663" t="str">
        <x:v>The Underground Cafe &amp; Restaurant</x:v>
      </x:c>
      <x:c r="F663" s="14" t="n">
        <x:v>935</x:v>
      </x:c>
      <x:c r="G663" t="str">
        <x:v>DEMO / SIMULATED</x:v>
      </x:c>
    </x:row>
    <x:row r="664">
      <x:c r="A664" t="str">
        <x:v>JFD-20241007-0662</x:v>
      </x:c>
      <x:c r="B664" s="11" t="n">
        <x:v>45572.74236111111</x:v>
      </x:c>
      <x:c r="C664" s="13" t="n">
        <x:v>0.7423611111111111</x:v>
      </x:c>
      <x:c r="D664" t="str">
        <x:v>Birtamode</x:v>
      </x:c>
      <x:c r="E664" t="str">
        <x:v>Pizza Ghar</x:v>
      </x:c>
      <x:c r="F664" s="14" t="n">
        <x:v>1060</x:v>
      </x:c>
      <x:c r="G664" t="str">
        <x:v>DEMO / SIMULATED</x:v>
      </x:c>
    </x:row>
    <x:row r="665">
      <x:c r="A665" t="str">
        <x:v>JFD-20230121-0663</x:v>
      </x:c>
      <x:c r="B665" s="11" t="n">
        <x:v>44947.819444444445</x:v>
      </x:c>
      <x:c r="C665" s="13" t="n">
        <x:v>0.8194444444444444</x:v>
      </x:c>
      <x:c r="D665" t="str">
        <x:v>Damak</x:v>
      </x:c>
      <x:c r="E665" t="str">
        <x:v>Late Night Cravings</x:v>
      </x:c>
      <x:c r="F665" s="14" t="n">
        <x:v>930</x:v>
      </x:c>
      <x:c r="G665" t="str">
        <x:v>DEMO / SIMULATED</x:v>
      </x:c>
    </x:row>
    <x:row r="666">
      <x:c r="A666" t="str">
        <x:v>JFD-20230109-0664</x:v>
      </x:c>
      <x:c r="B666" s="11" t="n">
        <x:v>44935.67847222222</x:v>
      </x:c>
      <x:c r="C666" s="13" t="n">
        <x:v>0.6784722222222223</x:v>
      </x:c>
      <x:c r="D666" t="str">
        <x:v>Damak</x:v>
      </x:c>
      <x:c r="E666" t="str">
        <x:v>Late Night Cravings</x:v>
      </x:c>
      <x:c r="F666" s="14" t="n">
        <x:v>105</x:v>
      </x:c>
      <x:c r="G666" t="str">
        <x:v>DEMO / SIMULATED</x:v>
      </x:c>
    </x:row>
    <x:row r="667">
      <x:c r="A667" t="str">
        <x:v>JFD-20240107-0665</x:v>
      </x:c>
      <x:c r="B667" s="11" t="n">
        <x:v>45298.691666666666</x:v>
      </x:c>
      <x:c r="C667" s="13" t="n">
        <x:v>0.6916666666666667</x:v>
      </x:c>
      <x:c r="D667" t="str">
        <x:v>Damak</x:v>
      </x:c>
      <x:c r="E667" t="str">
        <x:v>Milan’s Bakery</x:v>
      </x:c>
      <x:c r="F667" s="14" t="n">
        <x:v>2460</x:v>
      </x:c>
      <x:c r="G667" t="str">
        <x:v>DEMO / SIMULATED</x:v>
      </x:c>
    </x:row>
    <x:row r="668">
      <x:c r="A668" t="str">
        <x:v>JFD-20240920-0666</x:v>
      </x:c>
      <x:c r="B668" s="11" t="n">
        <x:v>45555.88055555556</x:v>
      </x:c>
      <x:c r="C668" s="13" t="n">
        <x:v>0.8805555555555555</x:v>
      </x:c>
      <x:c r="D668" t="str">
        <x:v>Birtamode</x:v>
      </x:c>
      <x:c r="E668" t="str">
        <x:v>The Underground Cafe &amp; Restaurant</x:v>
      </x:c>
      <x:c r="F668" s="14" t="n">
        <x:v>135</x:v>
      </x:c>
      <x:c r="G668" t="str">
        <x:v>DEMO / SIMULATED</x:v>
      </x:c>
    </x:row>
    <x:row r="669">
      <x:c r="A669" t="str">
        <x:v>JFD-20240105-0667</x:v>
      </x:c>
      <x:c r="B669" s="11" t="n">
        <x:v>45296.45694444444</x:v>
      </x:c>
      <x:c r="C669" s="13" t="n">
        <x:v>0.45694444444444443</x:v>
      </x:c>
      <x:c r="D669" t="str">
        <x:v>Birtamode</x:v>
      </x:c>
      <x:c r="E669" t="str">
        <x:v>Pizza Ghar</x:v>
      </x:c>
      <x:c r="F669" s="14" t="n">
        <x:v>1570</x:v>
      </x:c>
      <x:c r="G669" t="str">
        <x:v>DEMO / SIMULATED</x:v>
      </x:c>
    </x:row>
    <x:row r="670">
      <x:c r="A670" t="str">
        <x:v>JFD-20240716-0668</x:v>
      </x:c>
      <x:c r="B670" s="11" t="n">
        <x:v>45489.80416666667</x:v>
      </x:c>
      <x:c r="C670" s="13" t="n">
        <x:v>0.8041666666666667</x:v>
      </x:c>
      <x:c r="D670" t="str">
        <x:v>Damak</x:v>
      </x:c>
      <x:c r="E670" t="str">
        <x:v>Late Night Cravings</x:v>
      </x:c>
      <x:c r="F670" s="14" t="n">
        <x:v>630</x:v>
      </x:c>
      <x:c r="G670" t="str">
        <x:v>DEMO / SIMULATED</x:v>
      </x:c>
    </x:row>
    <x:row r="671">
      <x:c r="A671" t="str">
        <x:v>JFD-20240604-0669</x:v>
      </x:c>
      <x:c r="B671" s="11" t="n">
        <x:v>45447.79861111111</x:v>
      </x:c>
      <x:c r="C671" s="13" t="n">
        <x:v>0.7986111111111112</x:v>
      </x:c>
      <x:c r="D671" t="str">
        <x:v>Damak</x:v>
      </x:c>
      <x:c r="E671" t="str">
        <x:v>Milan’s Bakery</x:v>
      </x:c>
      <x:c r="F671" s="14" t="n">
        <x:v>3160</x:v>
      </x:c>
      <x:c r="G671" t="str">
        <x:v>DEMO / SIMULATED</x:v>
      </x:c>
    </x:row>
    <x:row r="672">
      <x:c r="A672" t="str">
        <x:v>JFD-20240402-0670</x:v>
      </x:c>
      <x:c r="B672" s="11" t="n">
        <x:v>45384.58541666667</x:v>
      </x:c>
      <x:c r="C672" s="13" t="n">
        <x:v>0.5854166666666667</x:v>
      </x:c>
      <x:c r="D672" t="str">
        <x:v>Birtamode</x:v>
      </x:c>
      <x:c r="E672" t="str">
        <x:v>The Underground Cafe &amp; Restaurant</x:v>
      </x:c>
      <x:c r="F672" s="14" t="n">
        <x:v>870</x:v>
      </x:c>
      <x:c r="G672" t="str">
        <x:v>DEMO / SIMULATED</x:v>
      </x:c>
    </x:row>
    <x:row r="673">
      <x:c r="A673" t="str">
        <x:v>JFD-20250427-0671</x:v>
      </x:c>
      <x:c r="B673" s="11" t="n">
        <x:v>45774.46388888889</x:v>
      </x:c>
      <x:c r="C673" s="13" t="n">
        <x:v>0.4638888888888889</x:v>
      </x:c>
      <x:c r="D673" t="str">
        <x:v>Birtamode</x:v>
      </x:c>
      <x:c r="E673" t="str">
        <x:v>Pizza Ghar</x:v>
      </x:c>
      <x:c r="F673" s="14" t="n">
        <x:v>1500</x:v>
      </x:c>
      <x:c r="G673" t="str">
        <x:v>DEMO / SIMULATED</x:v>
      </x:c>
    </x:row>
    <x:row r="674">
      <x:c r="A674" t="str">
        <x:v>JFD-20260117-0672</x:v>
      </x:c>
      <x:c r="B674" s="11" t="n">
        <x:v>46039.52777777778</x:v>
      </x:c>
      <x:c r="C674" s="13" t="n">
        <x:v>0.5277777777777778</x:v>
      </x:c>
      <x:c r="D674" t="str">
        <x:v>Birtamode</x:v>
      </x:c>
      <x:c r="E674" t="str">
        <x:v>Pizza Ghar</x:v>
      </x:c>
      <x:c r="F674" s="14" t="n">
        <x:v>570</x:v>
      </x:c>
      <x:c r="G674" t="str">
        <x:v>DEMO / SIMULATED</x:v>
      </x:c>
    </x:row>
    <x:row r="675">
      <x:c r="A675" t="str">
        <x:v>JFD-20250613-0673</x:v>
      </x:c>
      <x:c r="B675" s="11" t="n">
        <x:v>45821.77291666667</x:v>
      </x:c>
      <x:c r="C675" s="13" t="n">
        <x:v>0.7729166666666667</x:v>
      </x:c>
      <x:c r="D675" t="str">
        <x:v>Birtamode</x:v>
      </x:c>
      <x:c r="E675" t="str">
        <x:v>Pizza Ghar</x:v>
      </x:c>
      <x:c r="F675" s="14" t="n">
        <x:v>1630</x:v>
      </x:c>
      <x:c r="G675" t="str">
        <x:v>DEMO / SIMULATED</x:v>
      </x:c>
    </x:row>
    <x:row r="676">
      <x:c r="A676" t="str">
        <x:v>JFD-20251103-0674</x:v>
      </x:c>
      <x:c r="B676" s="11" t="n">
        <x:v>45964.785416666666</x:v>
      </x:c>
      <x:c r="C676" s="13" t="n">
        <x:v>0.7854166666666667</x:v>
      </x:c>
      <x:c r="D676" t="str">
        <x:v>Birtamode</x:v>
      </x:c>
      <x:c r="E676" t="str">
        <x:v>Pizza Ghar</x:v>
      </x:c>
      <x:c r="F676" s="14" t="n">
        <x:v>1635</x:v>
      </x:c>
      <x:c r="G676" t="str">
        <x:v>DEMO / SIMULATED</x:v>
      </x:c>
    </x:row>
    <x:row r="677">
      <x:c r="A677" t="str">
        <x:v>JFD-20230814-0675</x:v>
      </x:c>
      <x:c r="B677" s="11" t="n">
        <x:v>45152.74236111111</x:v>
      </x:c>
      <x:c r="C677" s="13" t="n">
        <x:v>0.7423611111111111</x:v>
      </x:c>
      <x:c r="D677" t="str">
        <x:v>Damak</x:v>
      </x:c>
      <x:c r="E677" t="str">
        <x:v>Late Night Cravings</x:v>
      </x:c>
      <x:c r="F677" s="14" t="n">
        <x:v>865</x:v>
      </x:c>
      <x:c r="G677" t="str">
        <x:v>DEMO / SIMULATED</x:v>
      </x:c>
    </x:row>
    <x:row r="678">
      <x:c r="A678" t="str">
        <x:v>JFD-20241119-0676</x:v>
      </x:c>
      <x:c r="B678" s="11" t="n">
        <x:v>45615.6</x:v>
      </x:c>
      <x:c r="C678" s="13" t="n">
        <x:v>0.6</x:v>
      </x:c>
      <x:c r="D678" t="str">
        <x:v>Birtamode</x:v>
      </x:c>
      <x:c r="E678" t="str">
        <x:v>The Underground Cafe &amp; Restaurant</x:v>
      </x:c>
      <x:c r="F678" s="14" t="n">
        <x:v>1075</x:v>
      </x:c>
      <x:c r="G678" t="str">
        <x:v>DEMO / SIMULATED</x:v>
      </x:c>
    </x:row>
    <x:row r="679">
      <x:c r="A679" t="str">
        <x:v>JFD-20240121-0677</x:v>
      </x:c>
      <x:c r="B679" s="11" t="n">
        <x:v>45312.65625</x:v>
      </x:c>
      <x:c r="C679" s="13" t="n">
        <x:v>0.65625</x:v>
      </x:c>
      <x:c r="D679" t="str">
        <x:v>Birtamode</x:v>
      </x:c>
      <x:c r="E679" t="str">
        <x:v>The Underground Cafe &amp; Restaurant</x:v>
      </x:c>
      <x:c r="F679" s="14" t="n">
        <x:v>70</x:v>
      </x:c>
      <x:c r="G679" t="str">
        <x:v>DEMO / SIMULATED</x:v>
      </x:c>
    </x:row>
    <x:row r="680">
      <x:c r="A680" t="str">
        <x:v>JFD-20250925-0678</x:v>
      </x:c>
      <x:c r="B680" s="11" t="n">
        <x:v>45925.55625</x:v>
      </x:c>
      <x:c r="C680" s="13" t="n">
        <x:v>0.55625</x:v>
      </x:c>
      <x:c r="D680" t="str">
        <x:v>Damak</x:v>
      </x:c>
      <x:c r="E680" t="str">
        <x:v>Milan’s Bakery</x:v>
      </x:c>
      <x:c r="F680" s="14" t="n">
        <x:v>470</x:v>
      </x:c>
      <x:c r="G680" t="str">
        <x:v>DEMO / SIMULATED</x:v>
      </x:c>
    </x:row>
    <x:row r="681">
      <x:c r="A681" t="str">
        <x:v>JFD-20240321-0679</x:v>
      </x:c>
      <x:c r="B681" s="11" t="n">
        <x:v>45372.42222222222</x:v>
      </x:c>
      <x:c r="C681" s="13" t="n">
        <x:v>0.4222222222222222</x:v>
      </x:c>
      <x:c r="D681" t="str">
        <x:v>Birtamode</x:v>
      </x:c>
      <x:c r="E681" t="str">
        <x:v>The Underground Cafe &amp; Restaurant</x:v>
      </x:c>
      <x:c r="F681" s="14" t="n">
        <x:v>225</x:v>
      </x:c>
      <x:c r="G681" t="str">
        <x:v>DEMO / SIMULATED</x:v>
      </x:c>
    </x:row>
    <x:row r="682">
      <x:c r="A682" t="str">
        <x:v>JFD-20250523-0680</x:v>
      </x:c>
      <x:c r="B682" s="11" t="n">
        <x:v>45800.81736111111</x:v>
      </x:c>
      <x:c r="C682" s="13" t="n">
        <x:v>0.8173611111111111</x:v>
      </x:c>
      <x:c r="D682" t="str">
        <x:v>Damak</x:v>
      </x:c>
      <x:c r="E682" t="str">
        <x:v>Late Night Cravings</x:v>
      </x:c>
      <x:c r="F682" s="14" t="n">
        <x:v>190</x:v>
      </x:c>
      <x:c r="G682" t="str">
        <x:v>DEMO / SIMULATED</x:v>
      </x:c>
    </x:row>
    <x:row r="683">
      <x:c r="A683" t="str">
        <x:v>JFD-20230903-0681</x:v>
      </x:c>
      <x:c r="B683" s="11" t="n">
        <x:v>45172.748611111114</x:v>
      </x:c>
      <x:c r="C683" s="13" t="n">
        <x:v>0.7486111111111111</x:v>
      </x:c>
      <x:c r="D683" t="str">
        <x:v>Birtamode</x:v>
      </x:c>
      <x:c r="E683" t="str">
        <x:v>Pizza Ghar</x:v>
      </x:c>
      <x:c r="F683" s="14" t="n">
        <x:v>950</x:v>
      </x:c>
      <x:c r="G683" t="str">
        <x:v>DEMO / SIMULATED</x:v>
      </x:c>
    </x:row>
    <x:row r="684">
      <x:c r="A684" t="str">
        <x:v>JFD-20231108-0682</x:v>
      </x:c>
      <x:c r="B684" s="11" t="n">
        <x:v>45238.83888888889</x:v>
      </x:c>
      <x:c r="C684" s="13" t="n">
        <x:v>0.8388888888888889</x:v>
      </x:c>
      <x:c r="D684" t="str">
        <x:v>Damak</x:v>
      </x:c>
      <x:c r="E684" t="str">
        <x:v>Late Night Cravings</x:v>
      </x:c>
      <x:c r="F684" s="14" t="n">
        <x:v>140</x:v>
      </x:c>
      <x:c r="G684" t="str">
        <x:v>DEMO / SIMULATED</x:v>
      </x:c>
    </x:row>
    <x:row r="685">
      <x:c r="A685" t="str">
        <x:v>JFD-20251231-0683</x:v>
      </x:c>
      <x:c r="B685" s="11" t="n">
        <x:v>46022.84722222222</x:v>
      </x:c>
      <x:c r="C685" s="13" t="n">
        <x:v>0.8472222222222222</x:v>
      </x:c>
      <x:c r="D685" t="str">
        <x:v>Damak</x:v>
      </x:c>
      <x:c r="E685" t="str">
        <x:v>Late Night Cravings</x:v>
      </x:c>
      <x:c r="F685" s="14" t="n">
        <x:v>1085</x:v>
      </x:c>
      <x:c r="G685" t="str">
        <x:v>DEMO / SIMULATED</x:v>
      </x:c>
    </x:row>
    <x:row r="686">
      <x:c r="A686" t="str">
        <x:v>JFD-20230914-0684</x:v>
      </x:c>
      <x:c r="B686" s="11" t="n">
        <x:v>45183.73819444444</x:v>
      </x:c>
      <x:c r="C686" s="13" t="n">
        <x:v>0.7381944444444445</x:v>
      </x:c>
      <x:c r="D686" t="str">
        <x:v>Damak</x:v>
      </x:c>
      <x:c r="E686" t="str">
        <x:v>Milan’s Bakery</x:v>
      </x:c>
      <x:c r="F686" s="14" t="n">
        <x:v>280</x:v>
      </x:c>
      <x:c r="G686" t="str">
        <x:v>DEMO / SIMULATED</x:v>
      </x:c>
    </x:row>
    <x:row r="687">
      <x:c r="A687" t="str">
        <x:v>JFD-20260506-0685</x:v>
      </x:c>
      <x:c r="B687" s="11" t="n">
        <x:v>46148.50208333333</x:v>
      </x:c>
      <x:c r="C687" s="13" t="n">
        <x:v>0.5020833333333333</x:v>
      </x:c>
      <x:c r="D687" t="str">
        <x:v>Birtamode</x:v>
      </x:c>
      <x:c r="E687" t="str">
        <x:v>The Underground Cafe &amp; Restaurant</x:v>
      </x:c>
      <x:c r="F687" s="14" t="n">
        <x:v>750</x:v>
      </x:c>
      <x:c r="G687" t="str">
        <x:v>DEMO / SIMULATED</x:v>
      </x:c>
    </x:row>
    <x:row r="688">
      <x:c r="A688" t="str">
        <x:v>JFD-20231107-0686</x:v>
      </x:c>
      <x:c r="B688" s="11" t="n">
        <x:v>45237.83472222222</x:v>
      </x:c>
      <x:c r="C688" s="13" t="n">
        <x:v>0.8347222222222223</x:v>
      </x:c>
      <x:c r="D688" t="str">
        <x:v>Damak</x:v>
      </x:c>
      <x:c r="E688" t="str">
        <x:v>Milan’s Bakery</x:v>
      </x:c>
      <x:c r="F688" s="14" t="n">
        <x:v>1480</x:v>
      </x:c>
      <x:c r="G688" t="str">
        <x:v>DEMO / SIMULATED</x:v>
      </x:c>
    </x:row>
    <x:row r="689">
      <x:c r="A689" t="str">
        <x:v>JFD-20230824-0687</x:v>
      </x:c>
      <x:c r="B689" s="11" t="n">
        <x:v>45162.583333333336</x:v>
      </x:c>
      <x:c r="C689" s="13" t="n">
        <x:v>0.5833333333333334</x:v>
      </x:c>
      <x:c r="D689" t="str">
        <x:v>Birtamode</x:v>
      </x:c>
      <x:c r="E689" t="str">
        <x:v>The Underground Cafe &amp; Restaurant</x:v>
      </x:c>
      <x:c r="F689" s="14" t="n">
        <x:v>365</x:v>
      </x:c>
      <x:c r="G689" t="str">
        <x:v>DEMO / SIMULATED</x:v>
      </x:c>
    </x:row>
    <x:row r="690">
      <x:c r="A690" t="str">
        <x:v>JFD-20230121-0688</x:v>
      </x:c>
      <x:c r="B690" s="11" t="n">
        <x:v>44947.902083333334</x:v>
      </x:c>
      <x:c r="C690" s="13" t="n">
        <x:v>0.9020833333333333</x:v>
      </x:c>
      <x:c r="D690" t="str">
        <x:v>Damak</x:v>
      </x:c>
      <x:c r="E690" t="str">
        <x:v>Milan’s Bakery</x:v>
      </x:c>
      <x:c r="F690" s="14" t="n">
        <x:v>735</x:v>
      </x:c>
      <x:c r="G690" t="str">
        <x:v>DEMO / SIMULATED</x:v>
      </x:c>
    </x:row>
    <x:row r="691">
      <x:c r="A691" t="str">
        <x:v>JFD-20250810-0689</x:v>
      </x:c>
      <x:c r="B691" s="11" t="n">
        <x:v>45879.638194444444</x:v>
      </x:c>
      <x:c r="C691" s="13" t="n">
        <x:v>0.6381944444444444</x:v>
      </x:c>
      <x:c r="D691" t="str">
        <x:v>Damak</x:v>
      </x:c>
      <x:c r="E691" t="str">
        <x:v>Late Night Cravings</x:v>
      </x:c>
      <x:c r="F691" s="14" t="n">
        <x:v>915</x:v>
      </x:c>
      <x:c r="G691" t="str">
        <x:v>DEMO / SIMULATED</x:v>
      </x:c>
    </x:row>
    <x:row r="692">
      <x:c r="A692" t="str">
        <x:v>JFD-20230413-0690</x:v>
      </x:c>
      <x:c r="B692" s="11" t="n">
        <x:v>45029.558333333334</x:v>
      </x:c>
      <x:c r="C692" s="13" t="n">
        <x:v>0.5583333333333333</x:v>
      </x:c>
      <x:c r="D692" t="str">
        <x:v>Damak</x:v>
      </x:c>
      <x:c r="E692" t="str">
        <x:v>Milan’s Bakery</x:v>
      </x:c>
      <x:c r="F692" s="14" t="n">
        <x:v>740</x:v>
      </x:c>
      <x:c r="G692" t="str">
        <x:v>DEMO / SIMULATED</x:v>
      </x:c>
    </x:row>
    <x:row r="693">
      <x:c r="A693" t="str">
        <x:v>JFD-20260224-0691</x:v>
      </x:c>
      <x:c r="B693" s="11" t="n">
        <x:v>46077.680555555555</x:v>
      </x:c>
      <x:c r="C693" s="13" t="n">
        <x:v>0.6805555555555556</x:v>
      </x:c>
      <x:c r="D693" t="str">
        <x:v>Damak</x:v>
      </x:c>
      <x:c r="E693" t="str">
        <x:v>Late Night Cravings</x:v>
      </x:c>
      <x:c r="F693" s="14" t="n">
        <x:v>600</x:v>
      </x:c>
      <x:c r="G693" t="str">
        <x:v>DEMO / SIMULATED</x:v>
      </x:c>
    </x:row>
    <x:row r="694">
      <x:c r="A694" t="str">
        <x:v>JFD-20250708-0692</x:v>
      </x:c>
      <x:c r="B694" s="11" t="n">
        <x:v>45846.714583333334</x:v>
      </x:c>
      <x:c r="C694" s="13" t="n">
        <x:v>0.7145833333333333</x:v>
      </x:c>
      <x:c r="D694" t="str">
        <x:v>Damak</x:v>
      </x:c>
      <x:c r="E694" t="str">
        <x:v>Milan’s Bakery</x:v>
      </x:c>
      <x:c r="F694" s="14" t="n">
        <x:v>1880</x:v>
      </x:c>
      <x:c r="G694" t="str">
        <x:v>DEMO / SIMULATED</x:v>
      </x:c>
    </x:row>
    <x:row r="695">
      <x:c r="A695" t="str">
        <x:v>JFD-20241201-0693</x:v>
      </x:c>
      <x:c r="B695" s="11" t="n">
        <x:v>45627.79027777778</x:v>
      </x:c>
      <x:c r="C695" s="13" t="n">
        <x:v>0.7902777777777777</x:v>
      </x:c>
      <x:c r="D695" t="str">
        <x:v>Birtamode</x:v>
      </x:c>
      <x:c r="E695" t="str">
        <x:v>The Underground Cafe &amp; Restaurant</x:v>
      </x:c>
      <x:c r="F695" s="14" t="n">
        <x:v>765</x:v>
      </x:c>
      <x:c r="G695" t="str">
        <x:v>DEMO / SIMULATED</x:v>
      </x:c>
    </x:row>
    <x:row r="696">
      <x:c r="A696" t="str">
        <x:v>JFD-20250822-0694</x:v>
      </x:c>
      <x:c r="B696" s="11" t="n">
        <x:v>45891.43819444445</x:v>
      </x:c>
      <x:c r="C696" s="13" t="n">
        <x:v>0.43819444444444444</x:v>
      </x:c>
      <x:c r="D696" t="str">
        <x:v>Damak</x:v>
      </x:c>
      <x:c r="E696" t="str">
        <x:v>Milan’s Bakery</x:v>
      </x:c>
      <x:c r="F696" s="14" t="n">
        <x:v>655</x:v>
      </x:c>
      <x:c r="G696" t="str">
        <x:v>DEMO / SIMULATED</x:v>
      </x:c>
    </x:row>
    <x:row r="697">
      <x:c r="A697" t="str">
        <x:v>JFD-20260302-0695</x:v>
      </x:c>
      <x:c r="B697" s="11" t="n">
        <x:v>46083.60208333333</x:v>
      </x:c>
      <x:c r="C697" s="13" t="n">
        <x:v>0.6020833333333333</x:v>
      </x:c>
      <x:c r="D697" t="str">
        <x:v>Birtamode</x:v>
      </x:c>
      <x:c r="E697" t="str">
        <x:v>The Underground Cafe &amp; Restaurant</x:v>
      </x:c>
      <x:c r="F697" s="14" t="n">
        <x:v>475</x:v>
      </x:c>
      <x:c r="G697" t="str">
        <x:v>DEMO / SIMULATED</x:v>
      </x:c>
    </x:row>
    <x:row r="698">
      <x:c r="A698" t="str">
        <x:v>JFD-20250420-0696</x:v>
      </x:c>
      <x:c r="B698" s="11" t="n">
        <x:v>45767.42013888889</x:v>
      </x:c>
      <x:c r="C698" s="13" t="n">
        <x:v>0.4201388888888889</x:v>
      </x:c>
      <x:c r="D698" t="str">
        <x:v>Birtamode</x:v>
      </x:c>
      <x:c r="E698" t="str">
        <x:v>The Underground Cafe &amp; Restaurant</x:v>
      </x:c>
      <x:c r="F698" s="14" t="n">
        <x:v>675</x:v>
      </x:c>
      <x:c r="G698" t="str">
        <x:v>DEMO / SIMULATED</x:v>
      </x:c>
    </x:row>
    <x:row r="699">
      <x:c r="A699" t="str">
        <x:v>JFD-20250210-0697</x:v>
      </x:c>
      <x:c r="B699" s="11" t="n">
        <x:v>45698.89444444444</x:v>
      </x:c>
      <x:c r="C699" s="13" t="n">
        <x:v>0.8944444444444445</x:v>
      </x:c>
      <x:c r="D699" t="str">
        <x:v>Damak</x:v>
      </x:c>
      <x:c r="E699" t="str">
        <x:v>Late Night Cravings</x:v>
      </x:c>
      <x:c r="F699" s="14" t="n">
        <x:v>1060</x:v>
      </x:c>
      <x:c r="G699" t="str">
        <x:v>DEMO / SIMULATED</x:v>
      </x:c>
    </x:row>
    <x:row r="700">
      <x:c r="A700" t="str">
        <x:v>JFD-20230110-0698</x:v>
      </x:c>
      <x:c r="B700" s="11" t="n">
        <x:v>44936.83125</x:v>
      </x:c>
      <x:c r="C700" s="13" t="n">
        <x:v>0.83125</x:v>
      </x:c>
      <x:c r="D700" t="str">
        <x:v>Damak</x:v>
      </x:c>
      <x:c r="E700" t="str">
        <x:v>Milan’s Bakery</x:v>
      </x:c>
      <x:c r="F700" s="14" t="n">
        <x:v>980</x:v>
      </x:c>
      <x:c r="G700" t="str">
        <x:v>DEMO / SIMULATED</x:v>
      </x:c>
    </x:row>
    <x:row r="701">
      <x:c r="A701" t="str">
        <x:v>JFD-20260605-0699</x:v>
      </x:c>
      <x:c r="B701" s="11" t="n">
        <x:v>46178.86666666667</x:v>
      </x:c>
      <x:c r="C701" s="13" t="n">
        <x:v>0.8666666666666667</x:v>
      </x:c>
      <x:c r="D701" t="str">
        <x:v>Birtamode</x:v>
      </x:c>
      <x:c r="E701" t="str">
        <x:v>The Underground Cafe &amp; Restaurant</x:v>
      </x:c>
      <x:c r="F701" s="14" t="n">
        <x:v>575</x:v>
      </x:c>
      <x:c r="G701" t="str">
        <x:v>DEMO / SIMULATED</x:v>
      </x:c>
    </x:row>
    <x:row r="702">
      <x:c r="A702" t="str">
        <x:v>JFD-20260104-0700</x:v>
      </x:c>
      <x:c r="B702" s="11" t="n">
        <x:v>46026.90138888889</x:v>
      </x:c>
      <x:c r="C702" s="13" t="n">
        <x:v>0.9013888888888889</x:v>
      </x:c>
      <x:c r="D702" t="str">
        <x:v>Birtamode</x:v>
      </x:c>
      <x:c r="E702" t="str">
        <x:v>The Underground Cafe &amp; Restaurant</x:v>
      </x:c>
      <x:c r="F702" s="14" t="n">
        <x:v>725</x:v>
      </x:c>
      <x:c r="G702" t="str">
        <x:v>DEMO / SIMULATED</x:v>
      </x:c>
    </x:row>
    <x:row r="703">
      <x:c r="A703" t="str">
        <x:v>JFD-20260509-0701</x:v>
      </x:c>
      <x:c r="B703" s="11" t="n">
        <x:v>46151.58541666667</x:v>
      </x:c>
      <x:c r="C703" s="13" t="n">
        <x:v>0.5854166666666667</x:v>
      </x:c>
      <x:c r="D703" t="str">
        <x:v>Damak</x:v>
      </x:c>
      <x:c r="E703" t="str">
        <x:v>Late Night Cravings</x:v>
      </x:c>
      <x:c r="F703" s="14" t="n">
        <x:v>1420</x:v>
      </x:c>
      <x:c r="G703" t="str">
        <x:v>DEMO / SIMULATED</x:v>
      </x:c>
    </x:row>
    <x:row r="704">
      <x:c r="A704" t="str">
        <x:v>JFD-20240505-0702</x:v>
      </x:c>
      <x:c r="B704" s="11" t="n">
        <x:v>45417.56180555555</x:v>
      </x:c>
      <x:c r="C704" s="13" t="n">
        <x:v>0.5618055555555556</x:v>
      </x:c>
      <x:c r="D704" t="str">
        <x:v>Damak</x:v>
      </x:c>
      <x:c r="E704" t="str">
        <x:v>Late Night Cravings</x:v>
      </x:c>
      <x:c r="F704" s="14" t="n">
        <x:v>980</x:v>
      </x:c>
      <x:c r="G704" t="str">
        <x:v>DEMO / SIMULATED</x:v>
      </x:c>
    </x:row>
    <x:row r="705">
      <x:c r="A705" t="str">
        <x:v>JFD-20250626-0703</x:v>
      </x:c>
      <x:c r="B705" s="11" t="n">
        <x:v>45834.743055555555</x:v>
      </x:c>
      <x:c r="C705" s="13" t="n">
        <x:v>0.7430555555555556</x:v>
      </x:c>
      <x:c r="D705" t="str">
        <x:v>Damak</x:v>
      </x:c>
      <x:c r="E705" t="str">
        <x:v>Milan’s Bakery</x:v>
      </x:c>
      <x:c r="F705" s="14" t="n">
        <x:v>1220</x:v>
      </x:c>
      <x:c r="G705" t="str">
        <x:v>DEMO / SIMULATED</x:v>
      </x:c>
    </x:row>
    <x:row r="706">
      <x:c r="A706" t="str">
        <x:v>JFD-20260224-0704</x:v>
      </x:c>
      <x:c r="B706" s="11" t="n">
        <x:v>46077.86736111111</x:v>
      </x:c>
      <x:c r="C706" s="13" t="n">
        <x:v>0.8673611111111111</x:v>
      </x:c>
      <x:c r="D706" t="str">
        <x:v>Birtamode</x:v>
      </x:c>
      <x:c r="E706" t="str">
        <x:v>The Underground Cafe &amp; Restaurant</x:v>
      </x:c>
      <x:c r="F706" s="14" t="n">
        <x:v>40</x:v>
      </x:c>
      <x:c r="G706" t="str">
        <x:v>DEMO / SIMULATED</x:v>
      </x:c>
    </x:row>
    <x:row r="707">
      <x:c r="A707" t="str">
        <x:v>JFD-20230213-0705</x:v>
      </x:c>
      <x:c r="B707" s="11" t="n">
        <x:v>44970.467361111114</x:v>
      </x:c>
      <x:c r="C707" s="13" t="n">
        <x:v>0.4673611111111111</x:v>
      </x:c>
      <x:c r="D707" t="str">
        <x:v>Birtamode</x:v>
      </x:c>
      <x:c r="E707" t="str">
        <x:v>Pizza Ghar</x:v>
      </x:c>
      <x:c r="F707" s="14" t="n">
        <x:v>395</x:v>
      </x:c>
      <x:c r="G707" t="str">
        <x:v>DEMO / SIMULATED</x:v>
      </x:c>
    </x:row>
    <x:row r="708">
      <x:c r="A708" t="str">
        <x:v>JFD-20250511-0706</x:v>
      </x:c>
      <x:c r="B708" s="11" t="n">
        <x:v>45788.61944444444</x:v>
      </x:c>
      <x:c r="C708" s="13" t="n">
        <x:v>0.6194444444444445</x:v>
      </x:c>
      <x:c r="D708" t="str">
        <x:v>Birtamode</x:v>
      </x:c>
      <x:c r="E708" t="str">
        <x:v>The Underground Cafe &amp; Restaurant</x:v>
      </x:c>
      <x:c r="F708" s="14" t="n">
        <x:v>405</x:v>
      </x:c>
      <x:c r="G708" t="str">
        <x:v>DEMO / SIMULATED</x:v>
      </x:c>
    </x:row>
    <x:row r="709">
      <x:c r="A709" t="str">
        <x:v>JFD-20260405-0707</x:v>
      </x:c>
      <x:c r="B709" s="11" t="n">
        <x:v>46117.88055555556</x:v>
      </x:c>
      <x:c r="C709" s="13" t="n">
        <x:v>0.8805555555555555</x:v>
      </x:c>
      <x:c r="D709" t="str">
        <x:v>Birtamode</x:v>
      </x:c>
      <x:c r="E709" t="str">
        <x:v>The Underground Cafe &amp; Restaurant</x:v>
      </x:c>
      <x:c r="F709" s="14" t="n">
        <x:v>340</x:v>
      </x:c>
      <x:c r="G709" t="str">
        <x:v>DEMO / SIMULATED</x:v>
      </x:c>
    </x:row>
    <x:row r="710">
      <x:c r="A710" t="str">
        <x:v>JFD-20240225-0708</x:v>
      </x:c>
      <x:c r="B710" s="11" t="n">
        <x:v>45347.63958333333</x:v>
      </x:c>
      <x:c r="C710" s="13" t="n">
        <x:v>0.6395833333333333</x:v>
      </x:c>
      <x:c r="D710" t="str">
        <x:v>Damak</x:v>
      </x:c>
      <x:c r="E710" t="str">
        <x:v>Milan’s Bakery</x:v>
      </x:c>
      <x:c r="F710" s="14" t="n">
        <x:v>3165</x:v>
      </x:c>
      <x:c r="G710" t="str">
        <x:v>DEMO / SIMULATED</x:v>
      </x:c>
    </x:row>
    <x:row r="711">
      <x:c r="A711" t="str">
        <x:v>JFD-20230223-0709</x:v>
      </x:c>
      <x:c r="B711" s="11" t="n">
        <x:v>44980.52638888889</x:v>
      </x:c>
      <x:c r="C711" s="13" t="n">
        <x:v>0.5263888888888889</x:v>
      </x:c>
      <x:c r="D711" t="str">
        <x:v>Damak</x:v>
      </x:c>
      <x:c r="E711" t="str">
        <x:v>Late Night Cravings</x:v>
      </x:c>
      <x:c r="F711" s="14" t="n">
        <x:v>700</x:v>
      </x:c>
      <x:c r="G711" t="str">
        <x:v>DEMO / SIMULATED</x:v>
      </x:c>
    </x:row>
    <x:row r="712">
      <x:c r="A712" t="str">
        <x:v>JFD-20240227-0710</x:v>
      </x:c>
      <x:c r="B712" s="11" t="n">
        <x:v>45349.5125</x:v>
      </x:c>
      <x:c r="C712" s="13" t="n">
        <x:v>0.5125</x:v>
      </x:c>
      <x:c r="D712" t="str">
        <x:v>Birtamode</x:v>
      </x:c>
      <x:c r="E712" t="str">
        <x:v>The Underground Cafe &amp; Restaurant</x:v>
      </x:c>
      <x:c r="F712" s="14" t="n">
        <x:v>820</x:v>
      </x:c>
      <x:c r="G712" t="str">
        <x:v>DEMO / SIMULATED</x:v>
      </x:c>
    </x:row>
    <x:row r="713">
      <x:c r="A713" t="str">
        <x:v>JFD-20241126-0711</x:v>
      </x:c>
      <x:c r="B713" s="11" t="n">
        <x:v>45622.68958333333</x:v>
      </x:c>
      <x:c r="C713" s="13" t="n">
        <x:v>0.6895833333333333</x:v>
      </x:c>
      <x:c r="D713" t="str">
        <x:v>Damak</x:v>
      </x:c>
      <x:c r="E713" t="str">
        <x:v>Milan’s Bakery</x:v>
      </x:c>
      <x:c r="F713" s="14" t="n">
        <x:v>270</x:v>
      </x:c>
      <x:c r="G713" t="str">
        <x:v>DEMO / SIMULATED</x:v>
      </x:c>
    </x:row>
    <x:row r="714">
      <x:c r="A714" t="str">
        <x:v>JFD-20240823-0712</x:v>
      </x:c>
      <x:c r="B714" s="11" t="n">
        <x:v>45527.50069444445</x:v>
      </x:c>
      <x:c r="C714" s="13" t="n">
        <x:v>0.5006944444444444</x:v>
      </x:c>
      <x:c r="D714" t="str">
        <x:v>Damak</x:v>
      </x:c>
      <x:c r="E714" t="str">
        <x:v>Milan’s Bakery</x:v>
      </x:c>
      <x:c r="F714" s="14" t="n">
        <x:v>70</x:v>
      </x:c>
      <x:c r="G714" t="str">
        <x:v>DEMO / SIMULATED</x:v>
      </x:c>
    </x:row>
    <x:row r="715">
      <x:c r="A715" t="str">
        <x:v>JFD-20240206-0713</x:v>
      </x:c>
      <x:c r="B715" s="11" t="n">
        <x:v>45328.893055555556</x:v>
      </x:c>
      <x:c r="C715" s="13" t="n">
        <x:v>0.8930555555555556</x:v>
      </x:c>
      <x:c r="D715" t="str">
        <x:v>Damak</x:v>
      </x:c>
      <x:c r="E715" t="str">
        <x:v>Late Night Cravings</x:v>
      </x:c>
      <x:c r="F715" s="14" t="n">
        <x:v>455</x:v>
      </x:c>
      <x:c r="G715" t="str">
        <x:v>DEMO / SIMULATED</x:v>
      </x:c>
    </x:row>
    <x:row r="716">
      <x:c r="A716" t="str">
        <x:v>JFD-20241028-0714</x:v>
      </x:c>
      <x:c r="B716" s="11" t="n">
        <x:v>45593.475</x:v>
      </x:c>
      <x:c r="C716" s="13" t="n">
        <x:v>0.475</x:v>
      </x:c>
      <x:c r="D716" t="str">
        <x:v>Birtamode</x:v>
      </x:c>
      <x:c r="E716" t="str">
        <x:v>The Underground Cafe &amp; Restaurant</x:v>
      </x:c>
      <x:c r="F716" s="14" t="n">
        <x:v>770</x:v>
      </x:c>
      <x:c r="G716" t="str">
        <x:v>DEMO / SIMULATED</x:v>
      </x:c>
    </x:row>
    <x:row r="717">
      <x:c r="A717" t="str">
        <x:v>JFD-20260619-0715</x:v>
      </x:c>
      <x:c r="B717" s="11" t="n">
        <x:v>46192.552083333336</x:v>
      </x:c>
      <x:c r="C717" s="13" t="n">
        <x:v>0.5520833333333334</x:v>
      </x:c>
      <x:c r="D717" t="str">
        <x:v>Damak</x:v>
      </x:c>
      <x:c r="E717" t="str">
        <x:v>Late Night Cravings</x:v>
      </x:c>
      <x:c r="F717" s="14" t="n">
        <x:v>320</x:v>
      </x:c>
      <x:c r="G717" t="str">
        <x:v>DEMO / SIMULATED</x:v>
      </x:c>
    </x:row>
    <x:row r="718">
      <x:c r="A718" t="str">
        <x:v>JFD-20250508-0716</x:v>
      </x:c>
      <x:c r="B718" s="11" t="n">
        <x:v>45785.89097222222</x:v>
      </x:c>
      <x:c r="C718" s="13" t="n">
        <x:v>0.8909722222222223</x:v>
      </x:c>
      <x:c r="D718" t="str">
        <x:v>Birtamode</x:v>
      </x:c>
      <x:c r="E718" t="str">
        <x:v>Pizza Ghar</x:v>
      </x:c>
      <x:c r="F718" s="14" t="n">
        <x:v>585</x:v>
      </x:c>
      <x:c r="G718" t="str">
        <x:v>DEMO / SIMULATED</x:v>
      </x:c>
    </x:row>
    <x:row r="719">
      <x:c r="A719" t="str">
        <x:v>JFD-20260531-0717</x:v>
      </x:c>
      <x:c r="B719" s="11" t="n">
        <x:v>46173.604166666664</x:v>
      </x:c>
      <x:c r="C719" s="13" t="n">
        <x:v>0.6041666666666666</x:v>
      </x:c>
      <x:c r="D719" t="str">
        <x:v>Birtamode</x:v>
      </x:c>
      <x:c r="E719" t="str">
        <x:v>Pizza Ghar</x:v>
      </x:c>
      <x:c r="F719" s="14" t="n">
        <x:v>3520</x:v>
      </x:c>
      <x:c r="G719" t="str">
        <x:v>DEMO / SIMULATED</x:v>
      </x:c>
    </x:row>
    <x:row r="720">
      <x:c r="A720" t="str">
        <x:v>JFD-20240204-0718</x:v>
      </x:c>
      <x:c r="B720" s="11" t="n">
        <x:v>45326.45972222222</x:v>
      </x:c>
      <x:c r="C720" s="13" t="n">
        <x:v>0.4597222222222222</x:v>
      </x:c>
      <x:c r="D720" t="str">
        <x:v>Birtamode</x:v>
      </x:c>
      <x:c r="E720" t="str">
        <x:v>The Underground Cafe &amp; Restaurant</x:v>
      </x:c>
      <x:c r="F720" s="14" t="n">
        <x:v>155</x:v>
      </x:c>
      <x:c r="G720" t="str">
        <x:v>DEMO / SIMULATED</x:v>
      </x:c>
    </x:row>
    <x:row r="721">
      <x:c r="A721" t="str">
        <x:v>JFD-20260804-0719</x:v>
      </x:c>
      <x:c r="B721" s="11" t="n">
        <x:v>46238.53472222222</x:v>
      </x:c>
      <x:c r="C721" s="13" t="n">
        <x:v>0.5347222222222222</x:v>
      </x:c>
      <x:c r="D721" t="str">
        <x:v>Birtamode</x:v>
      </x:c>
      <x:c r="E721" t="str">
        <x:v>The Underground Cafe &amp; Restaurant</x:v>
      </x:c>
      <x:c r="F721" s="14" t="n">
        <x:v>1445</x:v>
      </x:c>
      <x:c r="G721" t="str">
        <x:v>DEMO / SIMULATED</x:v>
      </x:c>
    </x:row>
    <x:row r="722">
      <x:c r="A722" t="str">
        <x:v>JFD-20241218-0720</x:v>
      </x:c>
      <x:c r="B722" s="11" t="n">
        <x:v>45644.75069444445</x:v>
      </x:c>
      <x:c r="C722" s="13" t="n">
        <x:v>0.7506944444444444</x:v>
      </x:c>
      <x:c r="D722" t="str">
        <x:v>Damak</x:v>
      </x:c>
      <x:c r="E722" t="str">
        <x:v>Late Night Cravings</x:v>
      </x:c>
      <x:c r="F722" s="14" t="n">
        <x:v>1270</x:v>
      </x:c>
      <x:c r="G722" t="str">
        <x:v>DEMO / SIMULATED</x:v>
      </x:c>
    </x:row>
    <x:row r="723">
      <x:c r="A723" t="str">
        <x:v>JFD-20260417-0721</x:v>
      </x:c>
      <x:c r="B723" s="11" t="n">
        <x:v>46129.58888888889</x:v>
      </x:c>
      <x:c r="C723" s="13" t="n">
        <x:v>0.5888888888888889</x:v>
      </x:c>
      <x:c r="D723" t="str">
        <x:v>Birtamode</x:v>
      </x:c>
      <x:c r="E723" t="str">
        <x:v>Pizza Ghar</x:v>
      </x:c>
      <x:c r="F723" s="14" t="n">
        <x:v>2720</x:v>
      </x:c>
      <x:c r="G723" t="str">
        <x:v>DEMO / SIMULATED</x:v>
      </x:c>
    </x:row>
    <x:row r="724">
      <x:c r="A724" t="str">
        <x:v>JFD-20260508-0722</x:v>
      </x:c>
      <x:c r="B724" s="11" t="n">
        <x:v>46150.42013888889</x:v>
      </x:c>
      <x:c r="C724" s="13" t="n">
        <x:v>0.4201388888888889</x:v>
      </x:c>
      <x:c r="D724" t="str">
        <x:v>Birtamode</x:v>
      </x:c>
      <x:c r="E724" t="str">
        <x:v>The Underground Cafe &amp; Restaurant</x:v>
      </x:c>
      <x:c r="F724" s="14" t="n">
        <x:v>80</x:v>
      </x:c>
      <x:c r="G724" t="str">
        <x:v>DEMO / SIMULATED</x:v>
      </x:c>
    </x:row>
    <x:row r="725">
      <x:c r="A725" t="str">
        <x:v>JFD-20230725-0723</x:v>
      </x:c>
      <x:c r="B725" s="11" t="n">
        <x:v>45132.67152777778</x:v>
      </x:c>
      <x:c r="C725" s="13" t="n">
        <x:v>0.6715277777777777</x:v>
      </x:c>
      <x:c r="D725" t="str">
        <x:v>Birtamode</x:v>
      </x:c>
      <x:c r="E725" t="str">
        <x:v>Pizza Ghar</x:v>
      </x:c>
      <x:c r="F725" s="14" t="n">
        <x:v>645</x:v>
      </x:c>
      <x:c r="G725" t="str">
        <x:v>DEMO / SIMULATED</x:v>
      </x:c>
    </x:row>
    <x:row r="726">
      <x:c r="A726" t="str">
        <x:v>JFD-20251222-0724</x:v>
      </x:c>
      <x:c r="B726" s="11" t="n">
        <x:v>46013.538194444445</x:v>
      </x:c>
      <x:c r="C726" s="13" t="n">
        <x:v>0.5381944444444444</x:v>
      </x:c>
      <x:c r="D726" t="str">
        <x:v>Damak</x:v>
      </x:c>
      <x:c r="E726" t="str">
        <x:v>Milan’s Bakery</x:v>
      </x:c>
      <x:c r="F726" s="14" t="n">
        <x:v>440</x:v>
      </x:c>
      <x:c r="G726" t="str">
        <x:v>DEMO / SIMULATED</x:v>
      </x:c>
    </x:row>
    <x:row r="727">
      <x:c r="A727" t="str">
        <x:v>JFD-20260220-0725</x:v>
      </x:c>
      <x:c r="B727" s="11" t="n">
        <x:v>46073.86319444444</x:v>
      </x:c>
      <x:c r="C727" s="13" t="n">
        <x:v>0.8631944444444445</x:v>
      </x:c>
      <x:c r="D727" t="str">
        <x:v>Damak</x:v>
      </x:c>
      <x:c r="E727" t="str">
        <x:v>Milan’s Bakery</x:v>
      </x:c>
      <x:c r="F727" s="14" t="n">
        <x:v>1800</x:v>
      </x:c>
      <x:c r="G727" t="str">
        <x:v>DEMO / SIMULATED</x:v>
      </x:c>
    </x:row>
    <x:row r="728">
      <x:c r="A728" t="str">
        <x:v>JFD-20240109-0726</x:v>
      </x:c>
      <x:c r="B728" s="11" t="n">
        <x:v>45300.85833333333</x:v>
      </x:c>
      <x:c r="C728" s="13" t="n">
        <x:v>0.8583333333333333</x:v>
      </x:c>
      <x:c r="D728" t="str">
        <x:v>Damak</x:v>
      </x:c>
      <x:c r="E728" t="str">
        <x:v>Late Night Cravings</x:v>
      </x:c>
      <x:c r="F728" s="14" t="n">
        <x:v>735</x:v>
      </x:c>
      <x:c r="G728" t="str">
        <x:v>DEMO / SIMULATED</x:v>
      </x:c>
    </x:row>
    <x:row r="729">
      <x:c r="A729" t="str">
        <x:v>JFD-20260417-0727</x:v>
      </x:c>
      <x:c r="B729" s="11" t="n">
        <x:v>46129.76527777778</x:v>
      </x:c>
      <x:c r="C729" s="13" t="n">
        <x:v>0.7652777777777777</x:v>
      </x:c>
      <x:c r="D729" t="str">
        <x:v>Damak</x:v>
      </x:c>
      <x:c r="E729" t="str">
        <x:v>Milan’s Bakery</x:v>
      </x:c>
      <x:c r="F729" s="14" t="n">
        <x:v>1200</x:v>
      </x:c>
      <x:c r="G729" t="str">
        <x:v>DEMO / SIMULATED</x:v>
      </x:c>
    </x:row>
    <x:row r="730">
      <x:c r="A730" t="str">
        <x:v>JFD-20251014-0728</x:v>
      </x:c>
      <x:c r="B730" s="11" t="n">
        <x:v>45944.643055555556</x:v>
      </x:c>
      <x:c r="C730" s="13" t="n">
        <x:v>0.6430555555555556</x:v>
      </x:c>
      <x:c r="D730" t="str">
        <x:v>Damak</x:v>
      </x:c>
      <x:c r="E730" t="str">
        <x:v>Milan’s Bakery</x:v>
      </x:c>
      <x:c r="F730" s="14" t="n">
        <x:v>2070</x:v>
      </x:c>
      <x:c r="G730" t="str">
        <x:v>DEMO / SIMULATED</x:v>
      </x:c>
    </x:row>
    <x:row r="731">
      <x:c r="A731" t="str">
        <x:v>JFD-20250519-0729</x:v>
      </x:c>
      <x:c r="B731" s="11" t="n">
        <x:v>45796.82152777778</x:v>
      </x:c>
      <x:c r="C731" s="13" t="n">
        <x:v>0.8215277777777777</x:v>
      </x:c>
      <x:c r="D731" t="str">
        <x:v>Birtamode</x:v>
      </x:c>
      <x:c r="E731" t="str">
        <x:v>The Underground Cafe &amp; Restaurant</x:v>
      </x:c>
      <x:c r="F731" s="14" t="n">
        <x:v>420</x:v>
      </x:c>
      <x:c r="G731" t="str">
        <x:v>DEMO / SIMULATED</x:v>
      </x:c>
    </x:row>
    <x:row r="732">
      <x:c r="A732" t="str">
        <x:v>JFD-20230226-0730</x:v>
      </x:c>
      <x:c r="B732" s="11" t="n">
        <x:v>44983.81041666667</x:v>
      </x:c>
      <x:c r="C732" s="13" t="n">
        <x:v>0.8104166666666667</x:v>
      </x:c>
      <x:c r="D732" t="str">
        <x:v>Damak</x:v>
      </x:c>
      <x:c r="E732" t="str">
        <x:v>Late Night Cravings</x:v>
      </x:c>
      <x:c r="F732" s="14" t="n">
        <x:v>500</x:v>
      </x:c>
      <x:c r="G732" t="str">
        <x:v>DEMO / SIMULATED</x:v>
      </x:c>
    </x:row>
    <x:row r="733">
      <x:c r="A733" t="str">
        <x:v>JFD-20250731-0731</x:v>
      </x:c>
      <x:c r="B733" s="11" t="n">
        <x:v>45869.60138888889</x:v>
      </x:c>
      <x:c r="C733" s="13" t="n">
        <x:v>0.6013888888888889</x:v>
      </x:c>
      <x:c r="D733" t="str">
        <x:v>Damak</x:v>
      </x:c>
      <x:c r="E733" t="str">
        <x:v>Late Night Cravings</x:v>
      </x:c>
      <x:c r="F733" s="14" t="n">
        <x:v>150</x:v>
      </x:c>
      <x:c r="G733" t="str">
        <x:v>DEMO / SIMULATED</x:v>
      </x:c>
    </x:row>
    <x:row r="734">
      <x:c r="A734" t="str">
        <x:v>JFD-20240211-0732</x:v>
      </x:c>
      <x:c r="B734" s="11" t="n">
        <x:v>45333.53125</x:v>
      </x:c>
      <x:c r="C734" s="13" t="n">
        <x:v>0.53125</x:v>
      </x:c>
      <x:c r="D734" t="str">
        <x:v>Damak</x:v>
      </x:c>
      <x:c r="E734" t="str">
        <x:v>Milan’s Bakery</x:v>
      </x:c>
      <x:c r="F734" s="14" t="n">
        <x:v>4225</x:v>
      </x:c>
      <x:c r="G734" t="str">
        <x:v>DEMO / SIMULATED</x:v>
      </x:c>
    </x:row>
    <x:row r="735">
      <x:c r="A735" t="str">
        <x:v>JFD-20240209-0733</x:v>
      </x:c>
      <x:c r="B735" s="11" t="n">
        <x:v>45331.59305555555</x:v>
      </x:c>
      <x:c r="C735" s="13" t="n">
        <x:v>0.5930555555555556</x:v>
      </x:c>
      <x:c r="D735" t="str">
        <x:v>Damak</x:v>
      </x:c>
      <x:c r="E735" t="str">
        <x:v>Milan’s Bakery</x:v>
      </x:c>
      <x:c r="F735" s="14" t="n">
        <x:v>710</x:v>
      </x:c>
      <x:c r="G735" t="str">
        <x:v>DEMO / SIMULATED</x:v>
      </x:c>
    </x:row>
    <x:row r="736">
      <x:c r="A736" t="str">
        <x:v>JFD-20240606-0734</x:v>
      </x:c>
      <x:c r="B736" s="11" t="n">
        <x:v>45449.41805555556</x:v>
      </x:c>
      <x:c r="C736" s="13" t="n">
        <x:v>0.41805555555555557</x:v>
      </x:c>
      <x:c r="D736" t="str">
        <x:v>Birtamode</x:v>
      </x:c>
      <x:c r="E736" t="str">
        <x:v>The Underground Cafe &amp; Restaurant</x:v>
      </x:c>
      <x:c r="F736" s="14" t="n">
        <x:v>895</x:v>
      </x:c>
      <x:c r="G736" t="str">
        <x:v>DEMO / SIMULATED</x:v>
      </x:c>
    </x:row>
    <x:row r="737">
      <x:c r="A737" t="str">
        <x:v>JFD-20241201-0735</x:v>
      </x:c>
      <x:c r="B737" s="11" t="n">
        <x:v>45627.59861111111</x:v>
      </x:c>
      <x:c r="C737" s="13" t="n">
        <x:v>0.5986111111111111</x:v>
      </x:c>
      <x:c r="D737" t="str">
        <x:v>Birtamode</x:v>
      </x:c>
      <x:c r="E737" t="str">
        <x:v>Pizza Ghar</x:v>
      </x:c>
      <x:c r="F737" s="14" t="n">
        <x:v>2040</x:v>
      </x:c>
      <x:c r="G737" t="str">
        <x:v>DEMO / SIMULATED</x:v>
      </x:c>
    </x:row>
    <x:row r="738">
      <x:c r="A738" t="str">
        <x:v>JFD-20250415-0736</x:v>
      </x:c>
      <x:c r="B738" s="11" t="n">
        <x:v>45762.69097222222</x:v>
      </x:c>
      <x:c r="C738" s="13" t="n">
        <x:v>0.6909722222222222</x:v>
      </x:c>
      <x:c r="D738" t="str">
        <x:v>Damak</x:v>
      </x:c>
      <x:c r="E738" t="str">
        <x:v>Milan’s Bakery</x:v>
      </x:c>
      <x:c r="F738" s="14" t="n">
        <x:v>3380</x:v>
      </x:c>
      <x:c r="G738" t="str">
        <x:v>DEMO / SIMULATED</x:v>
      </x:c>
    </x:row>
    <x:row r="739">
      <x:c r="A739" t="str">
        <x:v>JFD-20240323-0737</x:v>
      </x:c>
      <x:c r="B739" s="11" t="n">
        <x:v>45374.6375</x:v>
      </x:c>
      <x:c r="C739" s="13" t="n">
        <x:v>0.6375</x:v>
      </x:c>
      <x:c r="D739" t="str">
        <x:v>Birtamode</x:v>
      </x:c>
      <x:c r="E739" t="str">
        <x:v>The Underground Cafe &amp; Restaurant</x:v>
      </x:c>
      <x:c r="F739" s="14" t="n">
        <x:v>905</x:v>
      </x:c>
      <x:c r="G739" t="str">
        <x:v>DEMO / SIMULATED</x:v>
      </x:c>
    </x:row>
    <x:row r="740">
      <x:c r="A740" t="str">
        <x:v>JFD-20240225-0738</x:v>
      </x:c>
      <x:c r="B740" s="11" t="n">
        <x:v>45347.626388888886</x:v>
      </x:c>
      <x:c r="C740" s="13" t="n">
        <x:v>0.6263888888888889</x:v>
      </x:c>
      <x:c r="D740" t="str">
        <x:v>Birtamode</x:v>
      </x:c>
      <x:c r="E740" t="str">
        <x:v>The Underground Cafe &amp; Restaurant</x:v>
      </x:c>
      <x:c r="F740" s="14" t="n">
        <x:v>105</x:v>
      </x:c>
      <x:c r="G740" t="str">
        <x:v>DEMO / SIMULATED</x:v>
      </x:c>
    </x:row>
    <x:row r="741">
      <x:c r="A741" t="str">
        <x:v>JFD-20250819-0739</x:v>
      </x:c>
      <x:c r="B741" s="11" t="n">
        <x:v>45888.71875</x:v>
      </x:c>
      <x:c r="C741" s="13" t="n">
        <x:v>0.71875</x:v>
      </x:c>
      <x:c r="D741" t="str">
        <x:v>Birtamode</x:v>
      </x:c>
      <x:c r="E741" t="str">
        <x:v>Pizza Ghar</x:v>
      </x:c>
      <x:c r="F741" s="14" t="n">
        <x:v>615</x:v>
      </x:c>
      <x:c r="G741" t="str">
        <x:v>DEMO / SIMULATED</x:v>
      </x:c>
    </x:row>
    <x:row r="742">
      <x:c r="A742" t="str">
        <x:v>JFD-20250625-0740</x:v>
      </x:c>
      <x:c r="B742" s="11" t="n">
        <x:v>45833.43819444445</x:v>
      </x:c>
      <x:c r="C742" s="13" t="n">
        <x:v>0.43819444444444444</x:v>
      </x:c>
      <x:c r="D742" t="str">
        <x:v>Birtamode</x:v>
      </x:c>
      <x:c r="E742" t="str">
        <x:v>The Underground Cafe &amp; Restaurant</x:v>
      </x:c>
      <x:c r="F742" s="14" t="n">
        <x:v>610</x:v>
      </x:c>
      <x:c r="G742" t="str">
        <x:v>DEMO / SIMULATED</x:v>
      </x:c>
    </x:row>
    <x:row r="743">
      <x:c r="A743" t="str">
        <x:v>JFD-20260601-0741</x:v>
      </x:c>
      <x:c r="B743" s="11" t="n">
        <x:v>46174.46597222222</x:v>
      </x:c>
      <x:c r="C743" s="13" t="n">
        <x:v>0.46597222222222223</x:v>
      </x:c>
      <x:c r="D743" t="str">
        <x:v>Damak</x:v>
      </x:c>
      <x:c r="E743" t="str">
        <x:v>Milan’s Bakery</x:v>
      </x:c>
      <x:c r="F743" s="14" t="n">
        <x:v>2100</x:v>
      </x:c>
      <x:c r="G743" t="str">
        <x:v>DEMO / SIMULATED</x:v>
      </x:c>
    </x:row>
    <x:row r="744">
      <x:c r="A744" t="str">
        <x:v>JFD-20240424-0742</x:v>
      </x:c>
      <x:c r="B744" s="11" t="n">
        <x:v>45406.873611111114</x:v>
      </x:c>
      <x:c r="C744" s="13" t="n">
        <x:v>0.8736111111111111</x:v>
      </x:c>
      <x:c r="D744" t="str">
        <x:v>Birtamode</x:v>
      </x:c>
      <x:c r="E744" t="str">
        <x:v>The Underground Cafe &amp; Restaurant</x:v>
      </x:c>
      <x:c r="F744" s="14" t="n">
        <x:v>360</x:v>
      </x:c>
      <x:c r="G744" t="str">
        <x:v>DEMO / SIMULATED</x:v>
      </x:c>
    </x:row>
    <x:row r="745">
      <x:c r="A745" t="str">
        <x:v>JFD-20250703-0743</x:v>
      </x:c>
      <x:c r="B745" s="11" t="n">
        <x:v>45841.785416666666</x:v>
      </x:c>
      <x:c r="C745" s="13" t="n">
        <x:v>0.7854166666666667</x:v>
      </x:c>
      <x:c r="D745" t="str">
        <x:v>Birtamode</x:v>
      </x:c>
      <x:c r="E745" t="str">
        <x:v>The Underground Cafe &amp; Restaurant</x:v>
      </x:c>
      <x:c r="F745" s="14" t="n">
        <x:v>380</x:v>
      </x:c>
      <x:c r="G745" t="str">
        <x:v>DEMO / SIMULATED</x:v>
      </x:c>
    </x:row>
    <x:row r="746">
      <x:c r="A746" t="str">
        <x:v>JFD-20261003-0744</x:v>
      </x:c>
      <x:c r="B746" s="11" t="n">
        <x:v>46298.67986111111</x:v>
      </x:c>
      <x:c r="C746" s="13" t="n">
        <x:v>0.6798611111111111</x:v>
      </x:c>
      <x:c r="D746" t="str">
        <x:v>Birtamode</x:v>
      </x:c>
      <x:c r="E746" t="str">
        <x:v>The Underground Cafe &amp; Restaurant</x:v>
      </x:c>
      <x:c r="F746" s="14" t="n">
        <x:v>40</x:v>
      </x:c>
      <x:c r="G746" t="str">
        <x:v>DEMO / SIMULATED</x:v>
      </x:c>
    </x:row>
    <x:row r="747">
      <x:c r="A747" t="str">
        <x:v>JFD-20241014-0745</x:v>
      </x:c>
      <x:c r="B747" s="11" t="n">
        <x:v>45579.54027777778</x:v>
      </x:c>
      <x:c r="C747" s="13" t="n">
        <x:v>0.5402777777777777</x:v>
      </x:c>
      <x:c r="D747" t="str">
        <x:v>Birtamode</x:v>
      </x:c>
      <x:c r="E747" t="str">
        <x:v>The Underground Cafe &amp; Restaurant</x:v>
      </x:c>
      <x:c r="F747" s="14" t="n">
        <x:v>310</x:v>
      </x:c>
      <x:c r="G747" t="str">
        <x:v>DEMO / SIMULATED</x:v>
      </x:c>
    </x:row>
    <x:row r="748">
      <x:c r="A748" t="str">
        <x:v>JFD-20230413-0746</x:v>
      </x:c>
      <x:c r="B748" s="11" t="n">
        <x:v>45029.60833333333</x:v>
      </x:c>
      <x:c r="C748" s="13" t="n">
        <x:v>0.6083333333333333</x:v>
      </x:c>
      <x:c r="D748" t="str">
        <x:v>Birtamode</x:v>
      </x:c>
      <x:c r="E748" t="str">
        <x:v>The Underground Cafe &amp; Restaurant</x:v>
      </x:c>
      <x:c r="F748" s="14" t="n">
        <x:v>700</x:v>
      </x:c>
      <x:c r="G748" t="str">
        <x:v>DEMO / SIMULATED</x:v>
      </x:c>
    </x:row>
    <x:row r="749">
      <x:c r="A749" t="str">
        <x:v>JFD-20230831-0747</x:v>
      </x:c>
      <x:c r="B749" s="11" t="n">
        <x:v>45169.76527777778</x:v>
      </x:c>
      <x:c r="C749" s="13" t="n">
        <x:v>0.7652777777777777</x:v>
      </x:c>
      <x:c r="D749" t="str">
        <x:v>Birtamode</x:v>
      </x:c>
      <x:c r="E749" t="str">
        <x:v>The Underground Cafe &amp; Restaurant</x:v>
      </x:c>
      <x:c r="F749" s="14" t="n">
        <x:v>885</x:v>
      </x:c>
      <x:c r="G749" t="str">
        <x:v>DEMO / SIMULATED</x:v>
      </x:c>
    </x:row>
    <x:row r="750">
      <x:c r="A750" t="str">
        <x:v>JFD-20240511-0748</x:v>
      </x:c>
      <x:c r="B750" s="11" t="n">
        <x:v>45423.54236111111</x:v>
      </x:c>
      <x:c r="C750" s="13" t="n">
        <x:v>0.5423611111111111</x:v>
      </x:c>
      <x:c r="D750" t="str">
        <x:v>Birtamode</x:v>
      </x:c>
      <x:c r="E750" t="str">
        <x:v>Pizza Ghar</x:v>
      </x:c>
      <x:c r="F750" s="14" t="n">
        <x:v>2180</x:v>
      </x:c>
      <x:c r="G750" t="str">
        <x:v>DEMO / SIMULATED</x:v>
      </x:c>
    </x:row>
    <x:row r="751">
      <x:c r="A751" t="str">
        <x:v>JFD-20251130-0749</x:v>
      </x:c>
      <x:c r="B751" s="11" t="n">
        <x:v>45991.51944444444</x:v>
      </x:c>
      <x:c r="C751" s="13" t="n">
        <x:v>0.5194444444444445</x:v>
      </x:c>
      <x:c r="D751" t="str">
        <x:v>Damak</x:v>
      </x:c>
      <x:c r="E751" t="str">
        <x:v>Late Night Cravings</x:v>
      </x:c>
      <x:c r="F751" s="14" t="n">
        <x:v>300</x:v>
      </x:c>
      <x:c r="G751" t="str">
        <x:v>DEMO / SIMULATED</x:v>
      </x:c>
    </x:row>
    <x:row r="752">
      <x:c r="A752" t="str">
        <x:v>JFD-20260129-0750</x:v>
      </x:c>
      <x:c r="B752" s="11" t="n">
        <x:v>46051.59097222222</x:v>
      </x:c>
      <x:c r="C752" s="13" t="n">
        <x:v>0.5909722222222222</x:v>
      </x:c>
      <x:c r="D752" t="str">
        <x:v>Birtamode</x:v>
      </x:c>
      <x:c r="E752" t="str">
        <x:v>Pizza Ghar</x:v>
      </x:c>
      <x:c r="F752" s="14" t="n">
        <x:v>2320</x:v>
      </x:c>
      <x:c r="G752" t="str">
        <x:v>DEMO / SIMULATED</x:v>
      </x:c>
    </x:row>
    <x:row r="753">
      <x:c r="A753" t="str">
        <x:v>JFD-20260219-0751</x:v>
      </x:c>
      <x:c r="B753" s="11" t="n">
        <x:v>46072.75069444445</x:v>
      </x:c>
      <x:c r="C753" s="13" t="n">
        <x:v>0.7506944444444444</x:v>
      </x:c>
      <x:c r="D753" t="str">
        <x:v>Damak</x:v>
      </x:c>
      <x:c r="E753" t="str">
        <x:v>Late Night Cravings</x:v>
      </x:c>
      <x:c r="F753" s="14" t="n">
        <x:v>280</x:v>
      </x:c>
      <x:c r="G753" t="str">
        <x:v>DEMO / SIMULATED</x:v>
      </x:c>
    </x:row>
    <x:row r="754">
      <x:c r="A754" t="str">
        <x:v>JFD-20260428-0752</x:v>
      </x:c>
      <x:c r="B754" s="11" t="n">
        <x:v>46140.74652777778</x:v>
      </x:c>
      <x:c r="C754" s="13" t="n">
        <x:v>0.7465277777777778</x:v>
      </x:c>
      <x:c r="D754" t="str">
        <x:v>Damak</x:v>
      </x:c>
      <x:c r="E754" t="str">
        <x:v>Milan’s Bakery</x:v>
      </x:c>
      <x:c r="F754" s="14" t="n">
        <x:v>1100</x:v>
      </x:c>
      <x:c r="G754" t="str">
        <x:v>DEMO / SIMULATED</x:v>
      </x:c>
    </x:row>
    <x:row r="755">
      <x:c r="A755" t="str">
        <x:v>JFD-20230106-0753</x:v>
      </x:c>
      <x:c r="B755" s="11" t="n">
        <x:v>44932.625</x:v>
      </x:c>
      <x:c r="C755" s="13" t="n">
        <x:v>0.625</x:v>
      </x:c>
      <x:c r="D755" t="str">
        <x:v>Birtamode</x:v>
      </x:c>
      <x:c r="E755" t="str">
        <x:v>Pizza Ghar</x:v>
      </x:c>
      <x:c r="F755" s="14" t="n">
        <x:v>520</x:v>
      </x:c>
      <x:c r="G755" t="str">
        <x:v>DEMO / SIMULATED</x:v>
      </x:c>
    </x:row>
    <x:row r="756">
      <x:c r="A756" t="str">
        <x:v>JFD-20251101-0754</x:v>
      </x:c>
      <x:c r="B756" s="11" t="n">
        <x:v>45962.71805555555</x:v>
      </x:c>
      <x:c r="C756" s="13" t="n">
        <x:v>0.7180555555555556</x:v>
      </x:c>
      <x:c r="D756" t="str">
        <x:v>Birtamode</x:v>
      </x:c>
      <x:c r="E756" t="str">
        <x:v>The Underground Cafe &amp; Restaurant</x:v>
      </x:c>
      <x:c r="F756" s="14" t="n">
        <x:v>145</x:v>
      </x:c>
      <x:c r="G756" t="str">
        <x:v>DEMO / SIMULATED</x:v>
      </x:c>
    </x:row>
    <x:row r="757">
      <x:c r="A757" t="str">
        <x:v>JFD-20231227-0755</x:v>
      </x:c>
      <x:c r="B757" s="11" t="n">
        <x:v>45287.78680555556</x:v>
      </x:c>
      <x:c r="C757" s="13" t="n">
        <x:v>0.7868055555555555</x:v>
      </x:c>
      <x:c r="D757" t="str">
        <x:v>Birtamode</x:v>
      </x:c>
      <x:c r="E757" t="str">
        <x:v>The Underground Cafe &amp; Restaurant</x:v>
      </x:c>
      <x:c r="F757" s="14" t="n">
        <x:v>590</x:v>
      </x:c>
      <x:c r="G757" t="str">
        <x:v>DEMO / SIMULATED</x:v>
      </x:c>
    </x:row>
    <x:row r="758">
      <x:c r="A758" t="str">
        <x:v>JFD-20230325-0756</x:v>
      </x:c>
      <x:c r="B758" s="11" t="n">
        <x:v>45010.59097222222</x:v>
      </x:c>
      <x:c r="C758" s="13" t="n">
        <x:v>0.5909722222222222</x:v>
      </x:c>
      <x:c r="D758" t="str">
        <x:v>Damak</x:v>
      </x:c>
      <x:c r="E758" t="str">
        <x:v>Late Night Cravings</x:v>
      </x:c>
      <x:c r="F758" s="14" t="n">
        <x:v>355</x:v>
      </x:c>
      <x:c r="G758" t="str">
        <x:v>DEMO / SIMULATED</x:v>
      </x:c>
    </x:row>
    <x:row r="759">
      <x:c r="A759" t="str">
        <x:v>JFD-20260426-0757</x:v>
      </x:c>
      <x:c r="B759" s="11" t="n">
        <x:v>46138.76111111111</x:v>
      </x:c>
      <x:c r="C759" s="13" t="n">
        <x:v>0.7611111111111111</x:v>
      </x:c>
      <x:c r="D759" t="str">
        <x:v>Birtamode</x:v>
      </x:c>
      <x:c r="E759" t="str">
        <x:v>Pizza Ghar</x:v>
      </x:c>
      <x:c r="F759" s="14" t="n">
        <x:v>1060</x:v>
      </x:c>
      <x:c r="G759" t="str">
        <x:v>DEMO / SIMULATED</x:v>
      </x:c>
    </x:row>
    <x:row r="760">
      <x:c r="A760" t="str">
        <x:v>JFD-20240925-0758</x:v>
      </x:c>
      <x:c r="B760" s="11" t="n">
        <x:v>45560.68402777778</x:v>
      </x:c>
      <x:c r="C760" s="13" t="n">
        <x:v>0.6840277777777778</x:v>
      </x:c>
      <x:c r="D760" t="str">
        <x:v>Damak</x:v>
      </x:c>
      <x:c r="E760" t="str">
        <x:v>Milan’s Bakery</x:v>
      </x:c>
      <x:c r="F760" s="14" t="n">
        <x:v>1760</x:v>
      </x:c>
      <x:c r="G760" t="str">
        <x:v>DEMO / SIMULATED</x:v>
      </x:c>
    </x:row>
    <x:row r="761">
      <x:c r="A761" t="str">
        <x:v>JFD-20240423-0759</x:v>
      </x:c>
      <x:c r="B761" s="11" t="n">
        <x:v>45405.9125</x:v>
      </x:c>
      <x:c r="C761" s="13" t="n">
        <x:v>0.9125</x:v>
      </x:c>
      <x:c r="D761" t="str">
        <x:v>Birtamode</x:v>
      </x:c>
      <x:c r="E761" t="str">
        <x:v>The Underground Cafe &amp; Restaurant</x:v>
      </x:c>
      <x:c r="F761" s="14" t="n">
        <x:v>140</x:v>
      </x:c>
      <x:c r="G761" t="str">
        <x:v>DEMO / SIMULATED</x:v>
      </x:c>
    </x:row>
    <x:row r="762">
      <x:c r="A762" t="str">
        <x:v>JFD-20250102-0760</x:v>
      </x:c>
      <x:c r="B762" s="11" t="n">
        <x:v>45659.56805555556</x:v>
      </x:c>
      <x:c r="C762" s="13" t="n">
        <x:v>0.5680555555555555</x:v>
      </x:c>
      <x:c r="D762" t="str">
        <x:v>Birtamode</x:v>
      </x:c>
      <x:c r="E762" t="str">
        <x:v>Pizza Ghar</x:v>
      </x:c>
      <x:c r="F762" s="14" t="n">
        <x:v>1100</x:v>
      </x:c>
      <x:c r="G762" t="str">
        <x:v>DEMO / SIMULATED</x:v>
      </x:c>
    </x:row>
    <x:row r="763">
      <x:c r="A763" t="str">
        <x:v>JFD-20260917-0761</x:v>
      </x:c>
      <x:c r="B763" s="11" t="n">
        <x:v>46282.71111111111</x:v>
      </x:c>
      <x:c r="C763" s="13" t="n">
        <x:v>0.7111111111111111</x:v>
      </x:c>
      <x:c r="D763" t="str">
        <x:v>Birtamode</x:v>
      </x:c>
      <x:c r="E763" t="str">
        <x:v>The Underground Cafe &amp; Restaurant</x:v>
      </x:c>
      <x:c r="F763" s="14" t="n">
        <x:v>465</x:v>
      </x:c>
      <x:c r="G763" t="str">
        <x:v>DEMO / SIMULATED</x:v>
      </x:c>
    </x:row>
    <x:row r="764">
      <x:c r="A764" t="str">
        <x:v>JFD-20250206-0762</x:v>
      </x:c>
      <x:c r="B764" s="11" t="n">
        <x:v>45694.899305555555</x:v>
      </x:c>
      <x:c r="C764" s="13" t="n">
        <x:v>0.8993055555555556</x:v>
      </x:c>
      <x:c r="D764" t="str">
        <x:v>Damak</x:v>
      </x:c>
      <x:c r="E764" t="str">
        <x:v>Late Night Cravings</x:v>
      </x:c>
      <x:c r="F764" s="14" t="n">
        <x:v>1130</x:v>
      </x:c>
      <x:c r="G764" t="str">
        <x:v>DEMO / SIMULATED</x:v>
      </x:c>
    </x:row>
    <x:row r="765">
      <x:c r="A765" t="str">
        <x:v>JFD-20231228-0763</x:v>
      </x:c>
      <x:c r="B765" s="11" t="n">
        <x:v>45288.83125</x:v>
      </x:c>
      <x:c r="C765" s="13" t="n">
        <x:v>0.83125</x:v>
      </x:c>
      <x:c r="D765" t="str">
        <x:v>Birtamode</x:v>
      </x:c>
      <x:c r="E765" t="str">
        <x:v>The Underground Cafe &amp; Restaurant</x:v>
      </x:c>
      <x:c r="F765" s="14" t="n">
        <x:v>290</x:v>
      </x:c>
      <x:c r="G765" t="str">
        <x:v>DEMO / SIMULATED</x:v>
      </x:c>
    </x:row>
    <x:row r="766">
      <x:c r="A766" t="str">
        <x:v>JFD-20260102-0764</x:v>
      </x:c>
      <x:c r="B766" s="11" t="n">
        <x:v>46024.59722222222</x:v>
      </x:c>
      <x:c r="C766" s="13" t="n">
        <x:v>0.5972222222222222</x:v>
      </x:c>
      <x:c r="D766" t="str">
        <x:v>Birtamode</x:v>
      </x:c>
      <x:c r="E766" t="str">
        <x:v>Pizza Ghar</x:v>
      </x:c>
      <x:c r="F766" s="14" t="n">
        <x:v>1080</x:v>
      </x:c>
      <x:c r="G766" t="str">
        <x:v>DEMO / SIMULATED</x:v>
      </x:c>
    </x:row>
    <x:row r="767">
      <x:c r="A767" t="str">
        <x:v>JFD-20251029-0765</x:v>
      </x:c>
      <x:c r="B767" s="11" t="n">
        <x:v>45959.54375</x:v>
      </x:c>
      <x:c r="C767" s="13" t="n">
        <x:v>0.54375</x:v>
      </x:c>
      <x:c r="D767" t="str">
        <x:v>Birtamode</x:v>
      </x:c>
      <x:c r="E767" t="str">
        <x:v>The Underground Cafe &amp; Restaurant</x:v>
      </x:c>
      <x:c r="F767" s="14" t="n">
        <x:v>575</x:v>
      </x:c>
      <x:c r="G767" t="str">
        <x:v>DEMO / SIMULATED</x:v>
      </x:c>
    </x:row>
    <x:row r="768">
      <x:c r="A768" t="str">
        <x:v>JFD-20241018-0766</x:v>
      </x:c>
      <x:c r="B768" s="11" t="n">
        <x:v>45583.56597222222</x:v>
      </x:c>
      <x:c r="C768" s="13" t="n">
        <x:v>0.5659722222222222</x:v>
      </x:c>
      <x:c r="D768" t="str">
        <x:v>Birtamode</x:v>
      </x:c>
      <x:c r="E768" t="str">
        <x:v>The Underground Cafe &amp; Restaurant</x:v>
      </x:c>
      <x:c r="F768" s="14" t="n">
        <x:v>195</x:v>
      </x:c>
      <x:c r="G768" t="str">
        <x:v>DEMO / SIMULATED</x:v>
      </x:c>
    </x:row>
    <x:row r="769">
      <x:c r="A769" t="str">
        <x:v>JFD-20230730-0767</x:v>
      </x:c>
      <x:c r="B769" s="11" t="n">
        <x:v>45137.697916666664</x:v>
      </x:c>
      <x:c r="C769" s="13" t="n">
        <x:v>0.6979166666666666</x:v>
      </x:c>
      <x:c r="D769" t="str">
        <x:v>Damak</x:v>
      </x:c>
      <x:c r="E769" t="str">
        <x:v>Milan’s Bakery</x:v>
      </x:c>
      <x:c r="F769" s="14" t="n">
        <x:v>275</x:v>
      </x:c>
      <x:c r="G769" t="str">
        <x:v>DEMO / SIMULATED</x:v>
      </x:c>
    </x:row>
    <x:row r="770">
      <x:c r="A770" t="str">
        <x:v>JFD-20241112-0768</x:v>
      </x:c>
      <x:c r="B770" s="11" t="n">
        <x:v>45608.73541666667</x:v>
      </x:c>
      <x:c r="C770" s="13" t="n">
        <x:v>0.7354166666666667</x:v>
      </x:c>
      <x:c r="D770" t="str">
        <x:v>Damak</x:v>
      </x:c>
      <x:c r="E770" t="str">
        <x:v>Milan’s Bakery</x:v>
      </x:c>
      <x:c r="F770" s="14" t="n">
        <x:v>655</x:v>
      </x:c>
      <x:c r="G770" t="str">
        <x:v>DEMO / SIMULATED</x:v>
      </x:c>
    </x:row>
    <x:row r="771">
      <x:c r="A771" t="str">
        <x:v>JFD-20260321-0769</x:v>
      </x:c>
      <x:c r="B771" s="11" t="n">
        <x:v>46102.529861111114</x:v>
      </x:c>
      <x:c r="C771" s="13" t="n">
        <x:v>0.5298611111111111</x:v>
      </x:c>
      <x:c r="D771" t="str">
        <x:v>Birtamode</x:v>
      </x:c>
      <x:c r="E771" t="str">
        <x:v>The Underground Cafe &amp; Restaurant</x:v>
      </x:c>
      <x:c r="F771" s="14" t="n">
        <x:v>200</x:v>
      </x:c>
      <x:c r="G771" t="str">
        <x:v>DEMO / SIMULATED</x:v>
      </x:c>
    </x:row>
    <x:row r="772">
      <x:c r="A772" t="str">
        <x:v>JFD-20231029-0770</x:v>
      </x:c>
      <x:c r="B772" s="11" t="n">
        <x:v>45228.68125</x:v>
      </x:c>
      <x:c r="C772" s="13" t="n">
        <x:v>0.68125</x:v>
      </x:c>
      <x:c r="D772" t="str">
        <x:v>Damak</x:v>
      </x:c>
      <x:c r="E772" t="str">
        <x:v>Milan’s Bakery</x:v>
      </x:c>
      <x:c r="F772" s="14" t="n">
        <x:v>1700</x:v>
      </x:c>
      <x:c r="G772" t="str">
        <x:v>DEMO / SIMULATED</x:v>
      </x:c>
    </x:row>
    <x:row r="773">
      <x:c r="A773" t="str">
        <x:v>JFD-20250822-0771</x:v>
      </x:c>
      <x:c r="B773" s="11" t="n">
        <x:v>45891.69305555556</x:v>
      </x:c>
      <x:c r="C773" s="13" t="n">
        <x:v>0.6930555555555555</x:v>
      </x:c>
      <x:c r="D773" t="str">
        <x:v>Birtamode</x:v>
      </x:c>
      <x:c r="E773" t="str">
        <x:v>Pizza Ghar</x:v>
      </x:c>
      <x:c r="F773" s="14" t="n">
        <x:v>1405</x:v>
      </x:c>
      <x:c r="G773" t="str">
        <x:v>DEMO / SIMULATED</x:v>
      </x:c>
    </x:row>
    <x:row r="774">
      <x:c r="A774" t="str">
        <x:v>JFD-20260916-0772</x:v>
      </x:c>
      <x:c r="B774" s="11" t="n">
        <x:v>46281.853472222225</x:v>
      </x:c>
      <x:c r="C774" s="13" t="n">
        <x:v>0.8534722222222222</x:v>
      </x:c>
      <x:c r="D774" t="str">
        <x:v>Birtamode</x:v>
      </x:c>
      <x:c r="E774" t="str">
        <x:v>Pizza Ghar</x:v>
      </x:c>
      <x:c r="F774" s="14" t="n">
        <x:v>2090</x:v>
      </x:c>
      <x:c r="G774" t="str">
        <x:v>DEMO / SIMULATED</x:v>
      </x:c>
    </x:row>
    <x:row r="775">
      <x:c r="A775" t="str">
        <x:v>JFD-20240629-0773</x:v>
      </x:c>
      <x:c r="B775" s="11" t="n">
        <x:v>45472.7625</x:v>
      </x:c>
      <x:c r="C775" s="13" t="n">
        <x:v>0.7625</x:v>
      </x:c>
      <x:c r="D775" t="str">
        <x:v>Damak</x:v>
      </x:c>
      <x:c r="E775" t="str">
        <x:v>Late Night Cravings</x:v>
      </x:c>
      <x:c r="F775" s="14" t="n">
        <x:v>595</x:v>
      </x:c>
      <x:c r="G775" t="str">
        <x:v>DEMO / SIMULATED</x:v>
      </x:c>
    </x:row>
    <x:row r="776">
      <x:c r="A776" t="str">
        <x:v>JFD-20250407-0774</x:v>
      </x:c>
      <x:c r="B776" s="11" t="n">
        <x:v>45754.82986111111</x:v>
      </x:c>
      <x:c r="C776" s="13" t="n">
        <x:v>0.8298611111111112</x:v>
      </x:c>
      <x:c r="D776" t="str">
        <x:v>Birtamode</x:v>
      </x:c>
      <x:c r="E776" t="str">
        <x:v>Pizza Ghar</x:v>
      </x:c>
      <x:c r="F776" s="14" t="n">
        <x:v>1120</x:v>
      </x:c>
      <x:c r="G776" t="str">
        <x:v>DEMO / SIMULATED</x:v>
      </x:c>
    </x:row>
    <x:row r="777">
      <x:c r="A777" t="str">
        <x:v>JFD-20250320-0775</x:v>
      </x:c>
      <x:c r="B777" s="11" t="n">
        <x:v>45736.47986111111</x:v>
      </x:c>
      <x:c r="C777" s="13" t="n">
        <x:v>0.4798611111111111</x:v>
      </x:c>
      <x:c r="D777" t="str">
        <x:v>Birtamode</x:v>
      </x:c>
      <x:c r="E777" t="str">
        <x:v>The Underground Cafe &amp; Restaurant</x:v>
      </x:c>
      <x:c r="F777" s="14" t="n">
        <x:v>740</x:v>
      </x:c>
      <x:c r="G777" t="str">
        <x:v>DEMO / SIMULATED</x:v>
      </x:c>
    </x:row>
    <x:row r="778">
      <x:c r="A778" t="str">
        <x:v>JFD-20251017-0776</x:v>
      </x:c>
      <x:c r="B778" s="11" t="n">
        <x:v>45947.572916666664</x:v>
      </x:c>
      <x:c r="C778" s="13" t="n">
        <x:v>0.5729166666666666</x:v>
      </x:c>
      <x:c r="D778" t="str">
        <x:v>Birtamode</x:v>
      </x:c>
      <x:c r="E778" t="str">
        <x:v>The Underground Cafe &amp; Restaurant</x:v>
      </x:c>
      <x:c r="F778" s="14" t="n">
        <x:v>960</x:v>
      </x:c>
      <x:c r="G778" t="str">
        <x:v>DEMO / SIMULATED</x:v>
      </x:c>
    </x:row>
    <x:row r="779">
      <x:c r="A779" t="str">
        <x:v>JFD-20260324-0777</x:v>
      </x:c>
      <x:c r="B779" s="11" t="n">
        <x:v>46105.77638888889</x:v>
      </x:c>
      <x:c r="C779" s="13" t="n">
        <x:v>0.7763888888888889</x:v>
      </x:c>
      <x:c r="D779" t="str">
        <x:v>Damak</x:v>
      </x:c>
      <x:c r="E779" t="str">
        <x:v>Late Night Cravings</x:v>
      </x:c>
      <x:c r="F779" s="14" t="n">
        <x:v>500</x:v>
      </x:c>
      <x:c r="G779" t="str">
        <x:v>DEMO / SIMULATED</x:v>
      </x:c>
    </x:row>
    <x:row r="780">
      <x:c r="A780" t="str">
        <x:v>JFD-20260708-0778</x:v>
      </x:c>
      <x:c r="B780" s="11" t="n">
        <x:v>46211.83194444444</x:v>
      </x:c>
      <x:c r="C780" s="13" t="n">
        <x:v>0.8319444444444445</x:v>
      </x:c>
      <x:c r="D780" t="str">
        <x:v>Damak</x:v>
      </x:c>
      <x:c r="E780" t="str">
        <x:v>Milan’s Bakery</x:v>
      </x:c>
      <x:c r="F780" s="14" t="n">
        <x:v>1110</x:v>
      </x:c>
      <x:c r="G780" t="str">
        <x:v>DEMO / SIMULATED</x:v>
      </x:c>
    </x:row>
    <x:row r="781">
      <x:c r="A781" t="str">
        <x:v>JFD-20250421-0779</x:v>
      </x:c>
      <x:c r="B781" s="11" t="n">
        <x:v>45768.78402777778</x:v>
      </x:c>
      <x:c r="C781" s="13" t="n">
        <x:v>0.7840277777777778</x:v>
      </x:c>
      <x:c r="D781" t="str">
        <x:v>Damak</x:v>
      </x:c>
      <x:c r="E781" t="str">
        <x:v>Milan’s Bakery</x:v>
      </x:c>
      <x:c r="F781" s="14" t="n">
        <x:v>40</x:v>
      </x:c>
      <x:c r="G781" t="str">
        <x:v>DEMO / SIMULATED</x:v>
      </x:c>
    </x:row>
    <x:row r="782">
      <x:c r="A782" t="str">
        <x:v>JFD-20260107-0780</x:v>
      </x:c>
      <x:c r="B782" s="11" t="n">
        <x:v>46029.51736111111</x:v>
      </x:c>
      <x:c r="C782" s="13" t="n">
        <x:v>0.5173611111111112</x:v>
      </x:c>
      <x:c r="D782" t="str">
        <x:v>Birtamode</x:v>
      </x:c>
      <x:c r="E782" t="str">
        <x:v>The Underground Cafe &amp; Restaurant</x:v>
      </x:c>
      <x:c r="F782" s="14" t="n">
        <x:v>350</x:v>
      </x:c>
      <x:c r="G782" t="str">
        <x:v>DEMO / SIMULATED</x:v>
      </x:c>
    </x:row>
    <x:row r="783">
      <x:c r="A783" t="str">
        <x:v>JFD-20250613-0781</x:v>
      </x:c>
      <x:c r="B783" s="11" t="n">
        <x:v>45821.85902777778</x:v>
      </x:c>
      <x:c r="C783" s="13" t="n">
        <x:v>0.8590277777777777</x:v>
      </x:c>
      <x:c r="D783" t="str">
        <x:v>Damak</x:v>
      </x:c>
      <x:c r="E783" t="str">
        <x:v>Milan’s Bakery</x:v>
      </x:c>
      <x:c r="F783" s="14" t="n">
        <x:v>2180</x:v>
      </x:c>
      <x:c r="G783" t="str">
        <x:v>DEMO / SIMULATED</x:v>
      </x:c>
    </x:row>
    <x:row r="784">
      <x:c r="A784" t="str">
        <x:v>JFD-20260518-0782</x:v>
      </x:c>
      <x:c r="B784" s="11" t="n">
        <x:v>46160.836805555555</x:v>
      </x:c>
      <x:c r="C784" s="13" t="n">
        <x:v>0.8368055555555556</x:v>
      </x:c>
      <x:c r="D784" t="str">
        <x:v>Damak</x:v>
      </x:c>
      <x:c r="E784" t="str">
        <x:v>Late Night Cravings</x:v>
      </x:c>
      <x:c r="F784" s="14" t="n">
        <x:v>560</x:v>
      </x:c>
      <x:c r="G784" t="str">
        <x:v>DEMO / SIMULATED</x:v>
      </x:c>
    </x:row>
    <x:row r="785">
      <x:c r="A785" t="str">
        <x:v>JFD-20251111-0783</x:v>
      </x:c>
      <x:c r="B785" s="11" t="n">
        <x:v>45972.80972222222</x:v>
      </x:c>
      <x:c r="C785" s="13" t="n">
        <x:v>0.8097222222222222</x:v>
      </x:c>
      <x:c r="D785" t="str">
        <x:v>Damak</x:v>
      </x:c>
      <x:c r="E785" t="str">
        <x:v>Late Night Cravings</x:v>
      </x:c>
      <x:c r="F785" s="14" t="n">
        <x:v>530</x:v>
      </x:c>
      <x:c r="G785" t="str">
        <x:v>DEMO / SIMULATED</x:v>
      </x:c>
    </x:row>
    <x:row r="786">
      <x:c r="A786" t="str">
        <x:v>JFD-20250622-0784</x:v>
      </x:c>
      <x:c r="B786" s="11" t="n">
        <x:v>45830.53680555556</x:v>
      </x:c>
      <x:c r="C786" s="13" t="n">
        <x:v>0.5368055555555555</x:v>
      </x:c>
      <x:c r="D786" t="str">
        <x:v>Damak</x:v>
      </x:c>
      <x:c r="E786" t="str">
        <x:v>Late Night Cravings</x:v>
      </x:c>
      <x:c r="F786" s="14" t="n">
        <x:v>40</x:v>
      </x:c>
      <x:c r="G786" t="str">
        <x:v>DEMO / SIMULATED</x:v>
      </x:c>
    </x:row>
    <x:row r="787">
      <x:c r="A787" t="str">
        <x:v>JFD-20240125-0785</x:v>
      </x:c>
      <x:c r="B787" s="11" t="n">
        <x:v>45316.81319444445</x:v>
      </x:c>
      <x:c r="C787" s="13" t="n">
        <x:v>0.8131944444444444</x:v>
      </x:c>
      <x:c r="D787" t="str">
        <x:v>Birtamode</x:v>
      </x:c>
      <x:c r="E787" t="str">
        <x:v>The Underground Cafe &amp; Restaurant</x:v>
      </x:c>
      <x:c r="F787" s="14" t="n">
        <x:v>845</x:v>
      </x:c>
      <x:c r="G787" t="str">
        <x:v>DEMO / SIMULATED</x:v>
      </x:c>
    </x:row>
    <x:row r="788">
      <x:c r="A788" t="str">
        <x:v>JFD-20230506-0786</x:v>
      </x:c>
      <x:c r="B788" s="11" t="n">
        <x:v>45052.6875</x:v>
      </x:c>
      <x:c r="C788" s="13" t="n">
        <x:v>0.6875</x:v>
      </x:c>
      <x:c r="D788" t="str">
        <x:v>Damak</x:v>
      </x:c>
      <x:c r="E788" t="str">
        <x:v>Milan’s Bakery</x:v>
      </x:c>
      <x:c r="F788" s="14" t="n">
        <x:v>105</x:v>
      </x:c>
      <x:c r="G788" t="str">
        <x:v>DEMO / SIMULATED</x:v>
      </x:c>
    </x:row>
    <x:row r="789">
      <x:c r="A789" t="str">
        <x:v>JFD-20260102-0787</x:v>
      </x:c>
      <x:c r="B789" s="11" t="n">
        <x:v>46024.79861111111</x:v>
      </x:c>
      <x:c r="C789" s="13" t="n">
        <x:v>0.7986111111111112</x:v>
      </x:c>
      <x:c r="D789" t="str">
        <x:v>Birtamode</x:v>
      </x:c>
      <x:c r="E789" t="str">
        <x:v>The Underground Cafe &amp; Restaurant</x:v>
      </x:c>
      <x:c r="F789" s="14" t="n">
        <x:v>40</x:v>
      </x:c>
      <x:c r="G789" t="str">
        <x:v>DEMO / SIMULATED</x:v>
      </x:c>
    </x:row>
    <x:row r="790">
      <x:c r="A790" t="str">
        <x:v>JFD-20240923-0788</x:v>
      </x:c>
      <x:c r="B790" s="11" t="n">
        <x:v>45558.725694444445</x:v>
      </x:c>
      <x:c r="C790" s="13" t="n">
        <x:v>0.7256944444444444</x:v>
      </x:c>
      <x:c r="D790" t="str">
        <x:v>Damak</x:v>
      </x:c>
      <x:c r="E790" t="str">
        <x:v>Late Night Cravings</x:v>
      </x:c>
      <x:c r="F790" s="14" t="n">
        <x:v>560</x:v>
      </x:c>
      <x:c r="G790" t="str">
        <x:v>DEMO / SIMULATED</x:v>
      </x:c>
    </x:row>
    <x:row r="791">
      <x:c r="A791" t="str">
        <x:v>JFD-20241002-0789</x:v>
      </x:c>
      <x:c r="B791" s="11" t="n">
        <x:v>45567.46875</x:v>
      </x:c>
      <x:c r="C791" s="13" t="n">
        <x:v>0.46875</x:v>
      </x:c>
      <x:c r="D791" t="str">
        <x:v>Damak</x:v>
      </x:c>
      <x:c r="E791" t="str">
        <x:v>Milan’s Bakery</x:v>
      </x:c>
      <x:c r="F791" s="14" t="n">
        <x:v>310</x:v>
      </x:c>
      <x:c r="G791" t="str">
        <x:v>DEMO / SIMULATED</x:v>
      </x:c>
    </x:row>
    <x:row r="792">
      <x:c r="A792" t="str">
        <x:v>JFD-20240624-0790</x:v>
      </x:c>
      <x:c r="B792" s="11" t="n">
        <x:v>45467.54375</x:v>
      </x:c>
      <x:c r="C792" s="13" t="n">
        <x:v>0.54375</x:v>
      </x:c>
      <x:c r="D792" t="str">
        <x:v>Birtamode</x:v>
      </x:c>
      <x:c r="E792" t="str">
        <x:v>The Underground Cafe &amp; Restaurant</x:v>
      </x:c>
      <x:c r="F792" s="14" t="n">
        <x:v>500</x:v>
      </x:c>
      <x:c r="G792" t="str">
        <x:v>DEMO / SIMULATED</x:v>
      </x:c>
    </x:row>
    <x:row r="793">
      <x:c r="A793" t="str">
        <x:v>JFD-20230129-0791</x:v>
      </x:c>
      <x:c r="B793" s="11" t="n">
        <x:v>44955.59375</x:v>
      </x:c>
      <x:c r="C793" s="13" t="n">
        <x:v>0.59375</x:v>
      </x:c>
      <x:c r="D793" t="str">
        <x:v>Birtamode</x:v>
      </x:c>
      <x:c r="E793" t="str">
        <x:v>The Underground Cafe &amp; Restaurant</x:v>
      </x:c>
      <x:c r="F793" s="14" t="n">
        <x:v>535</x:v>
      </x:c>
      <x:c r="G793" t="str">
        <x:v>DEMO / SIMULATED</x:v>
      </x:c>
    </x:row>
    <x:row r="794">
      <x:c r="A794" t="str">
        <x:v>JFD-20260913-0792</x:v>
      </x:c>
      <x:c r="B794" s="11" t="n">
        <x:v>46278.67986111111</x:v>
      </x:c>
      <x:c r="C794" s="13" t="n">
        <x:v>0.6798611111111111</x:v>
      </x:c>
      <x:c r="D794" t="str">
        <x:v>Damak</x:v>
      </x:c>
      <x:c r="E794" t="str">
        <x:v>Late Night Cravings</x:v>
      </x:c>
      <x:c r="F794" s="14" t="n">
        <x:v>600</x:v>
      </x:c>
      <x:c r="G794" t="str">
        <x:v>DEMO / SIMULATED</x:v>
      </x:c>
    </x:row>
    <x:row r="795">
      <x:c r="A795" t="str">
        <x:v>JFD-20250202-0793</x:v>
      </x:c>
      <x:c r="B795" s="11" t="n">
        <x:v>45690.88333333333</x:v>
      </x:c>
      <x:c r="C795" s="13" t="n">
        <x:v>0.8833333333333333</x:v>
      </x:c>
      <x:c r="D795" t="str">
        <x:v>Birtamode</x:v>
      </x:c>
      <x:c r="E795" t="str">
        <x:v>Pizza Ghar</x:v>
      </x:c>
      <x:c r="F795" s="14" t="n">
        <x:v>1120</x:v>
      </x:c>
      <x:c r="G795" t="str">
        <x:v>DEMO / SIMULATED</x:v>
      </x:c>
    </x:row>
    <x:row r="796">
      <x:c r="A796" t="str">
        <x:v>JFD-20230131-0794</x:v>
      </x:c>
      <x:c r="B796" s="11" t="n">
        <x:v>44957.77569444444</x:v>
      </x:c>
      <x:c r="C796" s="13" t="n">
        <x:v>0.7756944444444445</x:v>
      </x:c>
      <x:c r="D796" t="str">
        <x:v>Damak</x:v>
      </x:c>
      <x:c r="E796" t="str">
        <x:v>Milan’s Bakery</x:v>
      </x:c>
      <x:c r="F796" s="14" t="n">
        <x:v>815</x:v>
      </x:c>
      <x:c r="G796" t="str">
        <x:v>DEMO / SIMULATED</x:v>
      </x:c>
    </x:row>
    <x:row r="797">
      <x:c r="A797" t="str">
        <x:v>JFD-20240130-0795</x:v>
      </x:c>
      <x:c r="B797" s="11" t="n">
        <x:v>45321.904861111114</x:v>
      </x:c>
      <x:c r="C797" s="13" t="n">
        <x:v>0.9048611111111111</x:v>
      </x:c>
      <x:c r="D797" t="str">
        <x:v>Birtamode</x:v>
      </x:c>
      <x:c r="E797" t="str">
        <x:v>Pizza Ghar</x:v>
      </x:c>
      <x:c r="F797" s="14" t="n">
        <x:v>745</x:v>
      </x:c>
      <x:c r="G797" t="str">
        <x:v>DEMO / SIMULATED</x:v>
      </x:c>
    </x:row>
    <x:row r="798">
      <x:c r="A798" t="str">
        <x:v>JFD-20260322-0796</x:v>
      </x:c>
      <x:c r="B798" s="11" t="n">
        <x:v>46103.75208333333</x:v>
      </x:c>
      <x:c r="C798" s="13" t="n">
        <x:v>0.7520833333333333</x:v>
      </x:c>
      <x:c r="D798" t="str">
        <x:v>Birtamode</x:v>
      </x:c>
      <x:c r="E798" t="str">
        <x:v>Pizza Ghar</x:v>
      </x:c>
      <x:c r="F798" s="14" t="n">
        <x:v>40</x:v>
      </x:c>
      <x:c r="G798" t="str">
        <x:v>DEMO / SIMULATED</x:v>
      </x:c>
    </x:row>
    <x:row r="799">
      <x:c r="A799" t="str">
        <x:v>JFD-20240320-0797</x:v>
      </x:c>
      <x:c r="B799" s="11" t="n">
        <x:v>45371.80902777778</x:v>
      </x:c>
      <x:c r="C799" s="13" t="n">
        <x:v>0.8090277777777778</x:v>
      </x:c>
      <x:c r="D799" t="str">
        <x:v>Damak</x:v>
      </x:c>
      <x:c r="E799" t="str">
        <x:v>Late Night Cravings</x:v>
      </x:c>
      <x:c r="F799" s="14" t="n">
        <x:v>970</x:v>
      </x:c>
      <x:c r="G799" t="str">
        <x:v>DEMO / SIMULATED</x:v>
      </x:c>
    </x:row>
    <x:row r="800">
      <x:c r="A800" t="str">
        <x:v>JFD-20250618-0798</x:v>
      </x:c>
      <x:c r="B800" s="11" t="n">
        <x:v>45826.82013888889</x:v>
      </x:c>
      <x:c r="C800" s="13" t="n">
        <x:v>0.8201388888888889</x:v>
      </x:c>
      <x:c r="D800" t="str">
        <x:v>Birtamode</x:v>
      </x:c>
      <x:c r="E800" t="str">
        <x:v>The Underground Cafe &amp; Restaurant</x:v>
      </x:c>
      <x:c r="F800" s="14" t="n">
        <x:v>495</x:v>
      </x:c>
      <x:c r="G800" t="str">
        <x:v>DEMO / SIMULATED</x:v>
      </x:c>
    </x:row>
    <x:row r="801">
      <x:c r="A801" t="str">
        <x:v>JFD-20230428-0799</x:v>
      </x:c>
      <x:c r="B801" s="11" t="n">
        <x:v>45044.49791666667</x:v>
      </x:c>
      <x:c r="C801" s="13" t="n">
        <x:v>0.4979166666666667</x:v>
      </x:c>
      <x:c r="D801" t="str">
        <x:v>Damak</x:v>
      </x:c>
      <x:c r="E801" t="str">
        <x:v>Late Night Cravings</x:v>
      </x:c>
      <x:c r="F801" s="14" t="n">
        <x:v>795</x:v>
      </x:c>
      <x:c r="G801" t="str">
        <x:v>DEMO / SIMULATED</x:v>
      </x:c>
    </x:row>
    <x:row r="802">
      <x:c r="A802" t="str">
        <x:v>JFD-20260607-0800</x:v>
      </x:c>
      <x:c r="B802" s="11" t="n">
        <x:v>46180.55694444444</x:v>
      </x:c>
      <x:c r="C802" s="13" t="n">
        <x:v>0.5569444444444445</x:v>
      </x:c>
      <x:c r="D802" t="str">
        <x:v>Birtamode</x:v>
      </x:c>
      <x:c r="E802" t="str">
        <x:v>Pizza Ghar</x:v>
      </x:c>
      <x:c r="F802" s="14" t="n">
        <x:v>2010</x:v>
      </x:c>
      <x:c r="G802" t="str">
        <x:v>DEMO / SIMULATED</x:v>
      </x:c>
    </x:row>
    <x:row r="803">
      <x:c r="A803" t="str">
        <x:v>JFD-20240229-0801</x:v>
      </x:c>
      <x:c r="B803" s="11" t="n">
        <x:v>45351.59027777778</x:v>
      </x:c>
      <x:c r="C803" s="13" t="n">
        <x:v>0.5902777777777778</x:v>
      </x:c>
      <x:c r="D803" t="str">
        <x:v>Damak</x:v>
      </x:c>
      <x:c r="E803" t="str">
        <x:v>Milan’s Bakery</x:v>
      </x:c>
      <x:c r="F803" s="14" t="n">
        <x:v>930</x:v>
      </x:c>
      <x:c r="G803" t="str">
        <x:v>DEMO / SIMULATED</x:v>
      </x:c>
    </x:row>
    <x:row r="804">
      <x:c r="A804" t="str">
        <x:v>JFD-20240428-0802</x:v>
      </x:c>
      <x:c r="B804" s="11" t="n">
        <x:v>45410.49097222222</x:v>
      </x:c>
      <x:c r="C804" s="13" t="n">
        <x:v>0.4909722222222222</x:v>
      </x:c>
      <x:c r="D804" t="str">
        <x:v>Birtamode</x:v>
      </x:c>
      <x:c r="E804" t="str">
        <x:v>Pizza Ghar</x:v>
      </x:c>
      <x:c r="F804" s="14" t="n">
        <x:v>270</x:v>
      </x:c>
      <x:c r="G804" t="str">
        <x:v>DEMO / SIMULATED</x:v>
      </x:c>
    </x:row>
    <x:row r="805">
      <x:c r="A805" t="str">
        <x:v>JFD-20260719-0803</x:v>
      </x:c>
      <x:c r="B805" s="11" t="n">
        <x:v>46222.479166666664</x:v>
      </x:c>
      <x:c r="C805" s="13" t="n">
        <x:v>0.4791666666666667</x:v>
      </x:c>
      <x:c r="D805" t="str">
        <x:v>Birtamode</x:v>
      </x:c>
      <x:c r="E805" t="str">
        <x:v>Pizza Ghar</x:v>
      </x:c>
      <x:c r="F805" s="14" t="n">
        <x:v>120</x:v>
      </x:c>
      <x:c r="G805" t="str">
        <x:v>DEMO / SIMULATED</x:v>
      </x:c>
    </x:row>
    <x:row r="806">
      <x:c r="A806" t="str">
        <x:v>JFD-20230501-0804</x:v>
      </x:c>
      <x:c r="B806" s="11" t="n">
        <x:v>45047.59444444445</x:v>
      </x:c>
      <x:c r="C806" s="13" t="n">
        <x:v>0.5944444444444444</x:v>
      </x:c>
      <x:c r="D806" t="str">
        <x:v>Damak</x:v>
      </x:c>
      <x:c r="E806" t="str">
        <x:v>Late Night Cravings</x:v>
      </x:c>
      <x:c r="F806" s="14" t="n">
        <x:v>870</x:v>
      </x:c>
      <x:c r="G806" t="str">
        <x:v>DEMO / SIMULATED</x:v>
      </x:c>
    </x:row>
    <x:row r="807">
      <x:c r="A807" t="str">
        <x:v>JFD-20260930-0805</x:v>
      </x:c>
      <x:c r="B807" s="11" t="n">
        <x:v>46295.71388888889</x:v>
      </x:c>
      <x:c r="C807" s="13" t="n">
        <x:v>0.7138888888888889</x:v>
      </x:c>
      <x:c r="D807" t="str">
        <x:v>Damak</x:v>
      </x:c>
      <x:c r="E807" t="str">
        <x:v>Late Night Cravings</x:v>
      </x:c>
      <x:c r="F807" s="14" t="n">
        <x:v>280</x:v>
      </x:c>
      <x:c r="G807" t="str">
        <x:v>DEMO / SIMULATED</x:v>
      </x:c>
    </x:row>
    <x:row r="808">
      <x:c r="A808" t="str">
        <x:v>JFD-20240716-0806</x:v>
      </x:c>
      <x:c r="B808" s="11" t="n">
        <x:v>45489.68541666667</x:v>
      </x:c>
      <x:c r="C808" s="13" t="n">
        <x:v>0.6854166666666667</x:v>
      </x:c>
      <x:c r="D808" t="str">
        <x:v>Birtamode</x:v>
      </x:c>
      <x:c r="E808" t="str">
        <x:v>The Underground Cafe &amp; Restaurant</x:v>
      </x:c>
      <x:c r="F808" s="14" t="n">
        <x:v>270</x:v>
      </x:c>
      <x:c r="G808" t="str">
        <x:v>DEMO / SIMULATED</x:v>
      </x:c>
    </x:row>
    <x:row r="809">
      <x:c r="A809" t="str">
        <x:v>JFD-20230622-0807</x:v>
      </x:c>
      <x:c r="B809" s="11" t="n">
        <x:v>45099.907638888886</x:v>
      </x:c>
      <x:c r="C809" s="13" t="n">
        <x:v>0.9076388888888889</x:v>
      </x:c>
      <x:c r="D809" t="str">
        <x:v>Damak</x:v>
      </x:c>
      <x:c r="E809" t="str">
        <x:v>Milan’s Bakery</x:v>
      </x:c>
      <x:c r="F809" s="14" t="n">
        <x:v>490</x:v>
      </x:c>
      <x:c r="G809" t="str">
        <x:v>DEMO / SIMULATED</x:v>
      </x:c>
    </x:row>
    <x:row r="810">
      <x:c r="A810" t="str">
        <x:v>JFD-20260103-0808</x:v>
      </x:c>
      <x:c r="B810" s="11" t="n">
        <x:v>46025.43680555555</x:v>
      </x:c>
      <x:c r="C810" s="13" t="n">
        <x:v>0.43680555555555556</x:v>
      </x:c>
      <x:c r="D810" t="str">
        <x:v>Birtamode</x:v>
      </x:c>
      <x:c r="E810" t="str">
        <x:v>The Underground Cafe &amp; Restaurant</x:v>
      </x:c>
      <x:c r="F810" s="14" t="n">
        <x:v>525</x:v>
      </x:c>
      <x:c r="G810" t="str">
        <x:v>DEMO / SIMULATED</x:v>
      </x:c>
    </x:row>
    <x:row r="811">
      <x:c r="A811" t="str">
        <x:v>JFD-20230323-0809</x:v>
      </x:c>
      <x:c r="B811" s="11" t="n">
        <x:v>45008.813888888886</x:v>
      </x:c>
      <x:c r="C811" s="13" t="n">
        <x:v>0.8138888888888889</x:v>
      </x:c>
      <x:c r="D811" t="str">
        <x:v>Damak</x:v>
      </x:c>
      <x:c r="E811" t="str">
        <x:v>Late Night Cravings</x:v>
      </x:c>
      <x:c r="F811" s="14" t="n">
        <x:v>770</x:v>
      </x:c>
      <x:c r="G811" t="str">
        <x:v>DEMO / SIMULATED</x:v>
      </x:c>
    </x:row>
    <x:row r="812">
      <x:c r="A812" t="str">
        <x:v>JFD-20230819-0810</x:v>
      </x:c>
      <x:c r="B812" s="11" t="n">
        <x:v>45157.481944444444</x:v>
      </x:c>
      <x:c r="C812" s="13" t="n">
        <x:v>0.48194444444444445</x:v>
      </x:c>
      <x:c r="D812" t="str">
        <x:v>Birtamode</x:v>
      </x:c>
      <x:c r="E812" t="str">
        <x:v>Pizza Ghar</x:v>
      </x:c>
      <x:c r="F812" s="14" t="n">
        <x:v>800</x:v>
      </x:c>
      <x:c r="G812" t="str">
        <x:v>DEMO / SIMULATED</x:v>
      </x:c>
    </x:row>
    <x:row r="813">
      <x:c r="A813" t="str">
        <x:v>JFD-20240818-0811</x:v>
      </x:c>
      <x:c r="B813" s="11" t="n">
        <x:v>45522.44930555556</x:v>
      </x:c>
      <x:c r="C813" s="13" t="n">
        <x:v>0.44930555555555557</x:v>
      </x:c>
      <x:c r="D813" t="str">
        <x:v>Damak</x:v>
      </x:c>
      <x:c r="E813" t="str">
        <x:v>Late Night Cravings</x:v>
      </x:c>
      <x:c r="F813" s="14" t="n">
        <x:v>490</x:v>
      </x:c>
      <x:c r="G813" t="str">
        <x:v>DEMO / SIMULATED</x:v>
      </x:c>
    </x:row>
    <x:row r="814">
      <x:c r="A814" t="str">
        <x:v>JFD-20230417-0812</x:v>
      </x:c>
      <x:c r="B814" s="11" t="n">
        <x:v>45033.89791666667</x:v>
      </x:c>
      <x:c r="C814" s="13" t="n">
        <x:v>0.8979166666666667</x:v>
      </x:c>
      <x:c r="D814" t="str">
        <x:v>Birtamode</x:v>
      </x:c>
      <x:c r="E814" t="str">
        <x:v>Pizza Ghar</x:v>
      </x:c>
      <x:c r="F814" s="14" t="n">
        <x:v>540</x:v>
      </x:c>
      <x:c r="G814" t="str">
        <x:v>DEMO / SIMULATED</x:v>
      </x:c>
    </x:row>
    <x:row r="815">
      <x:c r="A815" t="str">
        <x:v>JFD-20251018-0813</x:v>
      </x:c>
      <x:c r="B815" s="11" t="n">
        <x:v>45948.61388888889</x:v>
      </x:c>
      <x:c r="C815" s="13" t="n">
        <x:v>0.6138888888888889</x:v>
      </x:c>
      <x:c r="D815" t="str">
        <x:v>Birtamode</x:v>
      </x:c>
      <x:c r="E815" t="str">
        <x:v>The Underground Cafe &amp; Restaurant</x:v>
      </x:c>
      <x:c r="F815" s="14" t="n">
        <x:v>40</x:v>
      </x:c>
      <x:c r="G815" t="str">
        <x:v>DEMO / SIMULATED</x:v>
      </x:c>
    </x:row>
    <x:row r="816">
      <x:c r="A816" t="str">
        <x:v>JFD-20240222-0814</x:v>
      </x:c>
      <x:c r="B816" s="11" t="n">
        <x:v>45344.80486111111</x:v>
      </x:c>
      <x:c r="C816" s="13" t="n">
        <x:v>0.8048611111111111</x:v>
      </x:c>
      <x:c r="D816" t="str">
        <x:v>Birtamode</x:v>
      </x:c>
      <x:c r="E816" t="str">
        <x:v>The Underground Cafe &amp; Restaurant</x:v>
      </x:c>
      <x:c r="F816" s="14" t="n">
        <x:v>305</x:v>
      </x:c>
      <x:c r="G816" t="str">
        <x:v>DEMO / SIMULATED</x:v>
      </x:c>
    </x:row>
    <x:row r="817">
      <x:c r="A817" t="str">
        <x:v>JFD-20231007-0815</x:v>
      </x:c>
      <x:c r="B817" s="11" t="n">
        <x:v>45206.629166666666</x:v>
      </x:c>
      <x:c r="C817" s="13" t="n">
        <x:v>0.6291666666666667</x:v>
      </x:c>
      <x:c r="D817" t="str">
        <x:v>Damak</x:v>
      </x:c>
      <x:c r="E817" t="str">
        <x:v>Late Night Cravings</x:v>
      </x:c>
      <x:c r="F817" s="14" t="n">
        <x:v>460</x:v>
      </x:c>
      <x:c r="G817" t="str">
        <x:v>DEMO / SIMULATED</x:v>
      </x:c>
    </x:row>
    <x:row r="818">
      <x:c r="A818" t="str">
        <x:v>JFD-20240102-0816</x:v>
      </x:c>
      <x:c r="B818" s="11" t="n">
        <x:v>45293.83541666667</x:v>
      </x:c>
      <x:c r="C818" s="13" t="n">
        <x:v>0.8354166666666667</x:v>
      </x:c>
      <x:c r="D818" t="str">
        <x:v>Damak</x:v>
      </x:c>
      <x:c r="E818" t="str">
        <x:v>Milan’s Bakery</x:v>
      </x:c>
      <x:c r="F818" s="14" t="n">
        <x:v>530</x:v>
      </x:c>
      <x:c r="G818" t="str">
        <x:v>DEMO / SIMULATED</x:v>
      </x:c>
    </x:row>
    <x:row r="819">
      <x:c r="A819" t="str">
        <x:v>JFD-20260728-0817</x:v>
      </x:c>
      <x:c r="B819" s="11" t="n">
        <x:v>46231.71805555555</x:v>
      </x:c>
      <x:c r="C819" s="13" t="n">
        <x:v>0.7180555555555556</x:v>
      </x:c>
      <x:c r="D819" t="str">
        <x:v>Birtamode</x:v>
      </x:c>
      <x:c r="E819" t="str">
        <x:v>Pizza Ghar</x:v>
      </x:c>
      <x:c r="F819" s="14" t="n">
        <x:v>400</x:v>
      </x:c>
      <x:c r="G819" t="str">
        <x:v>DEMO / SIMULATED</x:v>
      </x:c>
    </x:row>
    <x:row r="820">
      <x:c r="A820" t="str">
        <x:v>JFD-20230115-0818</x:v>
      </x:c>
      <x:c r="B820" s="11" t="n">
        <x:v>44941.64236111111</x:v>
      </x:c>
      <x:c r="C820" s="13" t="n">
        <x:v>0.6423611111111112</x:v>
      </x:c>
      <x:c r="D820" t="str">
        <x:v>Birtamode</x:v>
      </x:c>
      <x:c r="E820" t="str">
        <x:v>Pizza Ghar</x:v>
      </x:c>
      <x:c r="F820" s="14" t="n">
        <x:v>160</x:v>
      </x:c>
      <x:c r="G820" t="str">
        <x:v>DEMO / SIMULATED</x:v>
      </x:c>
    </x:row>
    <x:row r="821">
      <x:c r="A821" t="str">
        <x:v>JFD-20260615-0819</x:v>
      </x:c>
      <x:c r="B821" s="11" t="n">
        <x:v>46188.51388888889</x:v>
      </x:c>
      <x:c r="C821" s="13" t="n">
        <x:v>0.5138888888888888</x:v>
      </x:c>
      <x:c r="D821" t="str">
        <x:v>Birtamode</x:v>
      </x:c>
      <x:c r="E821" t="str">
        <x:v>The Underground Cafe &amp; Restaurant</x:v>
      </x:c>
      <x:c r="F821" s="14" t="n">
        <x:v>425</x:v>
      </x:c>
      <x:c r="G821" t="str">
        <x:v>DEMO / SIMULATED</x:v>
      </x:c>
    </x:row>
    <x:row r="822">
      <x:c r="A822" t="str">
        <x:v>JFD-20240101-0820</x:v>
      </x:c>
      <x:c r="B822" s="11" t="n">
        <x:v>45292.42638888889</x:v>
      </x:c>
      <x:c r="C822" s="13" t="n">
        <x:v>0.4263888888888889</x:v>
      </x:c>
      <x:c r="D822" t="str">
        <x:v>Damak</x:v>
      </x:c>
      <x:c r="E822" t="str">
        <x:v>Milan’s Bakery</x:v>
      </x:c>
      <x:c r="F822" s="14" t="n">
        <x:v>2510</x:v>
      </x:c>
      <x:c r="G822" t="str">
        <x:v>DEMO / SIMULATED</x:v>
      </x:c>
    </x:row>
    <x:row r="823">
      <x:c r="A823" t="str">
        <x:v>JFD-20240621-0821</x:v>
      </x:c>
      <x:c r="B823" s="11" t="n">
        <x:v>45464.586805555555</x:v>
      </x:c>
      <x:c r="C823" s="13" t="n">
        <x:v>0.5868055555555556</x:v>
      </x:c>
      <x:c r="D823" t="str">
        <x:v>Damak</x:v>
      </x:c>
      <x:c r="E823" t="str">
        <x:v>Milan’s Bakery</x:v>
      </x:c>
      <x:c r="F823" s="14" t="n">
        <x:v>1105</x:v>
      </x:c>
      <x:c r="G823" t="str">
        <x:v>DEMO / SIMULATED</x:v>
      </x:c>
    </x:row>
    <x:row r="824">
      <x:c r="A824" t="str">
        <x:v>JFD-20260418-0822</x:v>
      </x:c>
      <x:c r="B824" s="11" t="n">
        <x:v>46130.81458333333</x:v>
      </x:c>
      <x:c r="C824" s="13" t="n">
        <x:v>0.8145833333333333</x:v>
      </x:c>
      <x:c r="D824" t="str">
        <x:v>Birtamode</x:v>
      </x:c>
      <x:c r="E824" t="str">
        <x:v>The Underground Cafe &amp; Restaurant</x:v>
      </x:c>
      <x:c r="F824" s="14" t="n">
        <x:v>1060</x:v>
      </x:c>
      <x:c r="G824" t="str">
        <x:v>DEMO / SIMULATED</x:v>
      </x:c>
    </x:row>
    <x:row r="825">
      <x:c r="A825" t="str">
        <x:v>JFD-20240909-0823</x:v>
      </x:c>
      <x:c r="B825" s="11" t="n">
        <x:v>45544.80069444444</x:v>
      </x:c>
      <x:c r="C825" s="13" t="n">
        <x:v>0.8006944444444445</x:v>
      </x:c>
      <x:c r="D825" t="str">
        <x:v>Damak</x:v>
      </x:c>
      <x:c r="E825" t="str">
        <x:v>Late Night Cravings</x:v>
      </x:c>
      <x:c r="F825" s="14" t="n">
        <x:v>635</x:v>
      </x:c>
      <x:c r="G825" t="str">
        <x:v>DEMO / SIMULATED</x:v>
      </x:c>
    </x:row>
    <x:row r="826">
      <x:c r="A826" t="str">
        <x:v>JFD-20260627-0824</x:v>
      </x:c>
      <x:c r="B826" s="11" t="n">
        <x:v>46200.50902777778</x:v>
      </x:c>
      <x:c r="C826" s="13" t="n">
        <x:v>0.5090277777777777</x:v>
      </x:c>
      <x:c r="D826" t="str">
        <x:v>Birtamode</x:v>
      </x:c>
      <x:c r="E826" t="str">
        <x:v>The Underground Cafe &amp; Restaurant</x:v>
      </x:c>
      <x:c r="F826" s="14" t="n">
        <x:v>525</x:v>
      </x:c>
      <x:c r="G826" t="str">
        <x:v>DEMO / SIMULATED</x:v>
      </x:c>
    </x:row>
    <x:row r="827">
      <x:c r="A827" t="str">
        <x:v>JFD-20250812-0825</x:v>
      </x:c>
      <x:c r="B827" s="11" t="n">
        <x:v>45881.63680555556</x:v>
      </x:c>
      <x:c r="C827" s="13" t="n">
        <x:v>0.6368055555555555</x:v>
      </x:c>
      <x:c r="D827" t="str">
        <x:v>Damak</x:v>
      </x:c>
      <x:c r="E827" t="str">
        <x:v>Milan’s Bakery</x:v>
      </x:c>
      <x:c r="F827" s="14" t="n">
        <x:v>135</x:v>
      </x:c>
      <x:c r="G827" t="str">
        <x:v>DEMO / SIMULATED</x:v>
      </x:c>
    </x:row>
    <x:row r="828">
      <x:c r="A828" t="str">
        <x:v>JFD-20241204-0826</x:v>
      </x:c>
      <x:c r="B828" s="11" t="n">
        <x:v>45630.51527777778</x:v>
      </x:c>
      <x:c r="C828" s="13" t="n">
        <x:v>0.5152777777777777</x:v>
      </x:c>
      <x:c r="D828" t="str">
        <x:v>Birtamode</x:v>
      </x:c>
      <x:c r="E828" t="str">
        <x:v>Pizza Ghar</x:v>
      </x:c>
      <x:c r="F828" s="14" t="n">
        <x:v>310</x:v>
      </x:c>
      <x:c r="G828" t="str">
        <x:v>DEMO / SIMULATED</x:v>
      </x:c>
    </x:row>
    <x:row r="829">
      <x:c r="A829" t="str">
        <x:v>JFD-20241028-0827</x:v>
      </x:c>
      <x:c r="B829" s="11" t="n">
        <x:v>45593.649305555555</x:v>
      </x:c>
      <x:c r="C829" s="13" t="n">
        <x:v>0.6493055555555556</x:v>
      </x:c>
      <x:c r="D829" t="str">
        <x:v>Damak</x:v>
      </x:c>
      <x:c r="E829" t="str">
        <x:v>Late Night Cravings</x:v>
      </x:c>
      <x:c r="F829" s="14" t="n">
        <x:v>730</x:v>
      </x:c>
      <x:c r="G829" t="str">
        <x:v>DEMO / SIMULATED</x:v>
      </x:c>
    </x:row>
    <x:row r="830">
      <x:c r="A830" t="str">
        <x:v>JFD-20260110-0828</x:v>
      </x:c>
      <x:c r="B830" s="11" t="n">
        <x:v>46032.42291666667</x:v>
      </x:c>
      <x:c r="C830" s="13" t="n">
        <x:v>0.42291666666666666</x:v>
      </x:c>
      <x:c r="D830" t="str">
        <x:v>Damak</x:v>
      </x:c>
      <x:c r="E830" t="str">
        <x:v>Milan’s Bakery</x:v>
      </x:c>
      <x:c r="F830" s="14" t="n">
        <x:v>400</x:v>
      </x:c>
      <x:c r="G830" t="str">
        <x:v>DEMO / SIMULATED</x:v>
      </x:c>
    </x:row>
    <x:row r="831">
      <x:c r="A831" t="str">
        <x:v>JFD-20231013-0829</x:v>
      </x:c>
      <x:c r="B831" s="11" t="n">
        <x:v>45212.808333333334</x:v>
      </x:c>
      <x:c r="C831" s="13" t="n">
        <x:v>0.8083333333333333</x:v>
      </x:c>
      <x:c r="D831" t="str">
        <x:v>Birtamode</x:v>
      </x:c>
      <x:c r="E831" t="str">
        <x:v>Pizza Ghar</x:v>
      </x:c>
      <x:c r="F831" s="14" t="n">
        <x:v>1200</x:v>
      </x:c>
      <x:c r="G831" t="str">
        <x:v>DEMO / SIMULATED</x:v>
      </x:c>
    </x:row>
    <x:row r="832">
      <x:c r="A832" t="str">
        <x:v>JFD-20240720-0830</x:v>
      </x:c>
      <x:c r="B832" s="11" t="n">
        <x:v>45493.88402777778</x:v>
      </x:c>
      <x:c r="C832" s="13" t="n">
        <x:v>0.8840277777777777</x:v>
      </x:c>
      <x:c r="D832" t="str">
        <x:v>Damak</x:v>
      </x:c>
      <x:c r="E832" t="str">
        <x:v>Milan’s Bakery</x:v>
      </x:c>
      <x:c r="F832" s="14" t="n">
        <x:v>1580</x:v>
      </x:c>
      <x:c r="G832" t="str">
        <x:v>DEMO / SIMULATED</x:v>
      </x:c>
    </x:row>
    <x:row r="833">
      <x:c r="A833" t="str">
        <x:v>JFD-20250430-0831</x:v>
      </x:c>
      <x:c r="B833" s="11" t="n">
        <x:v>45777.62777777778</x:v>
      </x:c>
      <x:c r="C833" s="13" t="n">
        <x:v>0.6277777777777778</x:v>
      </x:c>
      <x:c r="D833" t="str">
        <x:v>Birtamode</x:v>
      </x:c>
      <x:c r="E833" t="str">
        <x:v>The Underground Cafe &amp; Restaurant</x:v>
      </x:c>
      <x:c r="F833" s="14" t="n">
        <x:v>840</x:v>
      </x:c>
      <x:c r="G833" t="str">
        <x:v>DEMO / SIMULATED</x:v>
      </x:c>
    </x:row>
    <x:row r="834">
      <x:c r="A834" t="str">
        <x:v>JFD-20261005-0832</x:v>
      </x:c>
      <x:c r="B834" s="11" t="n">
        <x:v>46300.54375</x:v>
      </x:c>
      <x:c r="C834" s="13" t="n">
        <x:v>0.54375</x:v>
      </x:c>
      <x:c r="D834" t="str">
        <x:v>Birtamode</x:v>
      </x:c>
      <x:c r="E834" t="str">
        <x:v>Pizza Ghar</x:v>
      </x:c>
      <x:c r="F834" s="14" t="n">
        <x:v>2420</x:v>
      </x:c>
      <x:c r="G834" t="str">
        <x:v>DEMO / SIMULATED</x:v>
      </x:c>
    </x:row>
    <x:row r="835">
      <x:c r="A835" t="str">
        <x:v>JFD-20250807-0833</x:v>
      </x:c>
      <x:c r="B835" s="11" t="n">
        <x:v>45876.80763888889</x:v>
      </x:c>
      <x:c r="C835" s="13" t="n">
        <x:v>0.8076388888888889</x:v>
      </x:c>
      <x:c r="D835" t="str">
        <x:v>Birtamode</x:v>
      </x:c>
      <x:c r="E835" t="str">
        <x:v>Pizza Ghar</x:v>
      </x:c>
      <x:c r="F835" s="14" t="n">
        <x:v>280</x:v>
      </x:c>
      <x:c r="G835" t="str">
        <x:v>DEMO / SIMULATED</x:v>
      </x:c>
    </x:row>
    <x:row r="836">
      <x:c r="A836" t="str">
        <x:v>JFD-20260814-0834</x:v>
      </x:c>
      <x:c r="B836" s="11" t="n">
        <x:v>46248.49652777778</x:v>
      </x:c>
      <x:c r="C836" s="13" t="n">
        <x:v>0.4965277777777778</x:v>
      </x:c>
      <x:c r="D836" t="str">
        <x:v>Birtamode</x:v>
      </x:c>
      <x:c r="E836" t="str">
        <x:v>The Underground Cafe &amp; Restaurant</x:v>
      </x:c>
      <x:c r="F836" s="14" t="n">
        <x:v>610</x:v>
      </x:c>
      <x:c r="G836" t="str">
        <x:v>DEMO / SIMULATED</x:v>
      </x:c>
    </x:row>
    <x:row r="837">
      <x:c r="A837" t="str">
        <x:v>JFD-20250226-0835</x:v>
      </x:c>
      <x:c r="B837" s="11" t="n">
        <x:v>45714.6</x:v>
      </x:c>
      <x:c r="C837" s="13" t="n">
        <x:v>0.6</x:v>
      </x:c>
      <x:c r="D837" t="str">
        <x:v>Birtamode</x:v>
      </x:c>
      <x:c r="E837" t="str">
        <x:v>Pizza Ghar</x:v>
      </x:c>
      <x:c r="F837" s="14" t="n">
        <x:v>1120</x:v>
      </x:c>
      <x:c r="G837" t="str">
        <x:v>DEMO / SIMULATED</x:v>
      </x:c>
    </x:row>
    <x:row r="838">
      <x:c r="A838" t="str">
        <x:v>JFD-20240528-0836</x:v>
      </x:c>
      <x:c r="B838" s="11" t="n">
        <x:v>45440.770833333336</x:v>
      </x:c>
      <x:c r="C838" s="13" t="n">
        <x:v>0.7708333333333334</x:v>
      </x:c>
      <x:c r="D838" t="str">
        <x:v>Damak</x:v>
      </x:c>
      <x:c r="E838" t="str">
        <x:v>Late Night Cravings</x:v>
      </x:c>
      <x:c r="F838" s="14" t="n">
        <x:v>370</x:v>
      </x:c>
      <x:c r="G838" t="str">
        <x:v>DEMO / SIMULATED</x:v>
      </x:c>
    </x:row>
    <x:row r="839">
      <x:c r="A839" t="str">
        <x:v>JFD-20230304-0837</x:v>
      </x:c>
      <x:c r="B839" s="11" t="n">
        <x:v>44989.850694444445</x:v>
      </x:c>
      <x:c r="C839" s="13" t="n">
        <x:v>0.8506944444444444</x:v>
      </x:c>
      <x:c r="D839" t="str">
        <x:v>Damak</x:v>
      </x:c>
      <x:c r="E839" t="str">
        <x:v>Milan’s Bakery</x:v>
      </x:c>
      <x:c r="F839" s="14" t="n">
        <x:v>1060</x:v>
      </x:c>
      <x:c r="G839" t="str">
        <x:v>DEMO / SIMULATED</x:v>
      </x:c>
    </x:row>
    <x:row r="840">
      <x:c r="A840" t="str">
        <x:v>JFD-20250914-0838</x:v>
      </x:c>
      <x:c r="B840" s="11" t="n">
        <x:v>45914.84861111111</x:v>
      </x:c>
      <x:c r="C840" s="13" t="n">
        <x:v>0.8486111111111111</x:v>
      </x:c>
      <x:c r="D840" t="str">
        <x:v>Damak</x:v>
      </x:c>
      <x:c r="E840" t="str">
        <x:v>Milan’s Bakery</x:v>
      </x:c>
      <x:c r="F840" s="14" t="n">
        <x:v>190</x:v>
      </x:c>
      <x:c r="G840" t="str">
        <x:v>DEMO / SIMULATED</x:v>
      </x:c>
    </x:row>
    <x:row r="841">
      <x:c r="A841" t="str">
        <x:v>JFD-20260719-0839</x:v>
      </x:c>
      <x:c r="B841" s="11" t="n">
        <x:v>46222.81527777778</x:v>
      </x:c>
      <x:c r="C841" s="13" t="n">
        <x:v>0.8152777777777778</x:v>
      </x:c>
      <x:c r="D841" t="str">
        <x:v>Birtamode</x:v>
      </x:c>
      <x:c r="E841" t="str">
        <x:v>Pizza Ghar</x:v>
      </x:c>
      <x:c r="F841" s="14" t="n">
        <x:v>1000</x:v>
      </x:c>
      <x:c r="G841" t="str">
        <x:v>DEMO / SIMULATED</x:v>
      </x:c>
    </x:row>
    <x:row r="842">
      <x:c r="A842" t="str">
        <x:v>JFD-20230724-0840</x:v>
      </x:c>
      <x:c r="B842" s="11" t="n">
        <x:v>45131.51875</x:v>
      </x:c>
      <x:c r="C842" s="13" t="n">
        <x:v>0.51875</x:v>
      </x:c>
      <x:c r="D842" t="str">
        <x:v>Damak</x:v>
      </x:c>
      <x:c r="E842" t="str">
        <x:v>Milan’s Bakery</x:v>
      </x:c>
      <x:c r="F842" s="14" t="n">
        <x:v>1960</x:v>
      </x:c>
      <x:c r="G842" t="str">
        <x:v>DEMO / SIMULATED</x:v>
      </x:c>
    </x:row>
    <x:row r="843">
      <x:c r="A843" t="str">
        <x:v>JFD-20231227-0841</x:v>
      </x:c>
      <x:c r="B843" s="11" t="n">
        <x:v>45287.625</x:v>
      </x:c>
      <x:c r="C843" s="13" t="n">
        <x:v>0.625</x:v>
      </x:c>
      <x:c r="D843" t="str">
        <x:v>Birtamode</x:v>
      </x:c>
      <x:c r="E843" t="str">
        <x:v>The Underground Cafe &amp; Restaurant</x:v>
      </x:c>
      <x:c r="F843" s="14" t="n">
        <x:v>140</x:v>
      </x:c>
      <x:c r="G843" t="str">
        <x:v>DEMO / SIMULATED</x:v>
      </x:c>
    </x:row>
    <x:row r="844">
      <x:c r="A844" t="str">
        <x:v>JFD-20250707-0842</x:v>
      </x:c>
      <x:c r="B844" s="11" t="n">
        <x:v>45845.425</x:v>
      </x:c>
      <x:c r="C844" s="13" t="n">
        <x:v>0.425</x:v>
      </x:c>
      <x:c r="D844" t="str">
        <x:v>Damak</x:v>
      </x:c>
      <x:c r="E844" t="str">
        <x:v>Milan’s Bakery</x:v>
      </x:c>
      <x:c r="F844" s="14" t="n">
        <x:v>740</x:v>
      </x:c>
      <x:c r="G844" t="str">
        <x:v>DEMO / SIMULATED</x:v>
      </x:c>
    </x:row>
    <x:row r="845">
      <x:c r="A845" t="str">
        <x:v>JFD-20230513-0843</x:v>
      </x:c>
      <x:c r="B845" s="11" t="n">
        <x:v>45059.85486111111</x:v>
      </x:c>
      <x:c r="C845" s="13" t="n">
        <x:v>0.8548611111111111</x:v>
      </x:c>
      <x:c r="D845" t="str">
        <x:v>Damak</x:v>
      </x:c>
      <x:c r="E845" t="str">
        <x:v>Milan’s Bakery</x:v>
      </x:c>
      <x:c r="F845" s="14" t="n">
        <x:v>3120</x:v>
      </x:c>
      <x:c r="G845" t="str">
        <x:v>DEMO / SIMULATED</x:v>
      </x:c>
    </x:row>
    <x:row r="846">
      <x:c r="A846" t="str">
        <x:v>JFD-20250403-0844</x:v>
      </x:c>
      <x:c r="B846" s="11" t="n">
        <x:v>45750.71041666667</x:v>
      </x:c>
      <x:c r="C846" s="13" t="n">
        <x:v>0.7104166666666667</x:v>
      </x:c>
      <x:c r="D846" t="str">
        <x:v>Birtamode</x:v>
      </x:c>
      <x:c r="E846" t="str">
        <x:v>The Underground Cafe &amp; Restaurant</x:v>
      </x:c>
      <x:c r="F846" s="14" t="n">
        <x:v>540</x:v>
      </x:c>
      <x:c r="G846" t="str">
        <x:v>DEMO / SIMULATED</x:v>
      </x:c>
    </x:row>
    <x:row r="847">
      <x:c r="A847" t="str">
        <x:v>JFD-20260730-0845</x:v>
      </x:c>
      <x:c r="B847" s="11" t="n">
        <x:v>46233.552777777775</x:v>
      </x:c>
      <x:c r="C847" s="13" t="n">
        <x:v>0.5527777777777778</x:v>
      </x:c>
      <x:c r="D847" t="str">
        <x:v>Damak</x:v>
      </x:c>
      <x:c r="E847" t="str">
        <x:v>Milan’s Bakery</x:v>
      </x:c>
      <x:c r="F847" s="14" t="n">
        <x:v>40</x:v>
      </x:c>
      <x:c r="G847" t="str">
        <x:v>DEMO / SIMULATED</x:v>
      </x:c>
    </x:row>
    <x:row r="848">
      <x:c r="A848" t="str">
        <x:v>JFD-20230911-0846</x:v>
      </x:c>
      <x:c r="B848" s="11" t="n">
        <x:v>45180.75277777778</x:v>
      </x:c>
      <x:c r="C848" s="13" t="n">
        <x:v>0.7527777777777778</x:v>
      </x:c>
      <x:c r="D848" t="str">
        <x:v>Damak</x:v>
      </x:c>
      <x:c r="E848" t="str">
        <x:v>Milan’s Bakery</x:v>
      </x:c>
      <x:c r="F848" s="14" t="n">
        <x:v>3800</x:v>
      </x:c>
      <x:c r="G848" t="str">
        <x:v>DEMO / SIMULATED</x:v>
      </x:c>
    </x:row>
    <x:row r="849">
      <x:c r="A849" t="str">
        <x:v>JFD-20260105-0847</x:v>
      </x:c>
      <x:c r="B849" s="11" t="n">
        <x:v>46027.691666666666</x:v>
      </x:c>
      <x:c r="C849" s="13" t="n">
        <x:v>0.6916666666666667</x:v>
      </x:c>
      <x:c r="D849" t="str">
        <x:v>Damak</x:v>
      </x:c>
      <x:c r="E849" t="str">
        <x:v>Late Night Cravings</x:v>
      </x:c>
      <x:c r="F849" s="14" t="n">
        <x:v>500</x:v>
      </x:c>
      <x:c r="G849" t="str">
        <x:v>DEMO / SIMULATED</x:v>
      </x:c>
    </x:row>
    <x:row r="850">
      <x:c r="A850" t="str">
        <x:v>JFD-20230328-0848</x:v>
      </x:c>
      <x:c r="B850" s="11" t="n">
        <x:v>45013.524305555555</x:v>
      </x:c>
      <x:c r="C850" s="13" t="n">
        <x:v>0.5243055555555556</x:v>
      </x:c>
      <x:c r="D850" t="str">
        <x:v>Birtamode</x:v>
      </x:c>
      <x:c r="E850" t="str">
        <x:v>The Underground Cafe &amp; Restaurant</x:v>
      </x:c>
      <x:c r="F850" s="14" t="n">
        <x:v>355</x:v>
      </x:c>
      <x:c r="G850" t="str">
        <x:v>DEMO / SIMULATED</x:v>
      </x:c>
    </x:row>
    <x:row r="851">
      <x:c r="A851" t="str">
        <x:v>JFD-20240525-0849</x:v>
      </x:c>
      <x:c r="B851" s="11" t="n">
        <x:v>45437.700694444444</x:v>
      </x:c>
      <x:c r="C851" s="13" t="n">
        <x:v>0.7006944444444444</x:v>
      </x:c>
      <x:c r="D851" t="str">
        <x:v>Damak</x:v>
      </x:c>
      <x:c r="E851" t="str">
        <x:v>Milan’s Bakery</x:v>
      </x:c>
      <x:c r="F851" s="14" t="n">
        <x:v>515</x:v>
      </x:c>
      <x:c r="G851" t="str">
        <x:v>DEMO / SIMULATED</x:v>
      </x:c>
    </x:row>
    <x:row r="852">
      <x:c r="A852" t="str">
        <x:v>JFD-20240910-0850</x:v>
      </x:c>
      <x:c r="B852" s="11" t="n">
        <x:v>45545.59930555556</x:v>
      </x:c>
      <x:c r="C852" s="13" t="n">
        <x:v>0.5993055555555555</x:v>
      </x:c>
      <x:c r="D852" t="str">
        <x:v>Birtamode</x:v>
      </x:c>
      <x:c r="E852" t="str">
        <x:v>The Underground Cafe &amp; Restaurant</x:v>
      </x:c>
      <x:c r="F852" s="14" t="n">
        <x:v>630</x:v>
      </x:c>
      <x:c r="G852" t="str">
        <x:v>DEMO / SIMULATED</x:v>
      </x:c>
    </x:row>
    <x:row r="853">
      <x:c r="A853" t="str">
        <x:v>JFD-20260311-0851</x:v>
      </x:c>
      <x:c r="B853" s="11" t="n">
        <x:v>46092.4375</x:v>
      </x:c>
      <x:c r="C853" s="13" t="n">
        <x:v>0.4375</x:v>
      </x:c>
      <x:c r="D853" t="str">
        <x:v>Damak</x:v>
      </x:c>
      <x:c r="E853" t="str">
        <x:v>Milan’s Bakery</x:v>
      </x:c>
      <x:c r="F853" s="14" t="n">
        <x:v>600</x:v>
      </x:c>
      <x:c r="G853" t="str">
        <x:v>DEMO / SIMULATED</x:v>
      </x:c>
    </x:row>
    <x:row r="854">
      <x:c r="A854" t="str">
        <x:v>JFD-20230320-0852</x:v>
      </x:c>
      <x:c r="B854" s="11" t="n">
        <x:v>45005.441666666666</x:v>
      </x:c>
      <x:c r="C854" s="13" t="n">
        <x:v>0.44166666666666665</x:v>
      </x:c>
      <x:c r="D854" t="str">
        <x:v>Damak</x:v>
      </x:c>
      <x:c r="E854" t="str">
        <x:v>Milan’s Bakery</x:v>
      </x:c>
      <x:c r="F854" s="14" t="n">
        <x:v>80</x:v>
      </x:c>
      <x:c r="G854" t="str">
        <x:v>DEMO / SIMULATED</x:v>
      </x:c>
    </x:row>
    <x:row r="855">
      <x:c r="A855" t="str">
        <x:v>JFD-20230716-0853</x:v>
      </x:c>
      <x:c r="B855" s="11" t="n">
        <x:v>45123.91180555556</x:v>
      </x:c>
      <x:c r="C855" s="13" t="n">
        <x:v>0.9118055555555555</x:v>
      </x:c>
      <x:c r="D855" t="str">
        <x:v>Birtamode</x:v>
      </x:c>
      <x:c r="E855" t="str">
        <x:v>Pizza Ghar</x:v>
      </x:c>
      <x:c r="F855" s="14" t="n">
        <x:v>830</x:v>
      </x:c>
      <x:c r="G855" t="str">
        <x:v>DEMO / SIMULATED</x:v>
      </x:c>
    </x:row>
    <x:row r="856">
      <x:c r="A856" t="str">
        <x:v>JFD-20230717-0854</x:v>
      </x:c>
      <x:c r="B856" s="11" t="n">
        <x:v>45124.59583333333</x:v>
      </x:c>
      <x:c r="C856" s="13" t="n">
        <x:v>0.5958333333333333</x:v>
      </x:c>
      <x:c r="D856" t="str">
        <x:v>Damak</x:v>
      </x:c>
      <x:c r="E856" t="str">
        <x:v>Late Night Cravings</x:v>
      </x:c>
      <x:c r="F856" s="14" t="n">
        <x:v>705</x:v>
      </x:c>
      <x:c r="G856" t="str">
        <x:v>DEMO / SIMULATED</x:v>
      </x:c>
    </x:row>
    <x:row r="857">
      <x:c r="A857" t="str">
        <x:v>JFD-20250828-0855</x:v>
      </x:c>
      <x:c r="B857" s="11" t="n">
        <x:v>45897.868055555555</x:v>
      </x:c>
      <x:c r="C857" s="13" t="n">
        <x:v>0.8680555555555556</x:v>
      </x:c>
      <x:c r="D857" t="str">
        <x:v>Birtamode</x:v>
      </x:c>
      <x:c r="E857" t="str">
        <x:v>Pizza Ghar</x:v>
      </x:c>
      <x:c r="F857" s="14" t="n">
        <x:v>510</x:v>
      </x:c>
      <x:c r="G857" t="str">
        <x:v>DEMO / SIMULATED</x:v>
      </x:c>
    </x:row>
    <x:row r="858">
      <x:c r="A858" t="str">
        <x:v>JFD-20260108-0856</x:v>
      </x:c>
      <x:c r="B858" s="11" t="n">
        <x:v>46030.77222222222</x:v>
      </x:c>
      <x:c r="C858" s="13" t="n">
        <x:v>0.7722222222222223</x:v>
      </x:c>
      <x:c r="D858" t="str">
        <x:v>Damak</x:v>
      </x:c>
      <x:c r="E858" t="str">
        <x:v>Milan’s Bakery</x:v>
      </x:c>
      <x:c r="F858" s="14" t="n">
        <x:v>1470</x:v>
      </x:c>
      <x:c r="G858" t="str">
        <x:v>DEMO / SIMULATED</x:v>
      </x:c>
    </x:row>
    <x:row r="859">
      <x:c r="A859" t="str">
        <x:v>JFD-20240203-0857</x:v>
      </x:c>
      <x:c r="B859" s="11" t="n">
        <x:v>45325.57638888889</x:v>
      </x:c>
      <x:c r="C859" s="13" t="n">
        <x:v>0.5763888888888888</x:v>
      </x:c>
      <x:c r="D859" t="str">
        <x:v>Birtamode</x:v>
      </x:c>
      <x:c r="E859" t="str">
        <x:v>The Underground Cafe &amp; Restaurant</x:v>
      </x:c>
      <x:c r="F859" s="14" t="n">
        <x:v>105</x:v>
      </x:c>
      <x:c r="G859" t="str">
        <x:v>DEMO / SIMULATED</x:v>
      </x:c>
    </x:row>
    <x:row r="860">
      <x:c r="A860" t="str">
        <x:v>JFD-20260118-0858</x:v>
      </x:c>
      <x:c r="B860" s="11" t="n">
        <x:v>46040.663194444445</x:v>
      </x:c>
      <x:c r="C860" s="13" t="n">
        <x:v>0.6631944444444444</x:v>
      </x:c>
      <x:c r="D860" t="str">
        <x:v>Birtamode</x:v>
      </x:c>
      <x:c r="E860" t="str">
        <x:v>Pizza Ghar</x:v>
      </x:c>
      <x:c r="F860" s="14" t="n">
        <x:v>880</x:v>
      </x:c>
      <x:c r="G860" t="str">
        <x:v>DEMO / SIMULATED</x:v>
      </x:c>
    </x:row>
    <x:row r="861">
      <x:c r="A861" t="str">
        <x:v>JFD-20240815-0859</x:v>
      </x:c>
      <x:c r="B861" s="11" t="n">
        <x:v>45519.79791666667</x:v>
      </x:c>
      <x:c r="C861" s="13" t="n">
        <x:v>0.7979166666666667</x:v>
      </x:c>
      <x:c r="D861" t="str">
        <x:v>Birtamode</x:v>
      </x:c>
      <x:c r="E861" t="str">
        <x:v>The Underground Cafe &amp; Restaurant</x:v>
      </x:c>
      <x:c r="F861" s="14" t="n">
        <x:v>140</x:v>
      </x:c>
      <x:c r="G861" t="str">
        <x:v>DEMO / SIMULATED</x:v>
      </x:c>
    </x:row>
    <x:row r="862">
      <x:c r="A862" t="str">
        <x:v>JFD-20250616-0860</x:v>
      </x:c>
      <x:c r="B862" s="11" t="n">
        <x:v>45824.69652777778</x:v>
      </x:c>
      <x:c r="C862" s="13" t="n">
        <x:v>0.6965277777777777</x:v>
      </x:c>
      <x:c r="D862" t="str">
        <x:v>Birtamode</x:v>
      </x:c>
      <x:c r="E862" t="str">
        <x:v>The Underground Cafe &amp; Restaurant</x:v>
      </x:c>
      <x:c r="F862" s="14" t="n">
        <x:v>580</x:v>
      </x:c>
      <x:c r="G862" t="str">
        <x:v>DEMO / SIMULATED</x:v>
      </x:c>
    </x:row>
    <x:row r="863">
      <x:c r="A863" t="str">
        <x:v>JFD-20240128-0861</x:v>
      </x:c>
      <x:c r="B863" s="11" t="n">
        <x:v>45319.626388888886</x:v>
      </x:c>
      <x:c r="C863" s="13" t="n">
        <x:v>0.6263888888888889</x:v>
      </x:c>
      <x:c r="D863" t="str">
        <x:v>Birtamode</x:v>
      </x:c>
      <x:c r="E863" t="str">
        <x:v>Pizza Ghar</x:v>
      </x:c>
      <x:c r="F863" s="14" t="n">
        <x:v>195</x:v>
      </x:c>
      <x:c r="G863" t="str">
        <x:v>DEMO / SIMULATED</x:v>
      </x:c>
    </x:row>
    <x:row r="864">
      <x:c r="A864" t="str">
        <x:v>JFD-20260909-0862</x:v>
      </x:c>
      <x:c r="B864" s="11" t="n">
        <x:v>46274.87847222222</x:v>
      </x:c>
      <x:c r="C864" s="13" t="n">
        <x:v>0.8784722222222222</x:v>
      </x:c>
      <x:c r="D864" t="str">
        <x:v>Birtamode</x:v>
      </x:c>
      <x:c r="E864" t="str">
        <x:v>Pizza Ghar</x:v>
      </x:c>
      <x:c r="F864" s="14" t="n">
        <x:v>2620</x:v>
      </x:c>
      <x:c r="G864" t="str">
        <x:v>DEMO / SIMULATED</x:v>
      </x:c>
    </x:row>
    <x:row r="865">
      <x:c r="A865" t="str">
        <x:v>JFD-20241107-0863</x:v>
      </x:c>
      <x:c r="B865" s="11" t="n">
        <x:v>45603.56805555556</x:v>
      </x:c>
      <x:c r="C865" s="13" t="n">
        <x:v>0.5680555555555555</x:v>
      </x:c>
      <x:c r="D865" t="str">
        <x:v>Damak</x:v>
      </x:c>
      <x:c r="E865" t="str">
        <x:v>Milan’s Bakery</x:v>
      </x:c>
      <x:c r="F865" s="14" t="n">
        <x:v>90</x:v>
      </x:c>
      <x:c r="G865" t="str">
        <x:v>DEMO / SIMULATED</x:v>
      </x:c>
    </x:row>
    <x:row r="866">
      <x:c r="A866" t="str">
        <x:v>JFD-20230704-0864</x:v>
      </x:c>
      <x:c r="B866" s="11" t="n">
        <x:v>45111.450694444444</x:v>
      </x:c>
      <x:c r="C866" s="13" t="n">
        <x:v>0.45069444444444445</x:v>
      </x:c>
      <x:c r="D866" t="str">
        <x:v>Damak</x:v>
      </x:c>
      <x:c r="E866" t="str">
        <x:v>Milan’s Bakery</x:v>
      </x:c>
      <x:c r="F866" s="14" t="n">
        <x:v>2610</x:v>
      </x:c>
      <x:c r="G866" t="str">
        <x:v>DEMO / SIMULATED</x:v>
      </x:c>
    </x:row>
    <x:row r="867">
      <x:c r="A867" t="str">
        <x:v>JFD-20260227-0865</x:v>
      </x:c>
      <x:c r="B867" s="11" t="n">
        <x:v>46080.76597222222</x:v>
      </x:c>
      <x:c r="C867" s="13" t="n">
        <x:v>0.7659722222222223</x:v>
      </x:c>
      <x:c r="D867" t="str">
        <x:v>Damak</x:v>
      </x:c>
      <x:c r="E867" t="str">
        <x:v>Milan’s Bakery</x:v>
      </x:c>
      <x:c r="F867" s="14" t="n">
        <x:v>1050</x:v>
      </x:c>
      <x:c r="G867" t="str">
        <x:v>DEMO / SIMULATED</x:v>
      </x:c>
    </x:row>
    <x:row r="868">
      <x:c r="A868" t="str">
        <x:v>JFD-20241102-0866</x:v>
      </x:c>
      <x:c r="B868" s="11" t="n">
        <x:v>45598.686111111114</x:v>
      </x:c>
      <x:c r="C868" s="13" t="n">
        <x:v>0.6861111111111111</x:v>
      </x:c>
      <x:c r="D868" t="str">
        <x:v>Birtamode</x:v>
      </x:c>
      <x:c r="E868" t="str">
        <x:v>The Underground Cafe &amp; Restaurant</x:v>
      </x:c>
      <x:c r="F868" s="14" t="n">
        <x:v>595</x:v>
      </x:c>
      <x:c r="G868" t="str">
        <x:v>DEMO / SIMULATED</x:v>
      </x:c>
    </x:row>
    <x:row r="869">
      <x:c r="A869" t="str">
        <x:v>JFD-20240720-0867</x:v>
      </x:c>
      <x:c r="B869" s="11" t="n">
        <x:v>45493.850694444445</x:v>
      </x:c>
      <x:c r="C869" s="13" t="n">
        <x:v>0.8506944444444444</x:v>
      </x:c>
      <x:c r="D869" t="str">
        <x:v>Damak</x:v>
      </x:c>
      <x:c r="E869" t="str">
        <x:v>Late Night Cravings</x:v>
      </x:c>
      <x:c r="F869" s="14" t="n">
        <x:v>195</x:v>
      </x:c>
      <x:c r="G869" t="str">
        <x:v>DEMO / SIMULATED</x:v>
      </x:c>
    </x:row>
    <x:row r="870">
      <x:c r="A870" t="str">
        <x:v>JFD-20231027-0868</x:v>
      </x:c>
      <x:c r="B870" s="11" t="n">
        <x:v>45226.660416666666</x:v>
      </x:c>
      <x:c r="C870" s="13" t="n">
        <x:v>0.6604166666666667</x:v>
      </x:c>
      <x:c r="D870" t="str">
        <x:v>Damak</x:v>
      </x:c>
      <x:c r="E870" t="str">
        <x:v>Milan’s Bakery</x:v>
      </x:c>
      <x:c r="F870" s="14" t="n">
        <x:v>595</x:v>
      </x:c>
      <x:c r="G870" t="str">
        <x:v>DEMO / SIMULATED</x:v>
      </x:c>
    </x:row>
    <x:row r="871">
      <x:c r="A871" t="str">
        <x:v>JFD-20260710-0869</x:v>
      </x:c>
      <x:c r="B871" s="11" t="n">
        <x:v>46213.44375</x:v>
      </x:c>
      <x:c r="C871" s="13" t="n">
        <x:v>0.44375</x:v>
      </x:c>
      <x:c r="D871" t="str">
        <x:v>Birtamode</x:v>
      </x:c>
      <x:c r="E871" t="str">
        <x:v>The Underground Cafe &amp; Restaurant</x:v>
      </x:c>
      <x:c r="F871" s="14" t="n">
        <x:v>400</x:v>
      </x:c>
      <x:c r="G871" t="str">
        <x:v>DEMO / SIMULATED</x:v>
      </x:c>
    </x:row>
    <x:row r="872">
      <x:c r="A872" t="str">
        <x:v>JFD-20250122-0870</x:v>
      </x:c>
      <x:c r="B872" s="11" t="n">
        <x:v>45679.489583333336</x:v>
      </x:c>
      <x:c r="C872" s="13" t="n">
        <x:v>0.4895833333333333</x:v>
      </x:c>
      <x:c r="D872" t="str">
        <x:v>Birtamode</x:v>
      </x:c>
      <x:c r="E872" t="str">
        <x:v>The Underground Cafe &amp; Restaurant</x:v>
      </x:c>
      <x:c r="F872" s="14" t="n">
        <x:v>245</x:v>
      </x:c>
      <x:c r="G872" t="str">
        <x:v>DEMO / SIMULATED</x:v>
      </x:c>
    </x:row>
    <x:row r="873">
      <x:c r="A873" t="str">
        <x:v>JFD-20250929-0871</x:v>
      </x:c>
      <x:c r="B873" s="11" t="n">
        <x:v>45929.78888888889</x:v>
      </x:c>
      <x:c r="C873" s="13" t="n">
        <x:v>0.7888888888888889</x:v>
      </x:c>
      <x:c r="D873" t="str">
        <x:v>Birtamode</x:v>
      </x:c>
      <x:c r="E873" t="str">
        <x:v>The Underground Cafe &amp; Restaurant</x:v>
      </x:c>
      <x:c r="F873" s="14" t="n">
        <x:v>210</x:v>
      </x:c>
      <x:c r="G873" t="str">
        <x:v>DEMO / SIMULATED</x:v>
      </x:c>
    </x:row>
    <x:row r="874">
      <x:c r="A874" t="str">
        <x:v>JFD-20230813-0872</x:v>
      </x:c>
      <x:c r="B874" s="11" t="n">
        <x:v>45151.709027777775</x:v>
      </x:c>
      <x:c r="C874" s="13" t="n">
        <x:v>0.7090277777777778</x:v>
      </x:c>
      <x:c r="D874" t="str">
        <x:v>Birtamode</x:v>
      </x:c>
      <x:c r="E874" t="str">
        <x:v>The Underground Cafe &amp; Restaurant</x:v>
      </x:c>
      <x:c r="F874" s="14" t="n">
        <x:v>500</x:v>
      </x:c>
      <x:c r="G874" t="str">
        <x:v>DEMO / SIMULATED</x:v>
      </x:c>
    </x:row>
    <x:row r="875">
      <x:c r="A875" t="str">
        <x:v>JFD-20240404-0873</x:v>
      </x:c>
      <x:c r="B875" s="11" t="n">
        <x:v>45386.47083333333</x:v>
      </x:c>
      <x:c r="C875" s="13" t="n">
        <x:v>0.4708333333333333</x:v>
      </x:c>
      <x:c r="D875" t="str">
        <x:v>Damak</x:v>
      </x:c>
      <x:c r="E875" t="str">
        <x:v>Milan’s Bakery</x:v>
      </x:c>
      <x:c r="F875" s="14" t="n">
        <x:v>1150</x:v>
      </x:c>
      <x:c r="G875" t="str">
        <x:v>DEMO / SIMULATED</x:v>
      </x:c>
    </x:row>
    <x:row r="876">
      <x:c r="A876" t="str">
        <x:v>JFD-20240402-0874</x:v>
      </x:c>
      <x:c r="B876" s="11" t="n">
        <x:v>45384.875</x:v>
      </x:c>
      <x:c r="C876" s="13" t="n">
        <x:v>0.875</x:v>
      </x:c>
      <x:c r="D876" t="str">
        <x:v>Birtamode</x:v>
      </x:c>
      <x:c r="E876" t="str">
        <x:v>The Underground Cafe &amp; Restaurant</x:v>
      </x:c>
      <x:c r="F876" s="14" t="n">
        <x:v>540</x:v>
      </x:c>
      <x:c r="G876" t="str">
        <x:v>DEMO / SIMULATED</x:v>
      </x:c>
    </x:row>
    <x:row r="877">
      <x:c r="A877" t="str">
        <x:v>JFD-20230206-0875</x:v>
      </x:c>
      <x:c r="B877" s="11" t="n">
        <x:v>44963.76875</x:v>
      </x:c>
      <x:c r="C877" s="13" t="n">
        <x:v>0.76875</x:v>
      </x:c>
      <x:c r="D877" t="str">
        <x:v>Birtamode</x:v>
      </x:c>
      <x:c r="E877" t="str">
        <x:v>The Underground Cafe &amp; Restaurant</x:v>
      </x:c>
      <x:c r="F877" s="14" t="n">
        <x:v>740</x:v>
      </x:c>
      <x:c r="G877" t="str">
        <x:v>DEMO / SIMULATED</x:v>
      </x:c>
    </x:row>
    <x:row r="878">
      <x:c r="A878" t="str">
        <x:v>JFD-20230104-0876</x:v>
      </x:c>
      <x:c r="B878" s="11" t="n">
        <x:v>44930.69513888889</x:v>
      </x:c>
      <x:c r="C878" s="13" t="n">
        <x:v>0.6951388888888889</x:v>
      </x:c>
      <x:c r="D878" t="str">
        <x:v>Birtamode</x:v>
      </x:c>
      <x:c r="E878" t="str">
        <x:v>The Underground Cafe &amp; Restaurant</x:v>
      </x:c>
      <x:c r="F878" s="14" t="n">
        <x:v>1030</x:v>
      </x:c>
      <x:c r="G878" t="str">
        <x:v>DEMO / SIMULATED</x:v>
      </x:c>
    </x:row>
    <x:row r="879">
      <x:c r="A879" t="str">
        <x:v>JFD-20230330-0877</x:v>
      </x:c>
      <x:c r="B879" s="11" t="n">
        <x:v>45015.44652777778</x:v>
      </x:c>
      <x:c r="C879" s="13" t="n">
        <x:v>0.4465277777777778</x:v>
      </x:c>
      <x:c r="D879" t="str">
        <x:v>Damak</x:v>
      </x:c>
      <x:c r="E879" t="str">
        <x:v>Late Night Cravings</x:v>
      </x:c>
      <x:c r="F879" s="14" t="n">
        <x:v>495</x:v>
      </x:c>
      <x:c r="G879" t="str">
        <x:v>DEMO / SIMULATED</x:v>
      </x:c>
    </x:row>
    <x:row r="880">
      <x:c r="A880" t="str">
        <x:v>JFD-20251027-0878</x:v>
      </x:c>
      <x:c r="B880" s="11" t="n">
        <x:v>45957.83472222222</x:v>
      </x:c>
      <x:c r="C880" s="13" t="n">
        <x:v>0.8347222222222223</x:v>
      </x:c>
      <x:c r="D880" t="str">
        <x:v>Damak</x:v>
      </x:c>
      <x:c r="E880" t="str">
        <x:v>Late Night Cravings</x:v>
      </x:c>
      <x:c r="F880" s="14" t="n">
        <x:v>380</x:v>
      </x:c>
      <x:c r="G880" t="str">
        <x:v>DEMO / SIMULATED</x:v>
      </x:c>
    </x:row>
    <x:row r="881">
      <x:c r="A881" t="str">
        <x:v>JFD-20260720-0879</x:v>
      </x:c>
      <x:c r="B881" s="11" t="n">
        <x:v>46223.73611111111</x:v>
      </x:c>
      <x:c r="C881" s="13" t="n">
        <x:v>0.7361111111111112</x:v>
      </x:c>
      <x:c r="D881" t="str">
        <x:v>Birtamode</x:v>
      </x:c>
      <x:c r="E881" t="str">
        <x:v>Pizza Ghar</x:v>
      </x:c>
      <x:c r="F881" s="14" t="n">
        <x:v>160</x:v>
      </x:c>
      <x:c r="G881" t="str">
        <x:v>DEMO / SIMULATED</x:v>
      </x:c>
    </x:row>
    <x:row r="882">
      <x:c r="A882" t="str">
        <x:v>JFD-20260201-0880</x:v>
      </x:c>
      <x:c r="B882" s="11" t="n">
        <x:v>46054.89166666667</x:v>
      </x:c>
      <x:c r="C882" s="13" t="n">
        <x:v>0.8916666666666667</x:v>
      </x:c>
      <x:c r="D882" t="str">
        <x:v>Birtamode</x:v>
      </x:c>
      <x:c r="E882" t="str">
        <x:v>The Underground Cafe &amp; Restaurant</x:v>
      </x:c>
      <x:c r="F882" s="14" t="n">
        <x:v>900</x:v>
      </x:c>
      <x:c r="G882" t="str">
        <x:v>DEMO / SIMULATED</x:v>
      </x:c>
    </x:row>
    <x:row r="883">
      <x:c r="A883" t="str">
        <x:v>JFD-20230221-0881</x:v>
      </x:c>
      <x:c r="B883" s="11" t="n">
        <x:v>44978.88402777778</x:v>
      </x:c>
      <x:c r="C883" s="13" t="n">
        <x:v>0.8840277777777777</x:v>
      </x:c>
      <x:c r="D883" t="str">
        <x:v>Damak</x:v>
      </x:c>
      <x:c r="E883" t="str">
        <x:v>Late Night Cravings</x:v>
      </x:c>
      <x:c r="F883" s="14" t="n">
        <x:v>160</x:v>
      </x:c>
      <x:c r="G883" t="str">
        <x:v>DEMO / SIMULATED</x:v>
      </x:c>
    </x:row>
    <x:row r="884">
      <x:c r="A884" t="str">
        <x:v>JFD-20230223-0882</x:v>
      </x:c>
      <x:c r="B884" s="11" t="n">
        <x:v>44980.67847222222</x:v>
      </x:c>
      <x:c r="C884" s="13" t="n">
        <x:v>0.6784722222222223</x:v>
      </x:c>
      <x:c r="D884" t="str">
        <x:v>Damak</x:v>
      </x:c>
      <x:c r="E884" t="str">
        <x:v>Milan’s Bakery</x:v>
      </x:c>
      <x:c r="F884" s="14" t="n">
        <x:v>1585</x:v>
      </x:c>
      <x:c r="G884" t="str">
        <x:v>DEMO / SIMULATED</x:v>
      </x:c>
    </x:row>
    <x:row r="885">
      <x:c r="A885" t="str">
        <x:v>JFD-20230318-0883</x:v>
      </x:c>
      <x:c r="B885" s="11" t="n">
        <x:v>45003.66111111111</x:v>
      </x:c>
      <x:c r="C885" s="13" t="n">
        <x:v>0.6611111111111111</x:v>
      </x:c>
      <x:c r="D885" t="str">
        <x:v>Damak</x:v>
      </x:c>
      <x:c r="E885" t="str">
        <x:v>Milan’s Bakery</x:v>
      </x:c>
      <x:c r="F885" s="14" t="n">
        <x:v>285</x:v>
      </x:c>
      <x:c r="G885" t="str">
        <x:v>DEMO / SIMULATED</x:v>
      </x:c>
    </x:row>
    <x:row r="886">
      <x:c r="A886" t="str">
        <x:v>JFD-20250615-0884</x:v>
      </x:c>
      <x:c r="B886" s="11" t="n">
        <x:v>45823.722916666666</x:v>
      </x:c>
      <x:c r="C886" s="13" t="n">
        <x:v>0.7229166666666667</x:v>
      </x:c>
      <x:c r="D886" t="str">
        <x:v>Birtamode</x:v>
      </x:c>
      <x:c r="E886" t="str">
        <x:v>Pizza Ghar</x:v>
      </x:c>
      <x:c r="F886" s="14" t="n">
        <x:v>1060</x:v>
      </x:c>
      <x:c r="G886" t="str">
        <x:v>DEMO / SIMULATED</x:v>
      </x:c>
    </x:row>
    <x:row r="887">
      <x:c r="A887" t="str">
        <x:v>JFD-20240624-0885</x:v>
      </x:c>
      <x:c r="B887" s="11" t="n">
        <x:v>45467.84305555555</x:v>
      </x:c>
      <x:c r="C887" s="13" t="n">
        <x:v>0.8430555555555556</x:v>
      </x:c>
      <x:c r="D887" t="str">
        <x:v>Damak</x:v>
      </x:c>
      <x:c r="E887" t="str">
        <x:v>Late Night Cravings</x:v>
      </x:c>
      <x:c r="F887" s="14" t="n">
        <x:v>845</x:v>
      </x:c>
      <x:c r="G887" t="str">
        <x:v>DEMO / SIMULATED</x:v>
      </x:c>
    </x:row>
    <x:row r="888">
      <x:c r="A888" t="str">
        <x:v>JFD-20230717-0886</x:v>
      </x:c>
      <x:c r="B888" s="11" t="n">
        <x:v>45124.740277777775</x:v>
      </x:c>
      <x:c r="C888" s="13" t="n">
        <x:v>0.7402777777777778</x:v>
      </x:c>
      <x:c r="D888" t="str">
        <x:v>Birtamode</x:v>
      </x:c>
      <x:c r="E888" t="str">
        <x:v>The Underground Cafe &amp; Restaurant</x:v>
      </x:c>
      <x:c r="F888" s="14" t="n">
        <x:v>1320</x:v>
      </x:c>
      <x:c r="G888" t="str">
        <x:v>DEMO / SIMULATED</x:v>
      </x:c>
    </x:row>
    <x:row r="889">
      <x:c r="A889" t="str">
        <x:v>JFD-20240630-0887</x:v>
      </x:c>
      <x:c r="B889" s="11" t="n">
        <x:v>45473.572916666664</x:v>
      </x:c>
      <x:c r="C889" s="13" t="n">
        <x:v>0.5729166666666666</x:v>
      </x:c>
      <x:c r="D889" t="str">
        <x:v>Birtamode</x:v>
      </x:c>
      <x:c r="E889" t="str">
        <x:v>Pizza Ghar</x:v>
      </x:c>
      <x:c r="F889" s="14" t="n">
        <x:v>960</x:v>
      </x:c>
      <x:c r="G889" t="str">
        <x:v>DEMO / SIMULATED</x:v>
      </x:c>
    </x:row>
    <x:row r="890">
      <x:c r="A890" t="str">
        <x:v>JFD-20230108-0888</x:v>
      </x:c>
      <x:c r="B890" s="11" t="n">
        <x:v>44934.711805555555</x:v>
      </x:c>
      <x:c r="C890" s="13" t="n">
        <x:v>0.7118055555555556</x:v>
      </x:c>
      <x:c r="D890" t="str">
        <x:v>Damak</x:v>
      </x:c>
      <x:c r="E890" t="str">
        <x:v>Late Night Cravings</x:v>
      </x:c>
      <x:c r="F890" s="14" t="n">
        <x:v>465</x:v>
      </x:c>
      <x:c r="G890" t="str">
        <x:v>DEMO / SIMULATED</x:v>
      </x:c>
    </x:row>
    <x:row r="891">
      <x:c r="A891" t="str">
        <x:v>JFD-20240314-0889</x:v>
      </x:c>
      <x:c r="B891" s="11" t="n">
        <x:v>45365.72222222222</x:v>
      </x:c>
      <x:c r="C891" s="13" t="n">
        <x:v>0.7222222222222222</x:v>
      </x:c>
      <x:c r="D891" t="str">
        <x:v>Damak</x:v>
      </x:c>
      <x:c r="E891" t="str">
        <x:v>Late Night Cravings</x:v>
      </x:c>
      <x:c r="F891" s="14" t="n">
        <x:v>765</x:v>
      </x:c>
      <x:c r="G891" t="str">
        <x:v>DEMO / SIMULATED</x:v>
      </x:c>
    </x:row>
    <x:row r="892">
      <x:c r="A892" t="str">
        <x:v>JFD-20231102-0890</x:v>
      </x:c>
      <x:c r="B892" s="11" t="n">
        <x:v>45232.904861111114</x:v>
      </x:c>
      <x:c r="C892" s="13" t="n">
        <x:v>0.9048611111111111</x:v>
      </x:c>
      <x:c r="D892" t="str">
        <x:v>Birtamode</x:v>
      </x:c>
      <x:c r="E892" t="str">
        <x:v>The Underground Cafe &amp; Restaurant</x:v>
      </x:c>
      <x:c r="F892" s="14" t="n">
        <x:v>880</x:v>
      </x:c>
      <x:c r="G892" t="str">
        <x:v>DEMO / SIMULATED</x:v>
      </x:c>
    </x:row>
    <x:row r="893">
      <x:c r="A893" t="str">
        <x:v>JFD-20230927-0891</x:v>
      </x:c>
      <x:c r="B893" s="11" t="n">
        <x:v>45196.88055555556</x:v>
      </x:c>
      <x:c r="C893" s="13" t="n">
        <x:v>0.8805555555555555</x:v>
      </x:c>
      <x:c r="D893" t="str">
        <x:v>Damak</x:v>
      </x:c>
      <x:c r="E893" t="str">
        <x:v>Late Night Cravings</x:v>
      </x:c>
      <x:c r="F893" s="14" t="n">
        <x:v>660</x:v>
      </x:c>
      <x:c r="G893" t="str">
        <x:v>DEMO / SIMULATED</x:v>
      </x:c>
    </x:row>
    <x:row r="894">
      <x:c r="A894" t="str">
        <x:v>JFD-20230516-0892</x:v>
      </x:c>
      <x:c r="B894" s="11" t="n">
        <x:v>45062.47152777778</x:v>
      </x:c>
      <x:c r="C894" s="13" t="n">
        <x:v>0.47152777777777777</x:v>
      </x:c>
      <x:c r="D894" t="str">
        <x:v>Birtamode</x:v>
      </x:c>
      <x:c r="E894" t="str">
        <x:v>Pizza Ghar</x:v>
      </x:c>
      <x:c r="F894" s="14" t="n">
        <x:v>1055</x:v>
      </x:c>
      <x:c r="G894" t="str">
        <x:v>DEMO / SIMULATED</x:v>
      </x:c>
    </x:row>
    <x:row r="895">
      <x:c r="A895" t="str">
        <x:v>JFD-20230303-0893</x:v>
      </x:c>
      <x:c r="B895" s="11" t="n">
        <x:v>44988.518055555556</x:v>
      </x:c>
      <x:c r="C895" s="13" t="n">
        <x:v>0.5180555555555556</x:v>
      </x:c>
      <x:c r="D895" t="str">
        <x:v>Damak</x:v>
      </x:c>
      <x:c r="E895" t="str">
        <x:v>Late Night Cravings</x:v>
      </x:c>
      <x:c r="F895" s="14" t="n">
        <x:v>1040</x:v>
      </x:c>
      <x:c r="G895" t="str">
        <x:v>DEMO / SIMULATED</x:v>
      </x:c>
    </x:row>
    <x:row r="896">
      <x:c r="A896" t="str">
        <x:v>JFD-20241104-0894</x:v>
      </x:c>
      <x:c r="B896" s="11" t="n">
        <x:v>45600.569444444445</x:v>
      </x:c>
      <x:c r="C896" s="13" t="n">
        <x:v>0.5694444444444444</x:v>
      </x:c>
      <x:c r="D896" t="str">
        <x:v>Damak</x:v>
      </x:c>
      <x:c r="E896" t="str">
        <x:v>Milan’s Bakery</x:v>
      </x:c>
      <x:c r="F896" s="14" t="n">
        <x:v>1680</x:v>
      </x:c>
      <x:c r="G896" t="str">
        <x:v>DEMO / SIMULATED</x:v>
      </x:c>
    </x:row>
    <x:row r="897">
      <x:c r="A897" t="str">
        <x:v>JFD-20230524-0895</x:v>
      </x:c>
      <x:c r="B897" s="11" t="n">
        <x:v>45070.802083333336</x:v>
      </x:c>
      <x:c r="C897" s="13" t="n">
        <x:v>0.8020833333333334</x:v>
      </x:c>
      <x:c r="D897" t="str">
        <x:v>Damak</x:v>
      </x:c>
      <x:c r="E897" t="str">
        <x:v>Milan’s Bakery</x:v>
      </x:c>
      <x:c r="F897" s="14" t="n">
        <x:v>735</x:v>
      </x:c>
      <x:c r="G897" t="str">
        <x:v>DEMO / SIMULATED</x:v>
      </x:c>
    </x:row>
    <x:row r="898">
      <x:c r="A898" t="str">
        <x:v>JFD-20240427-0896</x:v>
      </x:c>
      <x:c r="B898" s="11" t="n">
        <x:v>45409.54027777778</x:v>
      </x:c>
      <x:c r="C898" s="13" t="n">
        <x:v>0.5402777777777777</x:v>
      </x:c>
      <x:c r="D898" t="str">
        <x:v>Birtamode</x:v>
      </x:c>
      <x:c r="E898" t="str">
        <x:v>The Underground Cafe &amp; Restaurant</x:v>
      </x:c>
      <x:c r="F898" s="14" t="n">
        <x:v>600</x:v>
      </x:c>
      <x:c r="G898" t="str">
        <x:v>DEMO / SIMULATED</x:v>
      </x:c>
    </x:row>
    <x:row r="899">
      <x:c r="A899" t="str">
        <x:v>JFD-20260706-0897</x:v>
      </x:c>
      <x:c r="B899" s="11" t="n">
        <x:v>46209.86736111111</x:v>
      </x:c>
      <x:c r="C899" s="13" t="n">
        <x:v>0.8673611111111111</x:v>
      </x:c>
      <x:c r="D899" t="str">
        <x:v>Birtamode</x:v>
      </x:c>
      <x:c r="E899" t="str">
        <x:v>The Underground Cafe &amp; Restaurant</x:v>
      </x:c>
      <x:c r="F899" s="14" t="n">
        <x:v>315</x:v>
      </x:c>
      <x:c r="G899" t="str">
        <x:v>DEMO / SIMULATED</x:v>
      </x:c>
    </x:row>
    <x:row r="900">
      <x:c r="A900" t="str">
        <x:v>JFD-20250919-0898</x:v>
      </x:c>
      <x:c r="B900" s="11" t="n">
        <x:v>45919.79236111111</x:v>
      </x:c>
      <x:c r="C900" s="13" t="n">
        <x:v>0.7923611111111111</x:v>
      </x:c>
      <x:c r="D900" t="str">
        <x:v>Birtamode</x:v>
      </x:c>
      <x:c r="E900" t="str">
        <x:v>Pizza Ghar</x:v>
      </x:c>
      <x:c r="F900" s="14" t="n">
        <x:v>670</x:v>
      </x:c>
      <x:c r="G900" t="str">
        <x:v>DEMO / SIMULATED</x:v>
      </x:c>
    </x:row>
    <x:row r="901">
      <x:c r="A901" t="str">
        <x:v>JFD-20240908-0899</x:v>
      </x:c>
      <x:c r="B901" s="11" t="n">
        <x:v>45543.902083333334</x:v>
      </x:c>
      <x:c r="C901" s="13" t="n">
        <x:v>0.9020833333333333</x:v>
      </x:c>
      <x:c r="D901" t="str">
        <x:v>Damak</x:v>
      </x:c>
      <x:c r="E901" t="str">
        <x:v>Milan’s Bakery</x:v>
      </x:c>
      <x:c r="F901" s="14" t="n">
        <x:v>1240</x:v>
      </x:c>
      <x:c r="G901" t="str">
        <x:v>DEMO / SIMULATED</x:v>
      </x:c>
    </x:row>
    <x:row r="902">
      <x:c r="A902" t="str">
        <x:v>JFD-20260126-0900</x:v>
      </x:c>
      <x:c r="B902" s="11" t="n">
        <x:v>46048.56736111111</x:v>
      </x:c>
      <x:c r="C902" s="13" t="n">
        <x:v>0.5673611111111111</x:v>
      </x:c>
      <x:c r="D902" t="str">
        <x:v>Birtamode</x:v>
      </x:c>
      <x:c r="E902" t="str">
        <x:v>The Underground Cafe &amp; Restaurant</x:v>
      </x:c>
      <x:c r="F902" s="14" t="n">
        <x:v>760</x:v>
      </x:c>
      <x:c r="G902" t="str">
        <x:v>DEMO / SIMULATED</x:v>
      </x:c>
    </x:row>
    <x:row r="903">
      <x:c r="A903" t="str">
        <x:v>JFD-20230924-0901</x:v>
      </x:c>
      <x:c r="B903" s="11" t="n">
        <x:v>45193.66875</x:v>
      </x:c>
      <x:c r="C903" s="13" t="n">
        <x:v>0.66875</x:v>
      </x:c>
      <x:c r="D903" t="str">
        <x:v>Birtamode</x:v>
      </x:c>
      <x:c r="E903" t="str">
        <x:v>Pizza Ghar</x:v>
      </x:c>
      <x:c r="F903" s="14" t="n">
        <x:v>1375</x:v>
      </x:c>
      <x:c r="G903" t="str">
        <x:v>DEMO / SIMULATED</x:v>
      </x:c>
    </x:row>
    <x:row r="904">
      <x:c r="A904" t="str">
        <x:v>JFD-20231227-0902</x:v>
      </x:c>
      <x:c r="B904" s="11" t="n">
        <x:v>45287.64166666667</x:v>
      </x:c>
      <x:c r="C904" s="13" t="n">
        <x:v>0.6416666666666667</x:v>
      </x:c>
      <x:c r="D904" t="str">
        <x:v>Birtamode</x:v>
      </x:c>
      <x:c r="E904" t="str">
        <x:v>The Underground Cafe &amp; Restaurant</x:v>
      </x:c>
      <x:c r="F904" s="14" t="n">
        <x:v>595</x:v>
      </x:c>
      <x:c r="G904" t="str">
        <x:v>DEMO / SIMULATED</x:v>
      </x:c>
    </x:row>
    <x:row r="905">
      <x:c r="A905" t="str">
        <x:v>JFD-20260110-0903</x:v>
      </x:c>
      <x:c r="B905" s="11" t="n">
        <x:v>46032.819444444445</x:v>
      </x:c>
      <x:c r="C905" s="13" t="n">
        <x:v>0.8194444444444444</x:v>
      </x:c>
      <x:c r="D905" t="str">
        <x:v>Birtamode</x:v>
      </x:c>
      <x:c r="E905" t="str">
        <x:v>The Underground Cafe &amp; Restaurant</x:v>
      </x:c>
      <x:c r="F905" s="14" t="n">
        <x:v>675</x:v>
      </x:c>
      <x:c r="G905" t="str">
        <x:v>DEMO / SIMULATED</x:v>
      </x:c>
    </x:row>
    <x:row r="906">
      <x:c r="A906" t="str">
        <x:v>JFD-20231108-0904</x:v>
      </x:c>
      <x:c r="B906" s="11" t="n">
        <x:v>45238.74791666667</x:v>
      </x:c>
      <x:c r="C906" s="13" t="n">
        <x:v>0.7479166666666667</x:v>
      </x:c>
      <x:c r="D906" t="str">
        <x:v>Birtamode</x:v>
      </x:c>
      <x:c r="E906" t="str">
        <x:v>The Underground Cafe &amp; Restaurant</x:v>
      </x:c>
      <x:c r="F906" s="14" t="n">
        <x:v>435</x:v>
      </x:c>
      <x:c r="G906" t="str">
        <x:v>DEMO / SIMULATED</x:v>
      </x:c>
    </x:row>
    <x:row r="907">
      <x:c r="A907" t="str">
        <x:v>JFD-20240418-0905</x:v>
      </x:c>
      <x:c r="B907" s="11" t="n">
        <x:v>45400.583333333336</x:v>
      </x:c>
      <x:c r="C907" s="13" t="n">
        <x:v>0.5833333333333334</x:v>
      </x:c>
      <x:c r="D907" t="str">
        <x:v>Birtamode</x:v>
      </x:c>
      <x:c r="E907" t="str">
        <x:v>Pizza Ghar</x:v>
      </x:c>
      <x:c r="F907" s="14" t="n">
        <x:v>1060</x:v>
      </x:c>
      <x:c r="G907" t="str">
        <x:v>DEMO / SIMULATED</x:v>
      </x:c>
    </x:row>
    <x:row r="908">
      <x:c r="A908" t="str">
        <x:v>JFD-20240419-0906</x:v>
      </x:c>
      <x:c r="B908" s="11" t="n">
        <x:v>45401.513194444444</x:v>
      </x:c>
      <x:c r="C908" s="13" t="n">
        <x:v>0.5131944444444444</x:v>
      </x:c>
      <x:c r="D908" t="str">
        <x:v>Damak</x:v>
      </x:c>
      <x:c r="E908" t="str">
        <x:v>Milan’s Bakery</x:v>
      </x:c>
      <x:c r="F908" s="14" t="n">
        <x:v>3300</x:v>
      </x:c>
      <x:c r="G908" t="str">
        <x:v>DEMO / SIMULATED</x:v>
      </x:c>
    </x:row>
    <x:row r="909">
      <x:c r="A909" t="str">
        <x:v>JFD-20260428-0907</x:v>
      </x:c>
      <x:c r="B909" s="11" t="n">
        <x:v>46140.88958333333</x:v>
      </x:c>
      <x:c r="C909" s="13" t="n">
        <x:v>0.8895833333333333</x:v>
      </x:c>
      <x:c r="D909" t="str">
        <x:v>Birtamode</x:v>
      </x:c>
      <x:c r="E909" t="str">
        <x:v>The Underground Cafe &amp; Restaurant</x:v>
      </x:c>
      <x:c r="F909" s="14" t="n">
        <x:v>675</x:v>
      </x:c>
      <x:c r="G909" t="str">
        <x:v>DEMO / SIMULATED</x:v>
      </x:c>
    </x:row>
    <x:row r="910">
      <x:c r="A910" t="str">
        <x:v>JFD-20240707-0908</x:v>
      </x:c>
      <x:c r="B910" s="11" t="n">
        <x:v>45480.768055555556</x:v>
      </x:c>
      <x:c r="C910" s="13" t="n">
        <x:v>0.7680555555555556</x:v>
      </x:c>
      <x:c r="D910" t="str">
        <x:v>Damak</x:v>
      </x:c>
      <x:c r="E910" t="str">
        <x:v>Late Night Cravings</x:v>
      </x:c>
      <x:c r="F910" s="14" t="n">
        <x:v>735</x:v>
      </x:c>
      <x:c r="G910" t="str">
        <x:v>DEMO / SIMULATED</x:v>
      </x:c>
    </x:row>
    <x:row r="911">
      <x:c r="A911" t="str">
        <x:v>JFD-20250304-0909</x:v>
      </x:c>
      <x:c r="B911" s="11" t="n">
        <x:v>45720.58541666667</x:v>
      </x:c>
      <x:c r="C911" s="13" t="n">
        <x:v>0.5854166666666667</x:v>
      </x:c>
      <x:c r="D911" t="str">
        <x:v>Birtamode</x:v>
      </x:c>
      <x:c r="E911" t="str">
        <x:v>Pizza Ghar</x:v>
      </x:c>
      <x:c r="F911" s="14" t="n">
        <x:v>2110</x:v>
      </x:c>
      <x:c r="G911" t="str">
        <x:v>DEMO / SIMULATED</x:v>
      </x:c>
    </x:row>
    <x:row r="912">
      <x:c r="A912" t="str">
        <x:v>JFD-20250212-0910</x:v>
      </x:c>
      <x:c r="B912" s="11" t="n">
        <x:v>45700.47708333333</x:v>
      </x:c>
      <x:c r="C912" s="13" t="n">
        <x:v>0.47708333333333336</x:v>
      </x:c>
      <x:c r="D912" t="str">
        <x:v>Damak</x:v>
      </x:c>
      <x:c r="E912" t="str">
        <x:v>Late Night Cravings</x:v>
      </x:c>
      <x:c r="F912" s="14" t="n">
        <x:v>1390</x:v>
      </x:c>
      <x:c r="G912" t="str">
        <x:v>DEMO / SIMULATED</x:v>
      </x:c>
    </x:row>
    <x:row r="913">
      <x:c r="A913" t="str">
        <x:v>JFD-20250505-0911</x:v>
      </x:c>
      <x:c r="B913" s="11" t="n">
        <x:v>45782.86875</x:v>
      </x:c>
      <x:c r="C913" s="13" t="n">
        <x:v>0.86875</x:v>
      </x:c>
      <x:c r="D913" t="str">
        <x:v>Birtamode</x:v>
      </x:c>
      <x:c r="E913" t="str">
        <x:v>The Underground Cafe &amp; Restaurant</x:v>
      </x:c>
      <x:c r="F913" s="14" t="n">
        <x:v>285</x:v>
      </x:c>
      <x:c r="G913" t="str">
        <x:v>DEMO / SIMULATED</x:v>
      </x:c>
    </x:row>
    <x:row r="914">
      <x:c r="A914" t="str">
        <x:v>JFD-20230905-0912</x:v>
      </x:c>
      <x:c r="B914" s="11" t="n">
        <x:v>45174.78194444445</x:v>
      </x:c>
      <x:c r="C914" s="13" t="n">
        <x:v>0.7819444444444444</x:v>
      </x:c>
      <x:c r="D914" t="str">
        <x:v>Birtamode</x:v>
      </x:c>
      <x:c r="E914" t="str">
        <x:v>The Underground Cafe &amp; Restaurant</x:v>
      </x:c>
      <x:c r="F914" s="14" t="n">
        <x:v>865</x:v>
      </x:c>
      <x:c r="G914" t="str">
        <x:v>DEMO / SIMULATED</x:v>
      </x:c>
    </x:row>
    <x:row r="915">
      <x:c r="A915" t="str">
        <x:v>JFD-20260201-0913</x:v>
      </x:c>
      <x:c r="B915" s="11" t="n">
        <x:v>46054.47361111111</x:v>
      </x:c>
      <x:c r="C915" s="13" t="n">
        <x:v>0.4736111111111111</x:v>
      </x:c>
      <x:c r="D915" t="str">
        <x:v>Birtamode</x:v>
      </x:c>
      <x:c r="E915" t="str">
        <x:v>The Underground Cafe &amp; Restaurant</x:v>
      </x:c>
      <x:c r="F915" s="14" t="n">
        <x:v>675</x:v>
      </x:c>
      <x:c r="G915" t="str">
        <x:v>DEMO / SIMULATED</x:v>
      </x:c>
    </x:row>
    <x:row r="916">
      <x:c r="A916" t="str">
        <x:v>JFD-20250410-0914</x:v>
      </x:c>
      <x:c r="B916" s="11" t="n">
        <x:v>45757.813888888886</x:v>
      </x:c>
      <x:c r="C916" s="13" t="n">
        <x:v>0.8138888888888889</x:v>
      </x:c>
      <x:c r="D916" t="str">
        <x:v>Damak</x:v>
      </x:c>
      <x:c r="E916" t="str">
        <x:v>Late Night Cravings</x:v>
      </x:c>
      <x:c r="F916" s="14" t="n">
        <x:v>600</x:v>
      </x:c>
      <x:c r="G916" t="str">
        <x:v>DEMO / SIMULATED</x:v>
      </x:c>
    </x:row>
    <x:row r="917">
      <x:c r="A917" t="str">
        <x:v>JFD-20240930-0915</x:v>
      </x:c>
      <x:c r="B917" s="11" t="n">
        <x:v>45565.52638888889</x:v>
      </x:c>
      <x:c r="C917" s="13" t="n">
        <x:v>0.5263888888888889</x:v>
      </x:c>
      <x:c r="D917" t="str">
        <x:v>Damak</x:v>
      </x:c>
      <x:c r="E917" t="str">
        <x:v>Milan’s Bakery</x:v>
      </x:c>
      <x:c r="F917" s="14" t="n">
        <x:v>1770</x:v>
      </x:c>
      <x:c r="G917" t="str">
        <x:v>DEMO / SIMULATED</x:v>
      </x:c>
    </x:row>
    <x:row r="918">
      <x:c r="A918" t="str">
        <x:v>JFD-20230228-0916</x:v>
      </x:c>
      <x:c r="B918" s="11" t="n">
        <x:v>44985.68541666667</x:v>
      </x:c>
      <x:c r="C918" s="13" t="n">
        <x:v>0.6854166666666667</x:v>
      </x:c>
      <x:c r="D918" t="str">
        <x:v>Damak</x:v>
      </x:c>
      <x:c r="E918" t="str">
        <x:v>Late Night Cravings</x:v>
      </x:c>
      <x:c r="F918" s="14" t="n">
        <x:v>710</x:v>
      </x:c>
      <x:c r="G918" t="str">
        <x:v>DEMO / SIMULATED</x:v>
      </x:c>
    </x:row>
    <x:row r="919">
      <x:c r="A919" t="str">
        <x:v>JFD-20260928-0917</x:v>
      </x:c>
      <x:c r="B919" s="11" t="n">
        <x:v>46293.663194444445</x:v>
      </x:c>
      <x:c r="C919" s="13" t="n">
        <x:v>0.6631944444444444</x:v>
      </x:c>
      <x:c r="D919" t="str">
        <x:v>Damak</x:v>
      </x:c>
      <x:c r="E919" t="str">
        <x:v>Late Night Cravings</x:v>
      </x:c>
      <x:c r="F919" s="14" t="n">
        <x:v>1360</x:v>
      </x:c>
      <x:c r="G919" t="str">
        <x:v>DEMO / SIMULATED</x:v>
      </x:c>
    </x:row>
    <x:row r="920">
      <x:c r="A920" t="str">
        <x:v>JFD-20230201-0918</x:v>
      </x:c>
      <x:c r="B920" s="11" t="n">
        <x:v>44958.597916666666</x:v>
      </x:c>
      <x:c r="C920" s="13" t="n">
        <x:v>0.5979166666666667</x:v>
      </x:c>
      <x:c r="D920" t="str">
        <x:v>Damak</x:v>
      </x:c>
      <x:c r="E920" t="str">
        <x:v>Milan’s Bakery</x:v>
      </x:c>
      <x:c r="F920" s="14" t="n">
        <x:v>105</x:v>
      </x:c>
      <x:c r="G920" t="str">
        <x:v>DEMO / SIMULATED</x:v>
      </x:c>
    </x:row>
    <x:row r="921">
      <x:c r="A921" t="str">
        <x:v>JFD-20250110-0919</x:v>
      </x:c>
      <x:c r="B921" s="11" t="n">
        <x:v>45667.68263888889</x:v>
      </x:c>
      <x:c r="C921" s="13" t="n">
        <x:v>0.6826388888888889</x:v>
      </x:c>
      <x:c r="D921" t="str">
        <x:v>Damak</x:v>
      </x:c>
      <x:c r="E921" t="str">
        <x:v>Late Night Cravings</x:v>
      </x:c>
      <x:c r="F921" s="14" t="n">
        <x:v>980</x:v>
      </x:c>
      <x:c r="G921" t="str">
        <x:v>DEMO / SIMULATED</x:v>
      </x:c>
    </x:row>
    <x:row r="922">
      <x:c r="A922" t="str">
        <x:v>JFD-20231113-0920</x:v>
      </x:c>
      <x:c r="B922" s="11" t="n">
        <x:v>45243.49375</x:v>
      </x:c>
      <x:c r="C922" s="13" t="n">
        <x:v>0.49375</x:v>
      </x:c>
      <x:c r="D922" t="str">
        <x:v>Birtamode</x:v>
      </x:c>
      <x:c r="E922" t="str">
        <x:v>Pizza Ghar</x:v>
      </x:c>
      <x:c r="F922" s="14" t="n">
        <x:v>490</x:v>
      </x:c>
      <x:c r="G922" t="str">
        <x:v>DEMO / SIMULATED</x:v>
      </x:c>
    </x:row>
    <x:row r="923">
      <x:c r="A923" t="str">
        <x:v>JFD-20230719-0921</x:v>
      </x:c>
      <x:c r="B923" s="11" t="n">
        <x:v>45126.50208333333</x:v>
      </x:c>
      <x:c r="C923" s="13" t="n">
        <x:v>0.5020833333333333</x:v>
      </x:c>
      <x:c r="D923" t="str">
        <x:v>Damak</x:v>
      </x:c>
      <x:c r="E923" t="str">
        <x:v>Late Night Cravings</x:v>
      </x:c>
      <x:c r="F923" s="14" t="n">
        <x:v>160</x:v>
      </x:c>
      <x:c r="G923" t="str">
        <x:v>DEMO / SIMULATED</x:v>
      </x:c>
    </x:row>
    <x:row r="924">
      <x:c r="A924" t="str">
        <x:v>JFD-20250325-0922</x:v>
      </x:c>
      <x:c r="B924" s="11" t="n">
        <x:v>45741.46111111111</x:v>
      </x:c>
      <x:c r="C924" s="13" t="n">
        <x:v>0.46111111111111114</x:v>
      </x:c>
      <x:c r="D924" t="str">
        <x:v>Birtamode</x:v>
      </x:c>
      <x:c r="E924" t="str">
        <x:v>Pizza Ghar</x:v>
      </x:c>
      <x:c r="F924" s="14" t="n">
        <x:v>190</x:v>
      </x:c>
      <x:c r="G924" t="str">
        <x:v>DEMO / SIMULATED</x:v>
      </x:c>
    </x:row>
    <x:row r="925">
      <x:c r="A925" t="str">
        <x:v>JFD-20240413-0923</x:v>
      </x:c>
      <x:c r="B925" s="11" t="n">
        <x:v>45395.677083333336</x:v>
      </x:c>
      <x:c r="C925" s="13" t="n">
        <x:v>0.6770833333333334</x:v>
      </x:c>
      <x:c r="D925" t="str">
        <x:v>Birtamode</x:v>
      </x:c>
      <x:c r="E925" t="str">
        <x:v>The Underground Cafe &amp; Restaurant</x:v>
      </x:c>
      <x:c r="F925" s="14" t="n">
        <x:v>400</x:v>
      </x:c>
      <x:c r="G925" t="str">
        <x:v>DEMO / SIMULATED</x:v>
      </x:c>
    </x:row>
    <x:row r="926">
      <x:c r="A926" t="str">
        <x:v>JFD-20230106-0924</x:v>
      </x:c>
      <x:c r="B926" s="11" t="n">
        <x:v>44932.61944444444</x:v>
      </x:c>
      <x:c r="C926" s="13" t="n">
        <x:v>0.6194444444444445</x:v>
      </x:c>
      <x:c r="D926" t="str">
        <x:v>Birtamode</x:v>
      </x:c>
      <x:c r="E926" t="str">
        <x:v>Pizza Ghar</x:v>
      </x:c>
      <x:c r="F926" s="14" t="n">
        <x:v>220</x:v>
      </x:c>
      <x:c r="G926" t="str">
        <x:v>DEMO / SIMULATED</x:v>
      </x:c>
    </x:row>
    <x:row r="927">
      <x:c r="A927" t="str">
        <x:v>JFD-20240727-0925</x:v>
      </x:c>
      <x:c r="B927" s="11" t="n">
        <x:v>45500.731944444444</x:v>
      </x:c>
      <x:c r="C927" s="13" t="n">
        <x:v>0.7319444444444444</x:v>
      </x:c>
      <x:c r="D927" t="str">
        <x:v>Damak</x:v>
      </x:c>
      <x:c r="E927" t="str">
        <x:v>Late Night Cravings</x:v>
      </x:c>
      <x:c r="F927" s="14" t="n">
        <x:v>980</x:v>
      </x:c>
      <x:c r="G927" t="str">
        <x:v>DEMO / SIMULATED</x:v>
      </x:c>
    </x:row>
    <x:row r="928">
      <x:c r="A928" t="str">
        <x:v>JFD-20230519-0926</x:v>
      </x:c>
      <x:c r="B928" s="11" t="n">
        <x:v>45065.78472222222</x:v>
      </x:c>
      <x:c r="C928" s="13" t="n">
        <x:v>0.7847222222222222</x:v>
      </x:c>
      <x:c r="D928" t="str">
        <x:v>Birtamode</x:v>
      </x:c>
      <x:c r="E928" t="str">
        <x:v>Pizza Ghar</x:v>
      </x:c>
      <x:c r="F928" s="14" t="n">
        <x:v>35</x:v>
      </x:c>
      <x:c r="G928" t="str">
        <x:v>DEMO / SIMULATED</x:v>
      </x:c>
    </x:row>
    <x:row r="929">
      <x:c r="A929" t="str">
        <x:v>JFD-20231111-0927</x:v>
      </x:c>
      <x:c r="B929" s="11" t="n">
        <x:v>45241.83888888889</x:v>
      </x:c>
      <x:c r="C929" s="13" t="n">
        <x:v>0.8388888888888889</x:v>
      </x:c>
      <x:c r="D929" t="str">
        <x:v>Birtamode</x:v>
      </x:c>
      <x:c r="E929" t="str">
        <x:v>The Underground Cafe &amp; Restaurant</x:v>
      </x:c>
      <x:c r="F929" s="14" t="n">
        <x:v>725</x:v>
      </x:c>
      <x:c r="G929" t="str">
        <x:v>DEMO / SIMULATED</x:v>
      </x:c>
    </x:row>
    <x:row r="930">
      <x:c r="A930" t="str">
        <x:v>JFD-20260923-0928</x:v>
      </x:c>
      <x:c r="B930" s="11" t="n">
        <x:v>46288.47708333333</x:v>
      </x:c>
      <x:c r="C930" s="13" t="n">
        <x:v>0.47708333333333336</x:v>
      </x:c>
      <x:c r="D930" t="str">
        <x:v>Birtamode</x:v>
      </x:c>
      <x:c r="E930" t="str">
        <x:v>Pizza Ghar</x:v>
      </x:c>
      <x:c r="F930" s="14" t="n">
        <x:v>1360</x:v>
      </x:c>
      <x:c r="G930" t="str">
        <x:v>DEMO / SIMULATED</x:v>
      </x:c>
    </x:row>
    <x:row r="931">
      <x:c r="A931" t="str">
        <x:v>JFD-20250123-0929</x:v>
      </x:c>
      <x:c r="B931" s="11" t="n">
        <x:v>45680.81597222222</x:v>
      </x:c>
      <x:c r="C931" s="13" t="n">
        <x:v>0.8159722222222222</x:v>
      </x:c>
      <x:c r="D931" t="str">
        <x:v>Birtamode</x:v>
      </x:c>
      <x:c r="E931" t="str">
        <x:v>The Underground Cafe &amp; Restaurant</x:v>
      </x:c>
      <x:c r="F931" s="14" t="n">
        <x:v>95</x:v>
      </x:c>
      <x:c r="G931" t="str">
        <x:v>DEMO / SIMULATED</x:v>
      </x:c>
    </x:row>
    <x:row r="932">
      <x:c r="A932" t="str">
        <x:v>JFD-20241222-0930</x:v>
      </x:c>
      <x:c r="B932" s="11" t="n">
        <x:v>45648.42916666667</x:v>
      </x:c>
      <x:c r="C932" s="13" t="n">
        <x:v>0.42916666666666664</x:v>
      </x:c>
      <x:c r="D932" t="str">
        <x:v>Birtamode</x:v>
      </x:c>
      <x:c r="E932" t="str">
        <x:v>The Underground Cafe &amp; Restaurant</x:v>
      </x:c>
      <x:c r="F932" s="14" t="n">
        <x:v>410</x:v>
      </x:c>
      <x:c r="G932" t="str">
        <x:v>DEMO / SIMULATED</x:v>
      </x:c>
    </x:row>
    <x:row r="933">
      <x:c r="A933" t="str">
        <x:v>JFD-20231022-0931</x:v>
      </x:c>
      <x:c r="B933" s="11" t="n">
        <x:v>45221.49444444444</x:v>
      </x:c>
      <x:c r="C933" s="13" t="n">
        <x:v>0.49444444444444446</x:v>
      </x:c>
      <x:c r="D933" t="str">
        <x:v>Birtamode</x:v>
      </x:c>
      <x:c r="E933" t="str">
        <x:v>Pizza Ghar</x:v>
      </x:c>
      <x:c r="F933" s="14" t="n">
        <x:v>2640</x:v>
      </x:c>
      <x:c r="G933" t="str">
        <x:v>DEMO / SIMULATED</x:v>
      </x:c>
    </x:row>
    <x:row r="934">
      <x:c r="A934" t="str">
        <x:v>JFD-20230328-0932</x:v>
      </x:c>
      <x:c r="B934" s="11" t="n">
        <x:v>45013.62222222222</x:v>
      </x:c>
      <x:c r="C934" s="13" t="n">
        <x:v>0.6222222222222222</x:v>
      </x:c>
      <x:c r="D934" t="str">
        <x:v>Birtamode</x:v>
      </x:c>
      <x:c r="E934" t="str">
        <x:v>The Underground Cafe &amp; Restaurant</x:v>
      </x:c>
      <x:c r="F934" s="14" t="n">
        <x:v>305</x:v>
      </x:c>
      <x:c r="G934" t="str">
        <x:v>DEMO / SIMULATED</x:v>
      </x:c>
    </x:row>
    <x:row r="935">
      <x:c r="A935" t="str">
        <x:v>JFD-20251002-0933</x:v>
      </x:c>
      <x:c r="B935" s="11" t="n">
        <x:v>45932.83611111111</x:v>
      </x:c>
      <x:c r="C935" s="13" t="n">
        <x:v>0.8361111111111111</x:v>
      </x:c>
      <x:c r="D935" t="str">
        <x:v>Birtamode</x:v>
      </x:c>
      <x:c r="E935" t="str">
        <x:v>Pizza Ghar</x:v>
      </x:c>
      <x:c r="F935" s="14" t="n">
        <x:v>190</x:v>
      </x:c>
      <x:c r="G935" t="str">
        <x:v>DEMO / SIMULATED</x:v>
      </x:c>
    </x:row>
    <x:row r="936">
      <x:c r="A936" t="str">
        <x:v>JFD-20260808-0934</x:v>
      </x:c>
      <x:c r="B936" s="11" t="n">
        <x:v>46242.49444444444</x:v>
      </x:c>
      <x:c r="C936" s="13" t="n">
        <x:v>0.49444444444444446</x:v>
      </x:c>
      <x:c r="D936" t="str">
        <x:v>Damak</x:v>
      </x:c>
      <x:c r="E936" t="str">
        <x:v>Late Night Cravings</x:v>
      </x:c>
      <x:c r="F936" s="14" t="n">
        <x:v>480</x:v>
      </x:c>
      <x:c r="G936" t="str">
        <x:v>DEMO / SIMULATED</x:v>
      </x:c>
    </x:row>
    <x:row r="937">
      <x:c r="A937" t="str">
        <x:v>JFD-20230506-0935</x:v>
      </x:c>
      <x:c r="B937" s="11" t="n">
        <x:v>45052.55972222222</x:v>
      </x:c>
      <x:c r="C937" s="13" t="n">
        <x:v>0.5597222222222222</x:v>
      </x:c>
      <x:c r="D937" t="str">
        <x:v>Birtamode</x:v>
      </x:c>
      <x:c r="E937" t="str">
        <x:v>Pizza Ghar</x:v>
      </x:c>
      <x:c r="F937" s="14" t="n">
        <x:v>2225</x:v>
      </x:c>
      <x:c r="G937" t="str">
        <x:v>DEMO / SIMULATED</x:v>
      </x:c>
    </x:row>
    <x:row r="938">
      <x:c r="A938" t="str">
        <x:v>JFD-20260801-0936</x:v>
      </x:c>
      <x:c r="B938" s="11" t="n">
        <x:v>46235.50763888889</x:v>
      </x:c>
      <x:c r="C938" s="13" t="n">
        <x:v>0.5076388888888889</x:v>
      </x:c>
      <x:c r="D938" t="str">
        <x:v>Damak</x:v>
      </x:c>
      <x:c r="E938" t="str">
        <x:v>Late Night Cravings</x:v>
      </x:c>
      <x:c r="F938" s="14" t="n">
        <x:v>520</x:v>
      </x:c>
      <x:c r="G938" t="str">
        <x:v>DEMO / SIMULATED</x:v>
      </x:c>
    </x:row>
    <x:row r="939">
      <x:c r="A939" t="str">
        <x:v>JFD-20250427-0937</x:v>
      </x:c>
      <x:c r="B939" s="11" t="n">
        <x:v>45774.611805555556</x:v>
      </x:c>
      <x:c r="C939" s="13" t="n">
        <x:v>0.6118055555555556</x:v>
      </x:c>
      <x:c r="D939" t="str">
        <x:v>Damak</x:v>
      </x:c>
      <x:c r="E939" t="str">
        <x:v>Milan’s Bakery</x:v>
      </x:c>
      <x:c r="F939" s="14" t="n">
        <x:v>840</x:v>
      </x:c>
      <x:c r="G939" t="str">
        <x:v>DEMO / SIMULATED</x:v>
      </x:c>
    </x:row>
    <x:row r="940">
      <x:c r="A940" t="str">
        <x:v>JFD-20251230-0938</x:v>
      </x:c>
      <x:c r="B940" s="11" t="n">
        <x:v>46021.86736111111</x:v>
      </x:c>
      <x:c r="C940" s="13" t="n">
        <x:v>0.8673611111111111</x:v>
      </x:c>
      <x:c r="D940" t="str">
        <x:v>Damak</x:v>
      </x:c>
      <x:c r="E940" t="str">
        <x:v>Late Night Cravings</x:v>
      </x:c>
      <x:c r="F940" s="14" t="n">
        <x:v>680</x:v>
      </x:c>
      <x:c r="G940" t="str">
        <x:v>DEMO / SIMULATED</x:v>
      </x:c>
    </x:row>
    <x:row r="941">
      <x:c r="A941" t="str">
        <x:v>JFD-20231129-0939</x:v>
      </x:c>
      <x:c r="B941" s="11" t="n">
        <x:v>45259.864583333336</x:v>
      </x:c>
      <x:c r="C941" s="13" t="n">
        <x:v>0.8645833333333334</x:v>
      </x:c>
      <x:c r="D941" t="str">
        <x:v>Birtamode</x:v>
      </x:c>
      <x:c r="E941" t="str">
        <x:v>Pizza Ghar</x:v>
      </x:c>
      <x:c r="F941" s="14" t="n">
        <x:v>220</x:v>
      </x:c>
      <x:c r="G941" t="str">
        <x:v>DEMO / SIMULATED</x:v>
      </x:c>
    </x:row>
    <x:row r="942">
      <x:c r="A942" t="str">
        <x:v>JFD-20231119-0940</x:v>
      </x:c>
      <x:c r="B942" s="11" t="n">
        <x:v>45249.700694444444</x:v>
      </x:c>
      <x:c r="C942" s="13" t="n">
        <x:v>0.7006944444444444</x:v>
      </x:c>
      <x:c r="D942" t="str">
        <x:v>Birtamode</x:v>
      </x:c>
      <x:c r="E942" t="str">
        <x:v>Pizza Ghar</x:v>
      </x:c>
      <x:c r="F942" s="14" t="n">
        <x:v>1010</x:v>
      </x:c>
      <x:c r="G942" t="str">
        <x:v>DEMO / SIMULATED</x:v>
      </x:c>
    </x:row>
    <x:row r="943">
      <x:c r="A943" t="str">
        <x:v>JFD-20251225-0941</x:v>
      </x:c>
      <x:c r="B943" s="11" t="n">
        <x:v>46016.85208333333</x:v>
      </x:c>
      <x:c r="C943" s="13" t="n">
        <x:v>0.8520833333333333</x:v>
      </x:c>
      <x:c r="D943" t="str">
        <x:v>Damak</x:v>
      </x:c>
      <x:c r="E943" t="str">
        <x:v>Late Night Cravings</x:v>
      </x:c>
      <x:c r="F943" s="14" t="n">
        <x:v>1020</x:v>
      </x:c>
      <x:c r="G943" t="str">
        <x:v>DEMO / SIMULATED</x:v>
      </x:c>
    </x:row>
    <x:row r="944">
      <x:c r="A944" t="str">
        <x:v>JFD-20260816-0942</x:v>
      </x:c>
      <x:c r="B944" s="11" t="n">
        <x:v>46250.51944444444</x:v>
      </x:c>
      <x:c r="C944" s="13" t="n">
        <x:v>0.5194444444444445</x:v>
      </x:c>
      <x:c r="D944" t="str">
        <x:v>Birtamode</x:v>
      </x:c>
      <x:c r="E944" t="str">
        <x:v>The Underground Cafe &amp; Restaurant</x:v>
      </x:c>
      <x:c r="F944" s="14" t="n">
        <x:v>1140</x:v>
      </x:c>
      <x:c r="G944" t="str">
        <x:v>DEMO / SIMULATED</x:v>
      </x:c>
    </x:row>
    <x:row r="945">
      <x:c r="A945" t="str">
        <x:v>JFD-20251020-0943</x:v>
      </x:c>
      <x:c r="B945" s="11" t="n">
        <x:v>45950.513194444444</x:v>
      </x:c>
      <x:c r="C945" s="13" t="n">
        <x:v>0.5131944444444444</x:v>
      </x:c>
      <x:c r="D945" t="str">
        <x:v>Birtamode</x:v>
      </x:c>
      <x:c r="E945" t="str">
        <x:v>Pizza Ghar</x:v>
      </x:c>
      <x:c r="F945" s="14" t="n">
        <x:v>1325</x:v>
      </x:c>
      <x:c r="G945" t="str">
        <x:v>DEMO / SIMULATED</x:v>
      </x:c>
    </x:row>
    <x:row r="946">
      <x:c r="A946" t="str">
        <x:v>JFD-20230322-0944</x:v>
      </x:c>
      <x:c r="B946" s="11" t="n">
        <x:v>45007.53888888889</x:v>
      </x:c>
      <x:c r="C946" s="13" t="n">
        <x:v>0.5388888888888889</x:v>
      </x:c>
      <x:c r="D946" t="str">
        <x:v>Damak</x:v>
      </x:c>
      <x:c r="E946" t="str">
        <x:v>Late Night Cravings</x:v>
      </x:c>
      <x:c r="F946" s="14" t="n">
        <x:v>540</x:v>
      </x:c>
      <x:c r="G946" t="str">
        <x:v>DEMO / SIMULATED</x:v>
      </x:c>
    </x:row>
    <x:row r="947">
      <x:c r="A947" t="str">
        <x:v>JFD-20260227-0945</x:v>
      </x:c>
      <x:c r="B947" s="11" t="n">
        <x:v>46080.60902777778</x:v>
      </x:c>
      <x:c r="C947" s="13" t="n">
        <x:v>0.6090277777777777</x:v>
      </x:c>
      <x:c r="D947" t="str">
        <x:v>Damak</x:v>
      </x:c>
      <x:c r="E947" t="str">
        <x:v>Late Night Cravings</x:v>
      </x:c>
      <x:c r="F947" s="14" t="n">
        <x:v>200</x:v>
      </x:c>
      <x:c r="G947" t="str">
        <x:v>DEMO / SIMULATED</x:v>
      </x:c>
    </x:row>
    <x:row r="948">
      <x:c r="A948" t="str">
        <x:v>JFD-20250924-0946</x:v>
      </x:c>
      <x:c r="B948" s="11" t="n">
        <x:v>45924.86666666667</x:v>
      </x:c>
      <x:c r="C948" s="13" t="n">
        <x:v>0.8666666666666667</x:v>
      </x:c>
      <x:c r="D948" t="str">
        <x:v>Damak</x:v>
      </x:c>
      <x:c r="E948" t="str">
        <x:v>Late Night Cravings</x:v>
      </x:c>
      <x:c r="F948" s="14" t="n">
        <x:v>615</x:v>
      </x:c>
      <x:c r="G948" t="str">
        <x:v>DEMO / SIMULATED</x:v>
      </x:c>
    </x:row>
    <x:row r="949">
      <x:c r="A949" t="str">
        <x:v>JFD-20240104-0947</x:v>
      </x:c>
      <x:c r="B949" s="11" t="n">
        <x:v>45295.75277777778</x:v>
      </x:c>
      <x:c r="C949" s="13" t="n">
        <x:v>0.7527777777777778</x:v>
      </x:c>
      <x:c r="D949" t="str">
        <x:v>Damak</x:v>
      </x:c>
      <x:c r="E949" t="str">
        <x:v>Milan’s Bakery</x:v>
      </x:c>
      <x:c r="F949" s="14" t="n">
        <x:v>345</x:v>
      </x:c>
      <x:c r="G949" t="str">
        <x:v>DEMO / SIMULATED</x:v>
      </x:c>
    </x:row>
    <x:row r="950">
      <x:c r="A950" t="str">
        <x:v>JFD-20231128-0948</x:v>
      </x:c>
      <x:c r="B950" s="11" t="n">
        <x:v>45258.57847222222</x:v>
      </x:c>
      <x:c r="C950" s="13" t="n">
        <x:v>0.5784722222222223</x:v>
      </x:c>
      <x:c r="D950" t="str">
        <x:v>Birtamode</x:v>
      </x:c>
      <x:c r="E950" t="str">
        <x:v>Pizza Ghar</x:v>
      </x:c>
      <x:c r="F950" s="14" t="n">
        <x:v>240</x:v>
      </x:c>
      <x:c r="G950" t="str">
        <x:v>DEMO / SIMULATED</x:v>
      </x:c>
    </x:row>
    <x:row r="951">
      <x:c r="A951" t="str">
        <x:v>JFD-20230708-0949</x:v>
      </x:c>
      <x:c r="B951" s="11" t="n">
        <x:v>45115.59166666667</x:v>
      </x:c>
      <x:c r="C951" s="13" t="n">
        <x:v>0.5916666666666667</x:v>
      </x:c>
      <x:c r="D951" t="str">
        <x:v>Damak</x:v>
      </x:c>
      <x:c r="E951" t="str">
        <x:v>Late Night Cravings</x:v>
      </x:c>
      <x:c r="F951" s="14" t="n">
        <x:v>1040</x:v>
      </x:c>
      <x:c r="G951" t="str">
        <x:v>DEMO / SIMULATED</x:v>
      </x:c>
    </x:row>
    <x:row r="952">
      <x:c r="A952" t="str">
        <x:v>JFD-20240828-0950</x:v>
      </x:c>
      <x:c r="B952" s="11" t="n">
        <x:v>45532.853472222225</x:v>
      </x:c>
      <x:c r="C952" s="13" t="n">
        <x:v>0.8534722222222222</x:v>
      </x:c>
      <x:c r="D952" t="str">
        <x:v>Birtamode</x:v>
      </x:c>
      <x:c r="E952" t="str">
        <x:v>The Underground Cafe &amp; Restaurant</x:v>
      </x:c>
      <x:c r="F952" s="14" t="n">
        <x:v>735</x:v>
      </x:c>
      <x:c r="G952" t="str">
        <x:v>DEMO / SIMULATED</x:v>
      </x:c>
    </x:row>
    <x:row r="953">
      <x:c r="A953" t="str">
        <x:v>JFD-20260318-0951</x:v>
      </x:c>
      <x:c r="B953" s="11" t="n">
        <x:v>46099.78680555556</x:v>
      </x:c>
      <x:c r="C953" s="13" t="n">
        <x:v>0.7868055555555555</x:v>
      </x:c>
      <x:c r="D953" t="str">
        <x:v>Birtamode</x:v>
      </x:c>
      <x:c r="E953" t="str">
        <x:v>The Underground Cafe &amp; Restaurant</x:v>
      </x:c>
      <x:c r="F953" s="14" t="n">
        <x:v>1290</x:v>
      </x:c>
      <x:c r="G953" t="str">
        <x:v>DEMO / SIMULATED</x:v>
      </x:c>
    </x:row>
    <x:row r="954">
      <x:c r="A954" t="str">
        <x:v>JFD-20260111-0952</x:v>
      </x:c>
      <x:c r="B954" s="11" t="n">
        <x:v>46033.78888888889</x:v>
      </x:c>
      <x:c r="C954" s="13" t="n">
        <x:v>0.7888888888888889</x:v>
      </x:c>
      <x:c r="D954" t="str">
        <x:v>Damak</x:v>
      </x:c>
      <x:c r="E954" t="str">
        <x:v>Late Night Cravings</x:v>
      </x:c>
      <x:c r="F954" s="14" t="n">
        <x:v>200</x:v>
      </x:c>
      <x:c r="G954" t="str">
        <x:v>DEMO / SIMULATED</x:v>
      </x:c>
    </x:row>
    <x:row r="955">
      <x:c r="A955" t="str">
        <x:v>JFD-20230221-0953</x:v>
      </x:c>
      <x:c r="B955" s="11" t="n">
        <x:v>44978.68472222222</x:v>
      </x:c>
      <x:c r="C955" s="13" t="n">
        <x:v>0.6847222222222222</x:v>
      </x:c>
      <x:c r="D955" t="str">
        <x:v>Damak</x:v>
      </x:c>
      <x:c r="E955" t="str">
        <x:v>Milan’s Bakery</x:v>
      </x:c>
      <x:c r="F955" s="14" t="n">
        <x:v>3040</x:v>
      </x:c>
      <x:c r="G955" t="str">
        <x:v>DEMO / SIMULATED</x:v>
      </x:c>
    </x:row>
    <x:row r="956">
      <x:c r="A956" t="str">
        <x:v>JFD-20230621-0954</x:v>
      </x:c>
      <x:c r="B956" s="11" t="n">
        <x:v>45098.904861111114</x:v>
      </x:c>
      <x:c r="C956" s="13" t="n">
        <x:v>0.9048611111111111</x:v>
      </x:c>
      <x:c r="D956" t="str">
        <x:v>Damak</x:v>
      </x:c>
      <x:c r="E956" t="str">
        <x:v>Late Night Cravings</x:v>
      </x:c>
      <x:c r="F956" s="14" t="n">
        <x:v>720</x:v>
      </x:c>
      <x:c r="G956" t="str">
        <x:v>DEMO / SIMULATED</x:v>
      </x:c>
    </x:row>
    <x:row r="957">
      <x:c r="A957" t="str">
        <x:v>JFD-20260331-0955</x:v>
      </x:c>
      <x:c r="B957" s="11" t="n">
        <x:v>46112.61875</x:v>
      </x:c>
      <x:c r="C957" s="13" t="n">
        <x:v>0.61875</x:v>
      </x:c>
      <x:c r="D957" t="str">
        <x:v>Birtamode</x:v>
      </x:c>
      <x:c r="E957" t="str">
        <x:v>Pizza Ghar</x:v>
      </x:c>
      <x:c r="F957" s="14" t="n">
        <x:v>1460</x:v>
      </x:c>
      <x:c r="G957" t="str">
        <x:v>DEMO / SIMULATED</x:v>
      </x:c>
    </x:row>
    <x:row r="958">
      <x:c r="A958" t="str">
        <x:v>JFD-20230821-0956</x:v>
      </x:c>
      <x:c r="B958" s="11" t="n">
        <x:v>45159.76875</x:v>
      </x:c>
      <x:c r="C958" s="13" t="n">
        <x:v>0.76875</x:v>
      </x:c>
      <x:c r="D958" t="str">
        <x:v>Damak</x:v>
      </x:c>
      <x:c r="E958" t="str">
        <x:v>Milan’s Bakery</x:v>
      </x:c>
      <x:c r="F958" s="14" t="n">
        <x:v>1530</x:v>
      </x:c>
      <x:c r="G958" t="str">
        <x:v>DEMO / SIMULATED</x:v>
      </x:c>
    </x:row>
    <x:row r="959">
      <x:c r="A959" t="str">
        <x:v>JFD-20240316-0957</x:v>
      </x:c>
      <x:c r="B959" s="11" t="n">
        <x:v>45367.42222222222</x:v>
      </x:c>
      <x:c r="C959" s="13" t="n">
        <x:v>0.4222222222222222</x:v>
      </x:c>
      <x:c r="D959" t="str">
        <x:v>Birtamode</x:v>
      </x:c>
      <x:c r="E959" t="str">
        <x:v>The Underground Cafe &amp; Restaurant</x:v>
      </x:c>
      <x:c r="F959" s="14" t="n">
        <x:v>645</x:v>
      </x:c>
      <x:c r="G959" t="str">
        <x:v>DEMO / SIMULATED</x:v>
      </x:c>
    </x:row>
    <x:row r="960">
      <x:c r="A960" t="str">
        <x:v>JFD-20251116-0958</x:v>
      </x:c>
      <x:c r="B960" s="11" t="n">
        <x:v>45977.853472222225</x:v>
      </x:c>
      <x:c r="C960" s="13" t="n">
        <x:v>0.8534722222222222</x:v>
      </x:c>
      <x:c r="D960" t="str">
        <x:v>Damak</x:v>
      </x:c>
      <x:c r="E960" t="str">
        <x:v>Milan’s Bakery</x:v>
      </x:c>
      <x:c r="F960" s="14" t="n">
        <x:v>845</x:v>
      </x:c>
      <x:c r="G960" t="str">
        <x:v>DEMO / SIMULATED</x:v>
      </x:c>
    </x:row>
    <x:row r="961">
      <x:c r="A961" t="str">
        <x:v>JFD-20250711-0959</x:v>
      </x:c>
      <x:c r="B961" s="11" t="n">
        <x:v>45849.552777777775</x:v>
      </x:c>
      <x:c r="C961" s="13" t="n">
        <x:v>0.5527777777777778</x:v>
      </x:c>
      <x:c r="D961" t="str">
        <x:v>Birtamode</x:v>
      </x:c>
      <x:c r="E961" t="str">
        <x:v>The Underground Cafe &amp; Restaurant</x:v>
      </x:c>
      <x:c r="F961" s="14" t="n">
        <x:v>290</x:v>
      </x:c>
      <x:c r="G961" t="str">
        <x:v>DEMO / SIMULATED</x:v>
      </x:c>
    </x:row>
    <x:row r="962">
      <x:c r="A962" t="str">
        <x:v>JFD-20230211-0960</x:v>
      </x:c>
      <x:c r="B962" s="11" t="n">
        <x:v>44968.740277777775</x:v>
      </x:c>
      <x:c r="C962" s="13" t="n">
        <x:v>0.7402777777777778</x:v>
      </x:c>
      <x:c r="D962" t="str">
        <x:v>Birtamode</x:v>
      </x:c>
      <x:c r="E962" t="str">
        <x:v>The Underground Cafe &amp; Restaurant</x:v>
      </x:c>
      <x:c r="F962" s="14" t="n">
        <x:v>695</x:v>
      </x:c>
      <x:c r="G962" t="str">
        <x:v>DEMO / SIMULATED</x:v>
      </x:c>
    </x:row>
    <x:row r="963">
      <x:c r="A963" t="str">
        <x:v>JFD-20240403-0961</x:v>
      </x:c>
      <x:c r="B963" s="11" t="n">
        <x:v>45385.78125</x:v>
      </x:c>
      <x:c r="C963" s="13" t="n">
        <x:v>0.78125</x:v>
      </x:c>
      <x:c r="D963" t="str">
        <x:v>Damak</x:v>
      </x:c>
      <x:c r="E963" t="str">
        <x:v>Late Night Cravings</x:v>
      </x:c>
      <x:c r="F963" s="14" t="n">
        <x:v>1030</x:v>
      </x:c>
      <x:c r="G963" t="str">
        <x:v>DEMO / SIMULATED</x:v>
      </x:c>
    </x:row>
    <x:row r="964">
      <x:c r="A964" t="str">
        <x:v>JFD-20240528-0962</x:v>
      </x:c>
      <x:c r="B964" s="11" t="n">
        <x:v>45440.864583333336</x:v>
      </x:c>
      <x:c r="C964" s="13" t="n">
        <x:v>0.8645833333333334</x:v>
      </x:c>
      <x:c r="D964" t="str">
        <x:v>Birtamode</x:v>
      </x:c>
      <x:c r="E964" t="str">
        <x:v>The Underground Cafe &amp; Restaurant</x:v>
      </x:c>
      <x:c r="F964" s="14" t="n">
        <x:v>270</x:v>
      </x:c>
      <x:c r="G964" t="str">
        <x:v>DEMO / SIMULATED</x:v>
      </x:c>
    </x:row>
    <x:row r="965">
      <x:c r="A965" t="str">
        <x:v>JFD-20230628-0963</x:v>
      </x:c>
      <x:c r="B965" s="11" t="n">
        <x:v>45105.60625</x:v>
      </x:c>
      <x:c r="C965" s="13" t="n">
        <x:v>0.60625</x:v>
      </x:c>
      <x:c r="D965" t="str">
        <x:v>Birtamode</x:v>
      </x:c>
      <x:c r="E965" t="str">
        <x:v>Pizza Ghar</x:v>
      </x:c>
      <x:c r="F965" s="14" t="n">
        <x:v>35</x:v>
      </x:c>
      <x:c r="G965" t="str">
        <x:v>DEMO / SIMULATED</x:v>
      </x:c>
    </x:row>
    <x:row r="966">
      <x:c r="A966" t="str">
        <x:v>JFD-20230722-0964</x:v>
      </x:c>
      <x:c r="B966" s="11" t="n">
        <x:v>45129.49236111111</x:v>
      </x:c>
      <x:c r="C966" s="13" t="n">
        <x:v>0.49236111111111114</x:v>
      </x:c>
      <x:c r="D966" t="str">
        <x:v>Birtamode</x:v>
      </x:c>
      <x:c r="E966" t="str">
        <x:v>The Underground Cafe &amp; Restaurant</x:v>
      </x:c>
      <x:c r="F966" s="14" t="n">
        <x:v>880</x:v>
      </x:c>
      <x:c r="G966" t="str">
        <x:v>DEMO / SIMULATED</x:v>
      </x:c>
    </x:row>
    <x:row r="967">
      <x:c r="A967" t="str">
        <x:v>JFD-20240707-0965</x:v>
      </x:c>
      <x:c r="B967" s="11" t="n">
        <x:v>45480.74375</x:v>
      </x:c>
      <x:c r="C967" s="13" t="n">
        <x:v>0.74375</x:v>
      </x:c>
      <x:c r="D967" t="str">
        <x:v>Birtamode</x:v>
      </x:c>
      <x:c r="E967" t="str">
        <x:v>Pizza Ghar</x:v>
      </x:c>
      <x:c r="F967" s="14" t="n">
        <x:v>1300</x:v>
      </x:c>
      <x:c r="G967" t="str">
        <x:v>DEMO / SIMULATED</x:v>
      </x:c>
    </x:row>
    <x:row r="968">
      <x:c r="A968" t="str">
        <x:v>JFD-20240222-0966</x:v>
      </x:c>
      <x:c r="B968" s="11" t="n">
        <x:v>45344.60902777778</x:v>
      </x:c>
      <x:c r="C968" s="13" t="n">
        <x:v>0.6090277777777777</x:v>
      </x:c>
      <x:c r="D968" t="str">
        <x:v>Birtamode</x:v>
      </x:c>
      <x:c r="E968" t="str">
        <x:v>The Underground Cafe &amp; Restaurant</x:v>
      </x:c>
      <x:c r="F968" s="14" t="n">
        <x:v>870</x:v>
      </x:c>
      <x:c r="G968" t="str">
        <x:v>DEMO / SIMULATED</x:v>
      </x:c>
    </x:row>
    <x:row r="969">
      <x:c r="A969" t="str">
        <x:v>JFD-20251231-0967</x:v>
      </x:c>
      <x:c r="B969" s="11" t="n">
        <x:v>46022.50486111111</x:v>
      </x:c>
      <x:c r="C969" s="13" t="n">
        <x:v>0.5048611111111111</x:v>
      </x:c>
      <x:c r="D969" t="str">
        <x:v>Birtamode</x:v>
      </x:c>
      <x:c r="E969" t="str">
        <x:v>Pizza Ghar</x:v>
      </x:c>
      <x:c r="F969" s="14" t="n">
        <x:v>490</x:v>
      </x:c>
      <x:c r="G969" t="str">
        <x:v>DEMO / SIMULATED</x:v>
      </x:c>
    </x:row>
    <x:row r="970">
      <x:c r="A970" t="str">
        <x:v>JFD-20241121-0968</x:v>
      </x:c>
      <x:c r="B970" s="11" t="n">
        <x:v>45617.50486111111</x:v>
      </x:c>
      <x:c r="C970" s="13" t="n">
        <x:v>0.5048611111111111</x:v>
      </x:c>
      <x:c r="D970" t="str">
        <x:v>Birtamode</x:v>
      </x:c>
      <x:c r="E970" t="str">
        <x:v>The Underground Cafe &amp; Restaurant</x:v>
      </x:c>
      <x:c r="F970" s="14" t="n">
        <x:v>540</x:v>
      </x:c>
      <x:c r="G970" t="str">
        <x:v>DEMO / SIMULATED</x:v>
      </x:c>
    </x:row>
    <x:row r="971">
      <x:c r="A971" t="str">
        <x:v>JFD-20230129-0969</x:v>
      </x:c>
      <x:c r="B971" s="11" t="n">
        <x:v>44955.799305555556</x:v>
      </x:c>
      <x:c r="C971" s="13" t="n">
        <x:v>0.7993055555555556</x:v>
      </x:c>
      <x:c r="D971" t="str">
        <x:v>Damak</x:v>
      </x:c>
      <x:c r="E971" t="str">
        <x:v>Milan’s Bakery</x:v>
      </x:c>
      <x:c r="F971" s="14" t="n">
        <x:v>1245</x:v>
      </x:c>
      <x:c r="G971" t="str">
        <x:v>DEMO / SIMULATED</x:v>
      </x:c>
    </x:row>
    <x:row r="972">
      <x:c r="A972" t="str">
        <x:v>JFD-20251007-0970</x:v>
      </x:c>
      <x:c r="B972" s="11" t="n">
        <x:v>45937.71111111111</x:v>
      </x:c>
      <x:c r="C972" s="13" t="n">
        <x:v>0.7111111111111111</x:v>
      </x:c>
      <x:c r="D972" t="str">
        <x:v>Birtamode</x:v>
      </x:c>
      <x:c r="E972" t="str">
        <x:v>Pizza Ghar</x:v>
      </x:c>
      <x:c r="F972" s="14" t="n">
        <x:v>560</x:v>
      </x:c>
      <x:c r="G972" t="str">
        <x:v>DEMO / SIMULATED</x:v>
      </x:c>
    </x:row>
    <x:row r="973">
      <x:c r="A973" t="str">
        <x:v>JFD-20240709-0971</x:v>
      </x:c>
      <x:c r="B973" s="11" t="n">
        <x:v>45482.62986111111</x:v>
      </x:c>
      <x:c r="C973" s="13" t="n">
        <x:v>0.6298611111111111</x:v>
      </x:c>
      <x:c r="D973" t="str">
        <x:v>Damak</x:v>
      </x:c>
      <x:c r="E973" t="str">
        <x:v>Milan’s Bakery</x:v>
      </x:c>
      <x:c r="F973" s="14" t="n">
        <x:v>105</x:v>
      </x:c>
      <x:c r="G973" t="str">
        <x:v>DEMO / SIMULATED</x:v>
      </x:c>
    </x:row>
    <x:row r="974">
      <x:c r="A974" t="str">
        <x:v>JFD-20231201-0972</x:v>
      </x:c>
      <x:c r="B974" s="11" t="n">
        <x:v>45261.78333333333</x:v>
      </x:c>
      <x:c r="C974" s="13" t="n">
        <x:v>0.7833333333333333</x:v>
      </x:c>
      <x:c r="D974" t="str">
        <x:v>Damak</x:v>
      </x:c>
      <x:c r="E974" t="str">
        <x:v>Milan’s Bakery</x:v>
      </x:c>
      <x:c r="F974" s="14" t="n">
        <x:v>245</x:v>
      </x:c>
      <x:c r="G974" t="str">
        <x:v>DEMO / SIMULATED</x:v>
      </x:c>
    </x:row>
    <x:row r="975">
      <x:c r="A975" t="str">
        <x:v>JFD-20241124-0973</x:v>
      </x:c>
      <x:c r="B975" s="11" t="n">
        <x:v>45620.86666666667</x:v>
      </x:c>
      <x:c r="C975" s="13" t="n">
        <x:v>0.8666666666666667</x:v>
      </x:c>
      <x:c r="D975" t="str">
        <x:v>Damak</x:v>
      </x:c>
      <x:c r="E975" t="str">
        <x:v>Milan’s Bakery</x:v>
      </x:c>
      <x:c r="F975" s="14" t="n">
        <x:v>3875</x:v>
      </x:c>
      <x:c r="G975" t="str">
        <x:v>DEMO / SIMULATED</x:v>
      </x:c>
    </x:row>
    <x:row r="976">
      <x:c r="A976" t="str">
        <x:v>JFD-20260306-0974</x:v>
      </x:c>
      <x:c r="B976" s="11" t="n">
        <x:v>46087.59444444445</x:v>
      </x:c>
      <x:c r="C976" s="13" t="n">
        <x:v>0.5944444444444444</x:v>
      </x:c>
      <x:c r="D976" t="str">
        <x:v>Damak</x:v>
      </x:c>
      <x:c r="E976" t="str">
        <x:v>Milan’s Bakery</x:v>
      </x:c>
      <x:c r="F976" s="14" t="n">
        <x:v>340</x:v>
      </x:c>
      <x:c r="G976" t="str">
        <x:v>DEMO / SIMULATED</x:v>
      </x:c>
    </x:row>
    <x:row r="977">
      <x:c r="A977" t="str">
        <x:v>JFD-20230717-0975</x:v>
      </x:c>
      <x:c r="B977" s="11" t="n">
        <x:v>45124.62777777778</x:v>
      </x:c>
      <x:c r="C977" s="13" t="n">
        <x:v>0.6277777777777778</x:v>
      </x:c>
      <x:c r="D977" t="str">
        <x:v>Birtamode</x:v>
      </x:c>
      <x:c r="E977" t="str">
        <x:v>The Underground Cafe &amp; Restaurant</x:v>
      </x:c>
      <x:c r="F977" s="14" t="n">
        <x:v>160</x:v>
      </x:c>
      <x:c r="G977" t="str">
        <x:v>DEMO / SIMULATED</x:v>
      </x:c>
    </x:row>
    <x:row r="978">
      <x:c r="A978" t="str">
        <x:v>JFD-20230221-0976</x:v>
      </x:c>
      <x:c r="B978" s="11" t="n">
        <x:v>44978.87291666667</x:v>
      </x:c>
      <x:c r="C978" s="13" t="n">
        <x:v>0.8729166666666667</x:v>
      </x:c>
      <x:c r="D978" t="str">
        <x:v>Damak</x:v>
      </x:c>
      <x:c r="E978" t="str">
        <x:v>Milan’s Bakery</x:v>
      </x:c>
      <x:c r="F978" s="14" t="n">
        <x:v>900</x:v>
      </x:c>
      <x:c r="G978" t="str">
        <x:v>DEMO / SIMULATED</x:v>
      </x:c>
    </x:row>
    <x:row r="979">
      <x:c r="A979" t="str">
        <x:v>JFD-20260217-0977</x:v>
      </x:c>
      <x:c r="B979" s="11" t="n">
        <x:v>46070.77847222222</x:v>
      </x:c>
      <x:c r="C979" s="13" t="n">
        <x:v>0.7784722222222222</x:v>
      </x:c>
      <x:c r="D979" t="str">
        <x:v>Birtamode</x:v>
      </x:c>
      <x:c r="E979" t="str">
        <x:v>The Underground Cafe &amp; Restaurant</x:v>
      </x:c>
      <x:c r="F979" s="14" t="n">
        <x:v>750</x:v>
      </x:c>
      <x:c r="G979" t="str">
        <x:v>DEMO / SIMULATED</x:v>
      </x:c>
    </x:row>
    <x:row r="980">
      <x:c r="A980" t="str">
        <x:v>JFD-20240623-0978</x:v>
      </x:c>
      <x:c r="B980" s="11" t="n">
        <x:v>45466.58819444444</x:v>
      </x:c>
      <x:c r="C980" s="13" t="n">
        <x:v>0.5881944444444445</x:v>
      </x:c>
      <x:c r="D980" t="str">
        <x:v>Birtamode</x:v>
      </x:c>
      <x:c r="E980" t="str">
        <x:v>Pizza Ghar</x:v>
      </x:c>
      <x:c r="F980" s="14" t="n">
        <x:v>2760</x:v>
      </x:c>
      <x:c r="G980" t="str">
        <x:v>DEMO / SIMULATED</x:v>
      </x:c>
    </x:row>
    <x:row r="981">
      <x:c r="A981" t="str">
        <x:v>JFD-20261005-0979</x:v>
      </x:c>
      <x:c r="B981" s="11" t="n">
        <x:v>46300.854166666664</x:v>
      </x:c>
      <x:c r="C981" s="13" t="n">
        <x:v>0.8541666666666666</x:v>
      </x:c>
      <x:c r="D981" t="str">
        <x:v>Damak</x:v>
      </x:c>
      <x:c r="E981" t="str">
        <x:v>Late Night Cravings</x:v>
      </x:c>
      <x:c r="F981" s="14" t="n">
        <x:v>680</x:v>
      </x:c>
      <x:c r="G981" t="str">
        <x:v>DEMO / SIMULATED</x:v>
      </x:c>
    </x:row>
    <x:row r="982">
      <x:c r="A982" t="str">
        <x:v>JFD-20231206-0980</x:v>
      </x:c>
      <x:c r="B982" s="11" t="n">
        <x:v>45266.55902777778</x:v>
      </x:c>
      <x:c r="C982" s="13" t="n">
        <x:v>0.5590277777777778</x:v>
      </x:c>
      <x:c r="D982" t="str">
        <x:v>Damak</x:v>
      </x:c>
      <x:c r="E982" t="str">
        <x:v>Late Night Cravings</x:v>
      </x:c>
      <x:c r="F982" s="14" t="n">
        <x:v>1080</x:v>
      </x:c>
      <x:c r="G982" t="str">
        <x:v>DEMO / SIMULATED</x:v>
      </x:c>
    </x:row>
    <x:row r="983">
      <x:c r="A983" t="str">
        <x:v>JFD-20240704-0981</x:v>
      </x:c>
      <x:c r="B983" s="11" t="n">
        <x:v>45477.48055555556</x:v>
      </x:c>
      <x:c r="C983" s="13" t="n">
        <x:v>0.48055555555555557</x:v>
      </x:c>
      <x:c r="D983" t="str">
        <x:v>Birtamode</x:v>
      </x:c>
      <x:c r="E983" t="str">
        <x:v>Pizza Ghar</x:v>
      </x:c>
      <x:c r="F983" s="14" t="n">
        <x:v>720</x:v>
      </x:c>
      <x:c r="G983" t="str">
        <x:v>DEMO / SIMULATED</x:v>
      </x:c>
    </x:row>
    <x:row r="984">
      <x:c r="A984" t="str">
        <x:v>JFD-20260408-0982</x:v>
      </x:c>
      <x:c r="B984" s="11" t="n">
        <x:v>46120.688888888886</x:v>
      </x:c>
      <x:c r="C984" s="13" t="n">
        <x:v>0.6888888888888889</x:v>
      </x:c>
      <x:c r="D984" t="str">
        <x:v>Damak</x:v>
      </x:c>
      <x:c r="E984" t="str">
        <x:v>Milan’s Bakery</x:v>
      </x:c>
      <x:c r="F984" s="14" t="n">
        <x:v>600</x:v>
      </x:c>
      <x:c r="G984" t="str">
        <x:v>DEMO / SIMULATED</x:v>
      </x:c>
    </x:row>
    <x:row r="985">
      <x:c r="A985" t="str">
        <x:v>JFD-20260523-0983</x:v>
      </x:c>
      <x:c r="B985" s="11" t="n">
        <x:v>46165.67638888889</x:v>
      </x:c>
      <x:c r="C985" s="13" t="n">
        <x:v>0.6763888888888889</x:v>
      </x:c>
      <x:c r="D985" t="str">
        <x:v>Damak</x:v>
      </x:c>
      <x:c r="E985" t="str">
        <x:v>Milan’s Bakery</x:v>
      </x:c>
      <x:c r="F985" s="14" t="n">
        <x:v>400</x:v>
      </x:c>
      <x:c r="G985" t="str">
        <x:v>DEMO / SIMULATED</x:v>
      </x:c>
    </x:row>
    <x:row r="986">
      <x:c r="A986" t="str">
        <x:v>JFD-20260524-0984</x:v>
      </x:c>
      <x:c r="B986" s="11" t="n">
        <x:v>46166.72638888889</x:v>
      </x:c>
      <x:c r="C986" s="13" t="n">
        <x:v>0.7263888888888889</x:v>
      </x:c>
      <x:c r="D986" t="str">
        <x:v>Birtamode</x:v>
      </x:c>
      <x:c r="E986" t="str">
        <x:v>Pizza Ghar</x:v>
      </x:c>
      <x:c r="F986" s="14" t="n">
        <x:v>100</x:v>
      </x:c>
      <x:c r="G986" t="str">
        <x:v>DEMO / SIMULATED</x:v>
      </x:c>
    </x:row>
    <x:row r="987">
      <x:c r="A987" t="str">
        <x:v>JFD-20260518-0985</x:v>
      </x:c>
      <x:c r="B987" s="11" t="n">
        <x:v>46160.83194444444</x:v>
      </x:c>
      <x:c r="C987" s="13" t="n">
        <x:v>0.8319444444444445</x:v>
      </x:c>
      <x:c r="D987" t="str">
        <x:v>Damak</x:v>
      </x:c>
      <x:c r="E987" t="str">
        <x:v>Milan’s Bakery</x:v>
      </x:c>
      <x:c r="F987" s="14" t="n">
        <x:v>4100</x:v>
      </x:c>
      <x:c r="G987" t="str">
        <x:v>DEMO / SIMULATED</x:v>
      </x:c>
    </x:row>
    <x:row r="988">
      <x:c r="A988" t="str">
        <x:v>JFD-20230502-0986</x:v>
      </x:c>
      <x:c r="B988" s="11" t="n">
        <x:v>45048.57083333333</x:v>
      </x:c>
      <x:c r="C988" s="13" t="n">
        <x:v>0.5708333333333333</x:v>
      </x:c>
      <x:c r="D988" t="str">
        <x:v>Birtamode</x:v>
      </x:c>
      <x:c r="E988" t="str">
        <x:v>Pizza Ghar</x:v>
      </x:c>
      <x:c r="F988" s="14" t="n">
        <x:v>475</x:v>
      </x:c>
      <x:c r="G988" t="str">
        <x:v>DEMO / SIMULATED</x:v>
      </x:c>
    </x:row>
    <x:row r="989">
      <x:c r="A989" t="str">
        <x:v>JFD-20250430-0987</x:v>
      </x:c>
      <x:c r="B989" s="11" t="n">
        <x:v>45777.89236111111</x:v>
      </x:c>
      <x:c r="C989" s="13" t="n">
        <x:v>0.8923611111111112</x:v>
      </x:c>
      <x:c r="D989" t="str">
        <x:v>Damak</x:v>
      </x:c>
      <x:c r="E989" t="str">
        <x:v>Late Night Cravings</x:v>
      </x:c>
      <x:c r="F989" s="14" t="n">
        <x:v>265</x:v>
      </x:c>
      <x:c r="G989" t="str">
        <x:v>DEMO / SIMULATED</x:v>
      </x:c>
    </x:row>
    <x:row r="990">
      <x:c r="A990" t="str">
        <x:v>JFD-20230115-0988</x:v>
      </x:c>
      <x:c r="B990" s="11" t="n">
        <x:v>44941.61041666667</x:v>
      </x:c>
      <x:c r="C990" s="13" t="n">
        <x:v>0.6104166666666667</x:v>
      </x:c>
      <x:c r="D990" t="str">
        <x:v>Birtamode</x:v>
      </x:c>
      <x:c r="E990" t="str">
        <x:v>Pizza Ghar</x:v>
      </x:c>
      <x:c r="F990" s="14" t="n">
        <x:v>380</x:v>
      </x:c>
      <x:c r="G990" t="str">
        <x:v>DEMO / SIMULATED</x:v>
      </x:c>
    </x:row>
    <x:row r="991">
      <x:c r="A991" t="str">
        <x:v>JFD-20230620-0989</x:v>
      </x:c>
      <x:c r="B991" s="11" t="n">
        <x:v>45097.61736111111</x:v>
      </x:c>
      <x:c r="C991" s="13" t="n">
        <x:v>0.6173611111111111</x:v>
      </x:c>
      <x:c r="D991" t="str">
        <x:v>Damak</x:v>
      </x:c>
      <x:c r="E991" t="str">
        <x:v>Milan’s Bakery</x:v>
      </x:c>
      <x:c r="F991" s="14" t="n">
        <x:v>2465</x:v>
      </x:c>
      <x:c r="G991" t="str">
        <x:v>DEMO / SIMULATED</x:v>
      </x:c>
    </x:row>
    <x:row r="992">
      <x:c r="A992" t="str">
        <x:v>JFD-20241231-0990</x:v>
      </x:c>
      <x:c r="B992" s="11" t="n">
        <x:v>45657.745833333334</x:v>
      </x:c>
      <x:c r="C992" s="13" t="n">
        <x:v>0.7458333333333333</x:v>
      </x:c>
      <x:c r="D992" t="str">
        <x:v>Damak</x:v>
      </x:c>
      <x:c r="E992" t="str">
        <x:v>Late Night Cravings</x:v>
      </x:c>
      <x:c r="F992" s="14" t="n">
        <x:v>245</x:v>
      </x:c>
      <x:c r="G992" t="str">
        <x:v>DEMO / SIMULATED</x:v>
      </x:c>
    </x:row>
    <x:row r="993">
      <x:c r="A993" t="str">
        <x:v>JFD-20240507-0991</x:v>
      </x:c>
      <x:c r="B993" s="11" t="n">
        <x:v>45419.75763888889</x:v>
      </x:c>
      <x:c r="C993" s="13" t="n">
        <x:v>0.7576388888888889</x:v>
      </x:c>
      <x:c r="D993" t="str">
        <x:v>Damak</x:v>
      </x:c>
      <x:c r="E993" t="str">
        <x:v>Late Night Cravings</x:v>
      </x:c>
      <x:c r="F993" s="14" t="n">
        <x:v>280</x:v>
      </x:c>
      <x:c r="G993" t="str">
        <x:v>DEMO / SIMULATED</x:v>
      </x:c>
    </x:row>
    <x:row r="994">
      <x:c r="A994" t="str">
        <x:v>JFD-20230705-0992</x:v>
      </x:c>
      <x:c r="B994" s="11" t="n">
        <x:v>45112.50902777778</x:v>
      </x:c>
      <x:c r="C994" s="13" t="n">
        <x:v>0.5090277777777777</x:v>
      </x:c>
      <x:c r="D994" t="str">
        <x:v>Damak</x:v>
      </x:c>
      <x:c r="E994" t="str">
        <x:v>Milan’s Bakery</x:v>
      </x:c>
      <x:c r="F994" s="14" t="n">
        <x:v>1120</x:v>
      </x:c>
      <x:c r="G994" t="str">
        <x:v>DEMO / SIMULATED</x:v>
      </x:c>
    </x:row>
    <x:row r="995">
      <x:c r="A995" t="str">
        <x:v>JFD-20260714-0993</x:v>
      </x:c>
      <x:c r="B995" s="11" t="n">
        <x:v>46217.62013888889</x:v>
      </x:c>
      <x:c r="C995" s="13" t="n">
        <x:v>0.6201388888888889</x:v>
      </x:c>
      <x:c r="D995" t="str">
        <x:v>Birtamode</x:v>
      </x:c>
      <x:c r="E995" t="str">
        <x:v>The Underground Cafe &amp; Restaurant</x:v>
      </x:c>
      <x:c r="F995" s="14" t="n">
        <x:v>385</x:v>
      </x:c>
      <x:c r="G995" t="str">
        <x:v>DEMO / SIMULATED</x:v>
      </x:c>
    </x:row>
    <x:row r="996">
      <x:c r="A996" t="str">
        <x:v>JFD-20250426-0994</x:v>
      </x:c>
      <x:c r="B996" s="11" t="n">
        <x:v>45773.59861111111</x:v>
      </x:c>
      <x:c r="C996" s="13" t="n">
        <x:v>0.5986111111111111</x:v>
      </x:c>
      <x:c r="D996" t="str">
        <x:v>Birtamode</x:v>
      </x:c>
      <x:c r="E996" t="str">
        <x:v>Pizza Ghar</x:v>
      </x:c>
      <x:c r="F996" s="14" t="n">
        <x:v>40</x:v>
      </x:c>
      <x:c r="G996" t="str">
        <x:v>DEMO / SIMULATED</x:v>
      </x:c>
    </x:row>
    <x:row r="997">
      <x:c r="A997" t="str">
        <x:v>JFD-20250620-0995</x:v>
      </x:c>
      <x:c r="B997" s="11" t="n">
        <x:v>45828.46875</x:v>
      </x:c>
      <x:c r="C997" s="13" t="n">
        <x:v>0.46875</x:v>
      </x:c>
      <x:c r="D997" t="str">
        <x:v>Damak</x:v>
      </x:c>
      <x:c r="E997" t="str">
        <x:v>Milan’s Bakery</x:v>
      </x:c>
      <x:c r="F997" s="14" t="n">
        <x:v>3090</x:v>
      </x:c>
      <x:c r="G997" t="str">
        <x:v>DEMO / SIMULATED</x:v>
      </x:c>
    </x:row>
    <x:row r="998">
      <x:c r="A998" t="str">
        <x:v>JFD-20250203-0996</x:v>
      </x:c>
      <x:c r="B998" s="11" t="n">
        <x:v>45691.84652777778</x:v>
      </x:c>
      <x:c r="C998" s="13" t="n">
        <x:v>0.8465277777777778</x:v>
      </x:c>
      <x:c r="D998" t="str">
        <x:v>Damak</x:v>
      </x:c>
      <x:c r="E998" t="str">
        <x:v>Milan’s Bakery</x:v>
      </x:c>
      <x:c r="F998" s="14" t="n">
        <x:v>4220</x:v>
      </x:c>
      <x:c r="G998" t="str">
        <x:v>DEMO / SIMULATED</x:v>
      </x:c>
    </x:row>
    <x:row r="999">
      <x:c r="A999" t="str">
        <x:v>JFD-20260911-0997</x:v>
      </x:c>
      <x:c r="B999" s="11" t="n">
        <x:v>46276.71875</x:v>
      </x:c>
      <x:c r="C999" s="13" t="n">
        <x:v>0.71875</x:v>
      </x:c>
      <x:c r="D999" t="str">
        <x:v>Birtamode</x:v>
      </x:c>
      <x:c r="E999" t="str">
        <x:v>The Underground Cafe &amp; Restaurant</x:v>
      </x:c>
      <x:c r="F999" s="14" t="n">
        <x:v>700</x:v>
      </x:c>
      <x:c r="G999" t="str">
        <x:v>DEMO / SIMULATED</x:v>
      </x:c>
    </x:row>
    <x:row r="1000">
      <x:c r="A1000" t="str">
        <x:v>JFD-20240910-0998</x:v>
      </x:c>
      <x:c r="B1000" s="11" t="n">
        <x:v>45545.48263888889</x:v>
      </x:c>
      <x:c r="C1000" s="13" t="n">
        <x:v>0.4826388888888889</x:v>
      </x:c>
      <x:c r="D1000" t="str">
        <x:v>Damak</x:v>
      </x:c>
      <x:c r="E1000" t="str">
        <x:v>Milan’s Bakery</x:v>
      </x:c>
      <x:c r="F1000" s="14" t="n">
        <x:v>790</x:v>
      </x:c>
      <x:c r="G1000" t="str">
        <x:v>DEMO / SIMULATED</x:v>
      </x:c>
    </x:row>
    <x:row r="1001">
      <x:c r="A1001" t="str">
        <x:v>JFD-20241221-0999</x:v>
      </x:c>
      <x:c r="B1001" s="11" t="n">
        <x:v>45647.81875</x:v>
      </x:c>
      <x:c r="C1001" s="13" t="n">
        <x:v>0.81875</x:v>
      </x:c>
      <x:c r="D1001" t="str">
        <x:v>Damak</x:v>
      </x:c>
      <x:c r="E1001" t="str">
        <x:v>Late Night Cravings</x:v>
      </x:c>
      <x:c r="F1001" s="14" t="n">
        <x:v>320</x:v>
      </x:c>
      <x:c r="G1001" t="str">
        <x:v>DEMO / SIMULATED</x:v>
      </x:c>
    </x:row>
    <x:row r="1002">
      <x:c r="A1002" t="str">
        <x:v>JFD-20250505-1000</x:v>
      </x:c>
      <x:c r="B1002" s="11" t="n">
        <x:v>45782.48402777778</x:v>
      </x:c>
      <x:c r="C1002" s="13" t="n">
        <x:v>0.4840277777777778</x:v>
      </x:c>
      <x:c r="D1002" t="str">
        <x:v>Damak</x:v>
      </x:c>
      <x:c r="E1002" t="str">
        <x:v>Late Night Cravings</x:v>
      </x:c>
      <x:c r="F1002" s="14" t="n">
        <x:v>680</x:v>
      </x:c>
      <x:c r="G1002" t="str">
        <x:v>DEMO / SIMULATED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3917c70571447cf"/>
  </x:tableParts>
</x:worksheet>
</file>

<file path=xl/worksheets/sheet6.xml><?xml version="1.0" encoding="utf-8"?>
<x:worksheet xmlns:x="http://schemas.openxmlformats.org/spreadsheetml/2006/main">
  <x:sheetPr>
    <x:tabColor rgb="FF3B3B3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14" hidden="0" customWidth="1"/>
  </x:cols>
  <x:sheetData>
    <x:row r="1" ht="36" customHeight="1">
      <x:c r="A1" s="4" t="str">
        <x:v>BRANCH MASTER</x:v>
      </x:c>
      <x:c r="B1" s="4"/>
      <x:c r="C1" s="4"/>
      <x:c r="D1" s="4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8" t="str">
        <x:v>Branch ID</x:v>
      </x:c>
      <x:c r="B2" s="8" t="str">
        <x:v>Branch Name</x:v>
      </x:c>
      <x:c r="C2" s="8" t="str">
        <x:v>Location</x:v>
      </x:c>
      <x:c r="D2" s="8" t="str">
        <x:v>Status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B001</x:v>
      </x:c>
      <x:c r="B3" s="1" t="str">
        <x:v>Damak</x:v>
      </x:c>
      <x:c r="C3" s="1" t="str">
        <x:v>Damak, Jhapa, Nepal</x:v>
      </x:c>
      <x:c r="D3" s="1" t="str">
        <x:v>Active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B002</x:v>
      </x:c>
      <x:c r="B4" s="1" t="str">
        <x:v>Birtamode</x:v>
      </x:c>
      <x:c r="C4" s="1" t="str">
        <x:v>Birtamode, Jhapa, Nepal</x:v>
      </x:c>
      <x:c r="D4" s="1" t="str">
        <x:v>Active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54b8f451d624da7"/>
  </x:tableParts>
</x:worksheet>
</file>

<file path=xl/worksheets/sheet7.xml><?xml version="1.0" encoding="utf-8"?>
<x:worksheet xmlns:x="http://schemas.openxmlformats.org/spreadsheetml/2006/main">
  <x:sheetPr>
    <x:tabColor rgb="FF3B3B3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18" hidden="0" customWidth="1"/>
    <x:col min="4" max="4" width="38" hidden="0" customWidth="1"/>
    <x:col min="5" max="5" width="14" hidden="0" customWidth="1"/>
  </x:cols>
  <x:sheetData>
    <x:row r="1" ht="36" customHeight="1">
      <x:c r="A1" s="4" t="str">
        <x:v>RESTAURANT MASTER</x:v>
      </x:c>
      <x:c r="B1" s="4"/>
      <x:c r="C1" s="4"/>
      <x:c r="D1" s="4"/>
      <x:c r="E1" s="4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8" t="str">
        <x:v>Restaurant ID</x:v>
      </x:c>
      <x:c r="B2" s="8" t="str">
        <x:v>Restaurant Name</x:v>
      </x:c>
      <x:c r="C2" s="8" t="str">
        <x:v>Branch</x:v>
      </x:c>
      <x:c r="D2" s="8" t="str">
        <x:v>Location</x:v>
      </x:c>
      <x:c r="E2" s="8" t="str">
        <x:v>Status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R001</x:v>
      </x:c>
      <x:c r="B3" s="1" t="str">
        <x:v>Late Night Cravings</x:v>
      </x:c>
      <x:c r="C3" s="1" t="str">
        <x:v>Damak</x:v>
      </x:c>
      <x:c r="D3" s="1" t="str">
        <x:v>Campus Mode, Damak</x:v>
      </x:c>
      <x:c r="E3" s="1" t="str">
        <x:v>Active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R002</x:v>
      </x:c>
      <x:c r="B4" s="1" t="str">
        <x:v>Milan’s Bakery</x:v>
      </x:c>
      <x:c r="C4" s="1" t="str">
        <x:v>Damak</x:v>
      </x:c>
      <x:c r="D4" s="1" t="str">
        <x:v>Damak</x:v>
      </x:c>
      <x:c r="E4" s="1" t="str">
        <x:v>Active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R003</x:v>
      </x:c>
      <x:c r="B5" s="1" t="str">
        <x:v>Pizza Ghar</x:v>
      </x:c>
      <x:c r="C5" s="1" t="str">
        <x:v>Birtamode</x:v>
      </x:c>
      <x:c r="D5" s="1" t="str">
        <x:v>Bhagwan Chok, Birtamod 57204</x:v>
      </x:c>
      <x:c r="E5" s="1" t="str">
        <x:v>Active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R004</x:v>
      </x:c>
      <x:c r="B6" s="1" t="str">
        <x:v>The Underground Cafe &amp; Restaurant</x:v>
      </x:c>
      <x:c r="C6" s="1" t="str">
        <x:v>Birtamode</x:v>
      </x:c>
      <x:c r="D6" s="1" t="str">
        <x:v>Ram Chowk, Birtamode</x:v>
      </x:c>
      <x:c r="E6" s="1" t="str">
        <x:v>Active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f2d39d8351a4375"/>
  </x:tableParts>
</x:worksheet>
</file>

<file path=xl/worksheets/sheet8.xml><?xml version="1.0" encoding="utf-8"?>
<x:worksheet xmlns:x="http://schemas.openxmlformats.org/spreadsheetml/2006/main">
  <x:sheetPr>
    <x:tabColor rgb="FF3B3B3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31" hidden="0" customWidth="1"/>
    <x:col min="5" max="5" width="14" hidden="0" customWidth="1"/>
    <x:col min="6" max="6" width="20" hidden="0" customWidth="1"/>
    <x:col min="7" max="7" width="55" hidden="0" customWidth="1"/>
    <x:col min="8" max="8" width="30" hidden="0" customWidth="1"/>
    <x:col min="9" max="9" width="35" hidden="0" customWidth="1"/>
  </x:cols>
  <x:sheetData>
    <x:row r="1" ht="36" customHeight="1">
      <x:c r="A1" s="4" t="str">
        <x:v>MENU MASTER  |  Starter items and displayed prices</x:v>
      </x:c>
      <x:c r="B1" s="4"/>
      <x:c r="C1" s="4"/>
      <x:c r="D1" s="4"/>
      <x:c r="E1" s="4"/>
      <x:c r="F1" s="4"/>
      <x:c r="G1" s="4"/>
      <x:c r="H1" s="4"/>
      <x:c r="I1" s="4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8" t="str">
        <x:v>Menu ID</x:v>
      </x:c>
      <x:c r="B2" s="8" t="str">
        <x:v>Restaurant ID</x:v>
      </x:c>
      <x:c r="C2" s="8" t="str">
        <x:v>Restaurant Name</x:v>
      </x:c>
      <x:c r="D2" s="8" t="str">
        <x:v>Item Name</x:v>
      </x:c>
      <x:c r="E2" s="8" t="str">
        <x:v>Category</x:v>
      </x:c>
      <x:c r="F2" s="8" t="str">
        <x:v>Current Price (NPR)</x:v>
      </x:c>
      <x:c r="G2" s="8" t="str">
        <x:v>Lookup Key</x:v>
      </x:c>
      <x:c r="H2" s="8" t="str">
        <x:v>Data Status</x:v>
      </x:c>
      <x:c r="I2" s="8" t="str">
        <x:v>Source</x:v>
      </x:c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M001</x:v>
      </x:c>
      <x:c r="B3" s="1" t="str">
        <x:v>R001</x:v>
      </x:c>
      <x:c r="C3" s="1" t="str">
        <x:v>Late Night Cravings</x:v>
      </x:c>
      <x:c r="D3" s="1" t="str">
        <x:v>Veg Fry Rice</x:v>
      </x:c>
      <x:c r="E3" s="1" t="str">
        <x:v>Food</x:v>
      </x:c>
      <x:c r="F3" s="1" t="n">
        <x:v>160</x:v>
      </x:c>
      <x:c r="G3" s="1" t="str">
        <x:v>Late Night Cravings|Veg Fry Rice</x:v>
      </x:c>
      <x:c r="H3" s="1" t="str">
        <x:v>Public menu example</x:v>
      </x:c>
      <x:c r="I3" s="1" t="str">
        <x:v>See Sources sheet</x:v>
      </x:c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M002</x:v>
      </x:c>
      <x:c r="B4" s="1" t="str">
        <x:v>R001</x:v>
      </x:c>
      <x:c r="C4" s="1" t="str">
        <x:v>Late Night Cravings</x:v>
      </x:c>
      <x:c r="D4" s="1" t="str">
        <x:v>Chicken Fry Rice</x:v>
      </x:c>
      <x:c r="E4" s="1" t="str">
        <x:v>Food</x:v>
      </x:c>
      <x:c r="F4" s="1" t="n">
        <x:v>220</x:v>
      </x:c>
      <x:c r="G4" s="1" t="str">
        <x:v>Late Night Cravings|Chicken Fry Rice</x:v>
      </x:c>
      <x:c r="H4" s="1" t="str">
        <x:v>Public menu example</x:v>
      </x:c>
      <x:c r="I4" s="1" t="str">
        <x:v>See Sources sheet</x:v>
      </x:c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M003</x:v>
      </x:c>
      <x:c r="B5" s="1" t="str">
        <x:v>R001</x:v>
      </x:c>
      <x:c r="C5" s="1" t="str">
        <x:v>Late Night Cravings</x:v>
      </x:c>
      <x:c r="D5" s="1" t="str">
        <x:v>Mix Fry Rice</x:v>
      </x:c>
      <x:c r="E5" s="1" t="str">
        <x:v>Food</x:v>
      </x:c>
      <x:c r="F5" s="1" t="n">
        <x:v>280</x:v>
      </x:c>
      <x:c r="G5" s="1" t="str">
        <x:v>Late Night Cravings|Mix Fry Rice</x:v>
      </x:c>
      <x:c r="H5" s="1" t="str">
        <x:v>Public menu example</x:v>
      </x:c>
      <x:c r="I5" s="1" t="str">
        <x:v>See Sources sheet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M004</x:v>
      </x:c>
      <x:c r="B6" s="1" t="str">
        <x:v>R001</x:v>
      </x:c>
      <x:c r="C6" s="1" t="str">
        <x:v>Late Night Cravings</x:v>
      </x:c>
      <x:c r="D6" s="1" t="str">
        <x:v>Egg Fry Rice</x:v>
      </x:c>
      <x:c r="E6" s="1" t="str">
        <x:v>Food</x:v>
      </x:c>
      <x:c r="F6" s="1" t="n">
        <x:v>200</x:v>
      </x:c>
      <x:c r="G6" s="1" t="str">
        <x:v>Late Night Cravings|Egg Fry Rice</x:v>
      </x:c>
      <x:c r="H6" s="1" t="str">
        <x:v>Public menu example</x:v>
      </x:c>
      <x:c r="I6" s="1" t="str">
        <x:v>See Sources sheet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M005</x:v>
      </x:c>
      <x:c r="B7" s="1" t="str">
        <x:v>R002</x:v>
      </x:c>
      <x:c r="C7" s="1" t="str">
        <x:v>Milan’s Bakery</x:v>
      </x:c>
      <x:c r="D7" s="1" t="str">
        <x:v>Black Forest Cake</x:v>
      </x:c>
      <x:c r="E7" s="1" t="str">
        <x:v>Food</x:v>
      </x:c>
      <x:c r="F7" s="1" t="n">
        <x:v>300</x:v>
      </x:c>
      <x:c r="G7" s="1" t="str">
        <x:v>Milan’s Bakery|Black Forest Cake</x:v>
      </x:c>
      <x:c r="H7" s="1" t="str">
        <x:v>Public menu example</x:v>
      </x:c>
      <x:c r="I7" s="1" t="str">
        <x:v>See Sources sheet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M006</x:v>
      </x:c>
      <x:c r="B8" s="1" t="str">
        <x:v>R002</x:v>
      </x:c>
      <x:c r="C8" s="1" t="str">
        <x:v>Milan’s Bakery</x:v>
      </x:c>
      <x:c r="D8" s="1" t="str">
        <x:v>Vanilla Cake</x:v>
      </x:c>
      <x:c r="E8" s="1" t="str">
        <x:v>Food</x:v>
      </x:c>
      <x:c r="F8" s="1" t="n">
        <x:v>300</x:v>
      </x:c>
      <x:c r="G8" s="1" t="str">
        <x:v>Milan’s Bakery|Vanilla Cake</x:v>
      </x:c>
      <x:c r="H8" s="1" t="str">
        <x:v>Public menu example</x:v>
      </x:c>
      <x:c r="I8" s="1" t="str">
        <x:v>See Sources sheet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M007</x:v>
      </x:c>
      <x:c r="B9" s="1" t="str">
        <x:v>R002</x:v>
      </x:c>
      <x:c r="C9" s="1" t="str">
        <x:v>Milan’s Bakery</x:v>
      </x:c>
      <x:c r="D9" s="1" t="str">
        <x:v>Chocolate Cake</x:v>
      </x:c>
      <x:c r="E9" s="1" t="str">
        <x:v>Food</x:v>
      </x:c>
      <x:c r="F9" s="1" t="n">
        <x:v>350</x:v>
      </x:c>
      <x:c r="G9" s="1" t="str">
        <x:v>Milan’s Bakery|Chocolate Cake</x:v>
      </x:c>
      <x:c r="H9" s="1" t="str">
        <x:v>Public menu example</x:v>
      </x:c>
      <x:c r="I9" s="1" t="str">
        <x:v>See Sources sheet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M008</x:v>
      </x:c>
      <x:c r="B10" s="1" t="str">
        <x:v>R002</x:v>
      </x:c>
      <x:c r="C10" s="1" t="str">
        <x:v>Milan’s Bakery</x:v>
      </x:c>
      <x:c r="D10" s="1" t="str">
        <x:v>Red Velvet Cake</x:v>
      </x:c>
      <x:c r="E10" s="1" t="str">
        <x:v>Food</x:v>
      </x:c>
      <x:c r="F10" s="1" t="n">
        <x:v>900</x:v>
      </x:c>
      <x:c r="G10" s="1" t="str">
        <x:v>Milan’s Bakery|Red Velvet Cake</x:v>
      </x:c>
      <x:c r="H10" s="1" t="str">
        <x:v>Public menu example</x:v>
      </x:c>
      <x:c r="I10" s="1" t="str">
        <x:v>See Sources sheet</x:v>
      </x:c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M009</x:v>
      </x:c>
      <x:c r="B11" s="1" t="str">
        <x:v>R003</x:v>
      </x:c>
      <x:c r="C11" s="1" t="str">
        <x:v>Pizza Ghar</x:v>
      </x:c>
      <x:c r="D11" s="1" t="str">
        <x:v>Chicken Fried Rice</x:v>
      </x:c>
      <x:c r="E11" s="1" t="str">
        <x:v>Food</x:v>
      </x:c>
      <x:c r="F11" s="1" t="n">
        <x:v>300</x:v>
      </x:c>
      <x:c r="G11" s="1" t="str">
        <x:v>Pizza Ghar|Chicken Fried Rice</x:v>
      </x:c>
      <x:c r="H11" s="1" t="str">
        <x:v>Public menu example</x:v>
      </x:c>
      <x:c r="I11" s="1" t="str">
        <x:v>See Sources sheet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M010</x:v>
      </x:c>
      <x:c r="B12" s="1" t="str">
        <x:v>R003</x:v>
      </x:c>
      <x:c r="C12" s="1" t="str">
        <x:v>Pizza Ghar</x:v>
      </x:c>
      <x:c r="D12" s="1" t="str">
        <x:v>Egg Fried Rice</x:v>
      </x:c>
      <x:c r="E12" s="1" t="str">
        <x:v>Food</x:v>
      </x:c>
      <x:c r="F12" s="1" t="n">
        <x:v>270</x:v>
      </x:c>
      <x:c r="G12" s="1" t="str">
        <x:v>Pizza Ghar|Egg Fried Rice</x:v>
      </x:c>
      <x:c r="H12" s="1" t="str">
        <x:v>Public menu example</x:v>
      </x:c>
      <x:c r="I12" s="1" t="str">
        <x:v>See Sources sheet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M011</x:v>
      </x:c>
      <x:c r="B13" s="1" t="str">
        <x:v>R003</x:v>
      </x:c>
      <x:c r="C13" s="1" t="str">
        <x:v>Pizza Ghar</x:v>
      </x:c>
      <x:c r="D13" s="1" t="str">
        <x:v>Veg Fried Rice</x:v>
      </x:c>
      <x:c r="E13" s="1" t="str">
        <x:v>Food</x:v>
      </x:c>
      <x:c r="F13" s="1" t="n">
        <x:v>220</x:v>
      </x:c>
      <x:c r="G13" s="1" t="str">
        <x:v>Pizza Ghar|Veg Fried Rice</x:v>
      </x:c>
      <x:c r="H13" s="1" t="str">
        <x:v>Public menu example</x:v>
      </x:c>
      <x:c r="I13" s="1" t="str">
        <x:v>See Sources sheet</x:v>
      </x:c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M012</x:v>
      </x:c>
      <x:c r="B14" s="1" t="str">
        <x:v>R003</x:v>
      </x:c>
      <x:c r="C14" s="1" t="str">
        <x:v>Pizza Ghar</x:v>
      </x:c>
      <x:c r="D14" s="1" t="str">
        <x:v>Chicken BBQ Feast Pizza</x:v>
      </x:c>
      <x:c r="E14" s="1" t="str">
        <x:v>Food</x:v>
      </x:c>
      <x:c r="F14" s="1" t="n">
        <x:v>580</x:v>
      </x:c>
      <x:c r="G14" s="1" t="str">
        <x:v>Pizza Ghar|Chicken BBQ Feast Pizza</x:v>
      </x:c>
      <x:c r="H14" s="1" t="str">
        <x:v>Public menu example</x:v>
      </x:c>
      <x:c r="I14" s="1" t="str">
        <x:v>See Sources sheet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M013</x:v>
      </x:c>
      <x:c r="B15" s="1" t="str">
        <x:v>R004</x:v>
      </x:c>
      <x:c r="C15" s="1" t="str">
        <x:v>The Underground Cafe &amp; Restaurant</x:v>
      </x:c>
      <x:c r="D15" s="1" t="str">
        <x:v>Veg Pakauda</x:v>
      </x:c>
      <x:c r="E15" s="1" t="str">
        <x:v>Food</x:v>
      </x:c>
      <x:c r="F15" s="1" t="n">
        <x:v>175</x:v>
      </x:c>
      <x:c r="G15" s="1" t="str">
        <x:v>The Underground Cafe &amp; Restaurant|Veg Pakauda</x:v>
      </x:c>
      <x:c r="H15" s="1" t="str">
        <x:v>Public menu example</x:v>
      </x:c>
      <x:c r="I15" s="1" t="str">
        <x:v>See Sources sheet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M014</x:v>
      </x:c>
      <x:c r="B16" s="1" t="str">
        <x:v>R004</x:v>
      </x:c>
      <x:c r="C16" s="1" t="str">
        <x:v>The Underground Cafe &amp; Restaurant</x:v>
      </x:c>
      <x:c r="D16" s="1" t="str">
        <x:v>Paneer Pakauda</x:v>
      </x:c>
      <x:c r="E16" s="1" t="str">
        <x:v>Food</x:v>
      </x:c>
      <x:c r="F16" s="1" t="n">
        <x:v>225</x:v>
      </x:c>
      <x:c r="G16" s="1" t="str">
        <x:v>The Underground Cafe &amp; Restaurant|Paneer Pakauda</x:v>
      </x:c>
      <x:c r="H16" s="1" t="str">
        <x:v>Public menu example</x:v>
      </x:c>
      <x:c r="I16" s="1" t="str">
        <x:v>See Sources sheet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M015</x:v>
      </x:c>
      <x:c r="B17" s="1" t="str">
        <x:v>R004</x:v>
      </x:c>
      <x:c r="C17" s="1" t="str">
        <x:v>The Underground Cafe &amp; Restaurant</x:v>
      </x:c>
      <x:c r="D17" s="1" t="str">
        <x:v>Aalu Jeera</x:v>
      </x:c>
      <x:c r="E17" s="1" t="str">
        <x:v>Food</x:v>
      </x:c>
      <x:c r="F17" s="1" t="n">
        <x:v>155</x:v>
      </x:c>
      <x:c r="G17" s="1" t="str">
        <x:v>The Underground Cafe &amp; Restaurant|Aalu Jeera</x:v>
      </x:c>
      <x:c r="H17" s="1" t="str">
        <x:v>Public menu example</x:v>
      </x:c>
      <x:c r="I17" s="1" t="str">
        <x:v>See Sources sheet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M016</x:v>
      </x:c>
      <x:c r="B18" s="1" t="str">
        <x:v>R004</x:v>
      </x:c>
      <x:c r="C18" s="1" t="str">
        <x:v>The Underground Cafe &amp; Restaurant</x:v>
      </x:c>
      <x:c r="D18" s="1" t="str">
        <x:v>Coca-Cola 500ml</x:v>
      </x:c>
      <x:c r="E18" s="1" t="str">
        <x:v>Drink</x:v>
      </x:c>
      <x:c r="F18" s="1" t="n">
        <x:v>100</x:v>
      </x:c>
      <x:c r="G18" s="1" t="str">
        <x:v>The Underground Cafe &amp; Restaurant|Coca-Cola 500ml</x:v>
      </x:c>
      <x:c r="H18" s="1" t="str">
        <x:v>Simulated starter price—verify</x:v>
      </x:c>
      <x:c r="I18" s="1" t="str">
        <x:v>Demo placeholder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M017</x:v>
      </x:c>
      <x:c r="B19" s="1" t="str">
        <x:v>R004</x:v>
      </x:c>
      <x:c r="C19" s="1" t="str">
        <x:v>The Underground Cafe &amp; Restaurant</x:v>
      </x:c>
      <x:c r="D19" s="1" t="str">
        <x:v>Bottled Water 1L</x:v>
      </x:c>
      <x:c r="E19" s="1" t="str">
        <x:v>Drink</x:v>
      </x:c>
      <x:c r="F19" s="1" t="n">
        <x:v>40</x:v>
      </x:c>
      <x:c r="G19" s="1" t="str">
        <x:v>The Underground Cafe &amp; Restaurant|Bottled Water 1L</x:v>
      </x:c>
      <x:c r="H19" s="1" t="str">
        <x:v>Simulated starter price—verify</x:v>
      </x:c>
      <x:c r="I19" s="1" t="str">
        <x:v>Demo placeholder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M018</x:v>
      </x:c>
      <x:c r="B20" s="1" t="str">
        <x:v>R001</x:v>
      </x:c>
      <x:c r="C20" s="1" t="str">
        <x:v>Late Night Cravings</x:v>
      </x:c>
      <x:c r="D20" s="1" t="str">
        <x:v>Coca-Cola 500ml</x:v>
      </x:c>
      <x:c r="E20" s="1" t="str">
        <x:v>Drink</x:v>
      </x:c>
      <x:c r="F20" s="1" t="n">
        <x:v>100</x:v>
      </x:c>
      <x:c r="G20" s="1" t="str">
        <x:v>Late Night Cravings|Coca-Cola 500ml</x:v>
      </x:c>
      <x:c r="H20" s="1" t="str">
        <x:v>Simulated starter price—verify</x:v>
      </x:c>
      <x:c r="I20" s="1" t="str">
        <x:v>Demo placeholder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M019</x:v>
      </x:c>
      <x:c r="B21" s="1" t="str">
        <x:v>R001</x:v>
      </x:c>
      <x:c r="C21" s="1" t="str">
        <x:v>Late Night Cravings</x:v>
      </x:c>
      <x:c r="D21" s="1" t="str">
        <x:v>Bottled Water 1L</x:v>
      </x:c>
      <x:c r="E21" s="1" t="str">
        <x:v>Drink</x:v>
      </x:c>
      <x:c r="F21" s="1" t="n">
        <x:v>40</x:v>
      </x:c>
      <x:c r="G21" s="1" t="str">
        <x:v>Late Night Cravings|Bottled Water 1L</x:v>
      </x:c>
      <x:c r="H21" s="1" t="str">
        <x:v>Simulated starter price—verify</x:v>
      </x:c>
      <x:c r="I21" s="1" t="str">
        <x:v>Demo placeholder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M020</x:v>
      </x:c>
      <x:c r="B22" s="1" t="str">
        <x:v>R002</x:v>
      </x:c>
      <x:c r="C22" s="1" t="str">
        <x:v>Milan’s Bakery</x:v>
      </x:c>
      <x:c r="D22" s="1" t="str">
        <x:v>Coca-Cola 500ml</x:v>
      </x:c>
      <x:c r="E22" s="1" t="str">
        <x:v>Drink</x:v>
      </x:c>
      <x:c r="F22" s="1" t="n">
        <x:v>100</x:v>
      </x:c>
      <x:c r="G22" s="1" t="str">
        <x:v>Milan’s Bakery|Coca-Cola 500ml</x:v>
      </x:c>
      <x:c r="H22" s="1" t="str">
        <x:v>Simulated starter price—verify</x:v>
      </x:c>
      <x:c r="I22" s="1" t="str">
        <x:v>Demo placeholder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M021</x:v>
      </x:c>
      <x:c r="B23" s="1" t="str">
        <x:v>R002</x:v>
      </x:c>
      <x:c r="C23" s="1" t="str">
        <x:v>Milan’s Bakery</x:v>
      </x:c>
      <x:c r="D23" s="1" t="str">
        <x:v>Bottled Water 1L</x:v>
      </x:c>
      <x:c r="E23" s="1" t="str">
        <x:v>Drink</x:v>
      </x:c>
      <x:c r="F23" s="1" t="n">
        <x:v>40</x:v>
      </x:c>
      <x:c r="G23" s="1" t="str">
        <x:v>Milan’s Bakery|Bottled Water 1L</x:v>
      </x:c>
      <x:c r="H23" s="1" t="str">
        <x:v>Simulated starter price—verify</x:v>
      </x:c>
      <x:c r="I23" s="1" t="str">
        <x:v>Demo placeholder</x:v>
      </x:c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M022</x:v>
      </x:c>
      <x:c r="B24" s="1" t="str">
        <x:v>R003</x:v>
      </x:c>
      <x:c r="C24" s="1" t="str">
        <x:v>Pizza Ghar</x:v>
      </x:c>
      <x:c r="D24" s="1" t="str">
        <x:v>Coca-Cola 500ml</x:v>
      </x:c>
      <x:c r="E24" s="1" t="str">
        <x:v>Drink</x:v>
      </x:c>
      <x:c r="F24" s="1" t="n">
        <x:v>100</x:v>
      </x:c>
      <x:c r="G24" s="1" t="str">
        <x:v>Pizza Ghar|Coca-Cola 500ml</x:v>
      </x:c>
      <x:c r="H24" s="1" t="str">
        <x:v>Simulated starter price—verify</x:v>
      </x:c>
      <x:c r="I24" s="1" t="str">
        <x:v>Demo placeholder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M023</x:v>
      </x:c>
      <x:c r="B25" s="1" t="str">
        <x:v>R003</x:v>
      </x:c>
      <x:c r="C25" s="1" t="str">
        <x:v>Pizza Ghar</x:v>
      </x:c>
      <x:c r="D25" s="1" t="str">
        <x:v>Bottled Water 1L</x:v>
      </x:c>
      <x:c r="E25" s="1" t="str">
        <x:v>Drink</x:v>
      </x:c>
      <x:c r="F25" s="1" t="n">
        <x:v>40</x:v>
      </x:c>
      <x:c r="G25" s="1" t="str">
        <x:v>Pizza Ghar|Bottled Water 1L</x:v>
      </x:c>
      <x:c r="H25" s="1" t="str">
        <x:v>Simulated starter price—verify</x:v>
      </x:c>
      <x:c r="I25" s="1" t="str">
        <x:v>Demo placeholder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5cb5c5b76db4249"/>
  </x:tableParts>
</x:worksheet>
</file>

<file path=xl/worksheets/sheet9.xml><?xml version="1.0" encoding="utf-8"?>
<x:worksheet xmlns:x="http://schemas.openxmlformats.org/spreadsheetml/2006/main">
  <x:sheetPr>
    <x:tabColor rgb="FF3B3B3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7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6" customHeight="1">
      <x:c r="A1" s="4" t="str">
        <x:v>HISTORICAL PRICE MASTER  |  Prior-year prices simulated</x:v>
      </x:c>
      <x:c r="B1" s="4"/>
      <x:c r="C1" s="4"/>
      <x:c r="D1" s="4"/>
      <x:c r="E1" s="4"/>
      <x:c r="F1" s="4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8" t="str">
        <x:v>Restaurant</x:v>
      </x:c>
      <x:c r="B2" s="8" t="str">
        <x:v>Item</x:v>
      </x:c>
      <x:c r="C2" s="8" t="str">
        <x:v>Effective Date</x:v>
      </x:c>
      <x:c r="D2" s="8" t="str">
        <x:v>End Date</x:v>
      </x:c>
      <x:c r="E2" s="8" t="str">
        <x:v>Price (NPR)</x:v>
      </x:c>
      <x:c r="F2" s="8" t="str">
        <x:v>Data Status</x:v>
      </x:c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Late Night Cravings</x:v>
      </x:c>
      <x:c r="B3" s="1" t="str">
        <x:v>Veg Fry Rice</x:v>
      </x:c>
      <x:c r="C3" s="9" t="n">
        <x:v>44896</x:v>
      </x:c>
      <x:c r="D3" s="9" t="n">
        <x:v>45260</x:v>
      </x:c>
      <x:c r="E3" s="10" t="n">
        <x:v>130</x:v>
      </x:c>
      <x:c r="F3" s="1" t="str">
        <x:v>Simulated historical price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>
        <x:v>Late Night Cravings</x:v>
      </x:c>
      <x:c r="B4" s="1" t="str">
        <x:v>Veg Fry Rice</x:v>
      </x:c>
      <x:c r="C4" s="9" t="n">
        <x:v>45261</x:v>
      </x:c>
      <x:c r="D4" s="9" t="n">
        <x:v>45626</x:v>
      </x:c>
      <x:c r="E4" s="10" t="n">
        <x:v>140</x:v>
      </x:c>
      <x:c r="F4" s="1" t="str">
        <x:v>Simulated historical price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Late Night Cravings</x:v>
      </x:c>
      <x:c r="B5" s="1" t="str">
        <x:v>Veg Fry Rice</x:v>
      </x:c>
      <x:c r="C5" s="9" t="n">
        <x:v>45627</x:v>
      </x:c>
      <x:c r="D5" s="9" t="n">
        <x:v>45991</x:v>
      </x:c>
      <x:c r="E5" s="10" t="n">
        <x:v>150</x:v>
      </x:c>
      <x:c r="F5" s="1" t="str">
        <x:v>Simulated historical price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Late Night Cravings</x:v>
      </x:c>
      <x:c r="B6" s="1" t="str">
        <x:v>Veg Fry Rice</x:v>
      </x:c>
      <x:c r="C6" s="9" t="n">
        <x:v>45992</x:v>
      </x:c>
      <x:c r="D6" s="9" t="n">
        <x:v>46356</x:v>
      </x:c>
      <x:c r="E6" s="10" t="n">
        <x:v>160</x:v>
      </x:c>
      <x:c r="F6" s="1" t="str">
        <x:v>Public price example (2026)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Late Night Cravings</x:v>
      </x:c>
      <x:c r="B7" s="1" t="str">
        <x:v>Chicken Fry Rice</x:v>
      </x:c>
      <x:c r="C7" s="9" t="n">
        <x:v>44896</x:v>
      </x:c>
      <x:c r="D7" s="9" t="n">
        <x:v>45260</x:v>
      </x:c>
      <x:c r="E7" s="10" t="n">
        <x:v>180</x:v>
      </x:c>
      <x:c r="F7" s="1" t="str">
        <x:v>Simulated historical price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Late Night Cravings</x:v>
      </x:c>
      <x:c r="B8" s="1" t="str">
        <x:v>Chicken Fry Rice</x:v>
      </x:c>
      <x:c r="C8" s="9" t="n">
        <x:v>45261</x:v>
      </x:c>
      <x:c r="D8" s="9" t="n">
        <x:v>45626</x:v>
      </x:c>
      <x:c r="E8" s="10" t="n">
        <x:v>195</x:v>
      </x:c>
      <x:c r="F8" s="1" t="str">
        <x:v>Simulated historical price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Late Night Cravings</x:v>
      </x:c>
      <x:c r="B9" s="1" t="str">
        <x:v>Chicken Fry Rice</x:v>
      </x:c>
      <x:c r="C9" s="9" t="n">
        <x:v>45627</x:v>
      </x:c>
      <x:c r="D9" s="9" t="n">
        <x:v>45991</x:v>
      </x:c>
      <x:c r="E9" s="10" t="n">
        <x:v>205</x:v>
      </x:c>
      <x:c r="F9" s="1" t="str">
        <x:v>Simulated historical price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Late Night Cravings</x:v>
      </x:c>
      <x:c r="B10" s="1" t="str">
        <x:v>Chicken Fry Rice</x:v>
      </x:c>
      <x:c r="C10" s="9" t="n">
        <x:v>45992</x:v>
      </x:c>
      <x:c r="D10" s="9" t="n">
        <x:v>46356</x:v>
      </x:c>
      <x:c r="E10" s="10" t="n">
        <x:v>220</x:v>
      </x:c>
      <x:c r="F10" s="1" t="str">
        <x:v>Public price example (2026)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Late Night Cravings</x:v>
      </x:c>
      <x:c r="B11" s="1" t="str">
        <x:v>Mix Fry Rice</x:v>
      </x:c>
      <x:c r="C11" s="9" t="n">
        <x:v>44896</x:v>
      </x:c>
      <x:c r="D11" s="9" t="n">
        <x:v>45260</x:v>
      </x:c>
      <x:c r="E11" s="10" t="n">
        <x:v>230</x:v>
      </x:c>
      <x:c r="F11" s="1" t="str">
        <x:v>Simulated historical price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Late Night Cravings</x:v>
      </x:c>
      <x:c r="B12" s="1" t="str">
        <x:v>Mix Fry Rice</x:v>
      </x:c>
      <x:c r="C12" s="9" t="n">
        <x:v>45261</x:v>
      </x:c>
      <x:c r="D12" s="9" t="n">
        <x:v>45626</x:v>
      </x:c>
      <x:c r="E12" s="10" t="n">
        <x:v>245</x:v>
      </x:c>
      <x:c r="F12" s="1" t="str">
        <x:v>Simulated historical price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Late Night Cravings</x:v>
      </x:c>
      <x:c r="B13" s="1" t="str">
        <x:v>Mix Fry Rice</x:v>
      </x:c>
      <x:c r="C13" s="9" t="n">
        <x:v>45627</x:v>
      </x:c>
      <x:c r="D13" s="9" t="n">
        <x:v>45991</x:v>
      </x:c>
      <x:c r="E13" s="10" t="n">
        <x:v>265</x:v>
      </x:c>
      <x:c r="F13" s="1" t="str">
        <x:v>Simulated historical price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Late Night Cravings</x:v>
      </x:c>
      <x:c r="B14" s="1" t="str">
        <x:v>Mix Fry Rice</x:v>
      </x:c>
      <x:c r="C14" s="9" t="n">
        <x:v>45992</x:v>
      </x:c>
      <x:c r="D14" s="9" t="n">
        <x:v>46356</x:v>
      </x:c>
      <x:c r="E14" s="10" t="n">
        <x:v>280</x:v>
      </x:c>
      <x:c r="F14" s="1" t="str">
        <x:v>Public price example (2026)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Late Night Cravings</x:v>
      </x:c>
      <x:c r="B15" s="1" t="str">
        <x:v>Egg Fry Rice</x:v>
      </x:c>
      <x:c r="C15" s="9" t="n">
        <x:v>44896</x:v>
      </x:c>
      <x:c r="D15" s="9" t="n">
        <x:v>45260</x:v>
      </x:c>
      <x:c r="E15" s="10" t="n">
        <x:v>165</x:v>
      </x:c>
      <x:c r="F15" s="1" t="str">
        <x:v>Simulated historical price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 t="str">
        <x:v>Late Night Cravings</x:v>
      </x:c>
      <x:c r="B16" s="1" t="str">
        <x:v>Egg Fry Rice</x:v>
      </x:c>
      <x:c r="C16" s="9" t="n">
        <x:v>45261</x:v>
      </x:c>
      <x:c r="D16" s="9" t="n">
        <x:v>45626</x:v>
      </x:c>
      <x:c r="E16" s="10" t="n">
        <x:v>175</x:v>
      </x:c>
      <x:c r="F16" s="1" t="str">
        <x:v>Simulated historical price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 t="str">
        <x:v>Late Night Cravings</x:v>
      </x:c>
      <x:c r="B17" s="1" t="str">
        <x:v>Egg Fry Rice</x:v>
      </x:c>
      <x:c r="C17" s="9" t="n">
        <x:v>45627</x:v>
      </x:c>
      <x:c r="D17" s="9" t="n">
        <x:v>45991</x:v>
      </x:c>
      <x:c r="E17" s="10" t="n">
        <x:v>190</x:v>
      </x:c>
      <x:c r="F17" s="1" t="str">
        <x:v>Simulated historical price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Late Night Cravings</x:v>
      </x:c>
      <x:c r="B18" s="1" t="str">
        <x:v>Egg Fry Rice</x:v>
      </x:c>
      <x:c r="C18" s="9" t="n">
        <x:v>45992</x:v>
      </x:c>
      <x:c r="D18" s="9" t="n">
        <x:v>46356</x:v>
      </x:c>
      <x:c r="E18" s="10" t="n">
        <x:v>200</x:v>
      </x:c>
      <x:c r="F18" s="1" t="str">
        <x:v>Public price example (2026)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Milan’s Bakery</x:v>
      </x:c>
      <x:c r="B19" s="1" t="str">
        <x:v>Black Forest Cake</x:v>
      </x:c>
      <x:c r="C19" s="9" t="n">
        <x:v>44896</x:v>
      </x:c>
      <x:c r="D19" s="9" t="n">
        <x:v>45260</x:v>
      </x:c>
      <x:c r="E19" s="10" t="n">
        <x:v>245</x:v>
      </x:c>
      <x:c r="F19" s="1" t="str">
        <x:v>Simulated historical price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Milan’s Bakery</x:v>
      </x:c>
      <x:c r="B20" s="1" t="str">
        <x:v>Black Forest Cake</x:v>
      </x:c>
      <x:c r="C20" s="9" t="n">
        <x:v>45261</x:v>
      </x:c>
      <x:c r="D20" s="9" t="n">
        <x:v>45626</x:v>
      </x:c>
      <x:c r="E20" s="10" t="n">
        <x:v>265</x:v>
      </x:c>
      <x:c r="F20" s="1" t="str">
        <x:v>Simulated historical price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Milan’s Bakery</x:v>
      </x:c>
      <x:c r="B21" s="1" t="str">
        <x:v>Black Forest Cake</x:v>
      </x:c>
      <x:c r="C21" s="9" t="n">
        <x:v>45627</x:v>
      </x:c>
      <x:c r="D21" s="9" t="n">
        <x:v>45991</x:v>
      </x:c>
      <x:c r="E21" s="10" t="n">
        <x:v>280</x:v>
      </x:c>
      <x:c r="F21" s="1" t="str">
        <x:v>Simulated historical price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Milan’s Bakery</x:v>
      </x:c>
      <x:c r="B22" s="1" t="str">
        <x:v>Black Forest Cake</x:v>
      </x:c>
      <x:c r="C22" s="9" t="n">
        <x:v>45992</x:v>
      </x:c>
      <x:c r="D22" s="9" t="n">
        <x:v>46356</x:v>
      </x:c>
      <x:c r="E22" s="10" t="n">
        <x:v>300</x:v>
      </x:c>
      <x:c r="F22" s="1" t="str">
        <x:v>Public price example (2026)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Milan’s Bakery</x:v>
      </x:c>
      <x:c r="B23" s="1" t="str">
        <x:v>Vanilla Cake</x:v>
      </x:c>
      <x:c r="C23" s="9" t="n">
        <x:v>44896</x:v>
      </x:c>
      <x:c r="D23" s="9" t="n">
        <x:v>45260</x:v>
      </x:c>
      <x:c r="E23" s="10" t="n">
        <x:v>245</x:v>
      </x:c>
      <x:c r="F23" s="1" t="str">
        <x:v>Simulated historical price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 t="str">
        <x:v>Milan’s Bakery</x:v>
      </x:c>
      <x:c r="B24" s="1" t="str">
        <x:v>Vanilla Cake</x:v>
      </x:c>
      <x:c r="C24" s="9" t="n">
        <x:v>45261</x:v>
      </x:c>
      <x:c r="D24" s="9" t="n">
        <x:v>45626</x:v>
      </x:c>
      <x:c r="E24" s="10" t="n">
        <x:v>265</x:v>
      </x:c>
      <x:c r="F24" s="1" t="str">
        <x:v>Simulated historical price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 t="str">
        <x:v>Milan’s Bakery</x:v>
      </x:c>
      <x:c r="B25" s="1" t="str">
        <x:v>Vanilla Cake</x:v>
      </x:c>
      <x:c r="C25" s="9" t="n">
        <x:v>45627</x:v>
      </x:c>
      <x:c r="D25" s="9" t="n">
        <x:v>45991</x:v>
      </x:c>
      <x:c r="E25" s="10" t="n">
        <x:v>280</x:v>
      </x:c>
      <x:c r="F25" s="1" t="str">
        <x:v>Simulated historical price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Milan’s Bakery</x:v>
      </x:c>
      <x:c r="B26" s="1" t="str">
        <x:v>Vanilla Cake</x:v>
      </x:c>
      <x:c r="C26" s="9" t="n">
        <x:v>45992</x:v>
      </x:c>
      <x:c r="D26" s="9" t="n">
        <x:v>46356</x:v>
      </x:c>
      <x:c r="E26" s="10" t="n">
        <x:v>300</x:v>
      </x:c>
      <x:c r="F26" s="1" t="str">
        <x:v>Public price example (2026)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Milan’s Bakery</x:v>
      </x:c>
      <x:c r="B27" s="1" t="str">
        <x:v>Chocolate Cake</x:v>
      </x:c>
      <x:c r="C27" s="9" t="n">
        <x:v>44896</x:v>
      </x:c>
      <x:c r="D27" s="9" t="n">
        <x:v>45260</x:v>
      </x:c>
      <x:c r="E27" s="10" t="n">
        <x:v>285</x:v>
      </x:c>
      <x:c r="F27" s="1" t="str">
        <x:v>Simulated historical price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Milan’s Bakery</x:v>
      </x:c>
      <x:c r="B28" s="1" t="str">
        <x:v>Chocolate Cake</x:v>
      </x:c>
      <x:c r="C28" s="9" t="n">
        <x:v>45261</x:v>
      </x:c>
      <x:c r="D28" s="9" t="n">
        <x:v>45626</x:v>
      </x:c>
      <x:c r="E28" s="10" t="n">
        <x:v>310</x:v>
      </x:c>
      <x:c r="F28" s="1" t="str">
        <x:v>Simulated historical price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Milan’s Bakery</x:v>
      </x:c>
      <x:c r="B29" s="1" t="str">
        <x:v>Chocolate Cake</x:v>
      </x:c>
      <x:c r="C29" s="9" t="n">
        <x:v>45627</x:v>
      </x:c>
      <x:c r="D29" s="9" t="n">
        <x:v>45991</x:v>
      </x:c>
      <x:c r="E29" s="10" t="n">
        <x:v>330</x:v>
      </x:c>
      <x:c r="F29" s="1" t="str">
        <x:v>Simulated historical price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 t="str">
        <x:v>Milan’s Bakery</x:v>
      </x:c>
      <x:c r="B30" s="1" t="str">
        <x:v>Chocolate Cake</x:v>
      </x:c>
      <x:c r="C30" s="9" t="n">
        <x:v>45992</x:v>
      </x:c>
      <x:c r="D30" s="9" t="n">
        <x:v>46356</x:v>
      </x:c>
      <x:c r="E30" s="10" t="n">
        <x:v>350</x:v>
      </x:c>
      <x:c r="F30" s="1" t="str">
        <x:v>Public price example (2026)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 t="str">
        <x:v>Milan’s Bakery</x:v>
      </x:c>
      <x:c r="B31" s="1" t="str">
        <x:v>Red Velvet Cake</x:v>
      </x:c>
      <x:c r="C31" s="9" t="n">
        <x:v>44896</x:v>
      </x:c>
      <x:c r="D31" s="9" t="n">
        <x:v>45260</x:v>
      </x:c>
      <x:c r="E31" s="10" t="n">
        <x:v>740</x:v>
      </x:c>
      <x:c r="F31" s="1" t="str">
        <x:v>Simulated historical price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 t="str">
        <x:v>Milan’s Bakery</x:v>
      </x:c>
      <x:c r="B32" s="1" t="str">
        <x:v>Red Velvet Cake</x:v>
      </x:c>
      <x:c r="C32" s="9" t="n">
        <x:v>45261</x:v>
      </x:c>
      <x:c r="D32" s="9" t="n">
        <x:v>45626</x:v>
      </x:c>
      <x:c r="E32" s="10" t="n">
        <x:v>790</x:v>
      </x:c>
      <x:c r="F32" s="1" t="str">
        <x:v>Simulated historical price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 t="str">
        <x:v>Milan’s Bakery</x:v>
      </x:c>
      <x:c r="B33" s="1" t="str">
        <x:v>Red Velvet Cake</x:v>
      </x:c>
      <x:c r="C33" s="9" t="n">
        <x:v>45627</x:v>
      </x:c>
      <x:c r="D33" s="9" t="n">
        <x:v>45991</x:v>
      </x:c>
      <x:c r="E33" s="10" t="n">
        <x:v>845</x:v>
      </x:c>
      <x:c r="F33" s="1" t="str">
        <x:v>Simulated historical price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 t="str">
        <x:v>Milan’s Bakery</x:v>
      </x:c>
      <x:c r="B34" s="1" t="str">
        <x:v>Red Velvet Cake</x:v>
      </x:c>
      <x:c r="C34" s="9" t="n">
        <x:v>45992</x:v>
      </x:c>
      <x:c r="D34" s="9" t="n">
        <x:v>46356</x:v>
      </x:c>
      <x:c r="E34" s="10" t="n">
        <x:v>900</x:v>
      </x:c>
      <x:c r="F34" s="1" t="str">
        <x:v>Public price example (2026)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 t="str">
        <x:v>Pizza Ghar</x:v>
      </x:c>
      <x:c r="B35" s="1" t="str">
        <x:v>Chicken Fried Rice</x:v>
      </x:c>
      <x:c r="C35" s="9" t="n">
        <x:v>44896</x:v>
      </x:c>
      <x:c r="D35" s="9" t="n">
        <x:v>45260</x:v>
      </x:c>
      <x:c r="E35" s="10" t="n">
        <x:v>245</x:v>
      </x:c>
      <x:c r="F35" s="1" t="str">
        <x:v>Simulated historical price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 t="str">
        <x:v>Pizza Ghar</x:v>
      </x:c>
      <x:c r="B36" s="1" t="str">
        <x:v>Chicken Fried Rice</x:v>
      </x:c>
      <x:c r="C36" s="9" t="n">
        <x:v>45261</x:v>
      </x:c>
      <x:c r="D36" s="9" t="n">
        <x:v>45626</x:v>
      </x:c>
      <x:c r="E36" s="10" t="n">
        <x:v>265</x:v>
      </x:c>
      <x:c r="F36" s="1" t="str">
        <x:v>Simulated historical price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 t="str">
        <x:v>Pizza Ghar</x:v>
      </x:c>
      <x:c r="B37" s="1" t="str">
        <x:v>Chicken Fried Rice</x:v>
      </x:c>
      <x:c r="C37" s="9" t="n">
        <x:v>45627</x:v>
      </x:c>
      <x:c r="D37" s="9" t="n">
        <x:v>45991</x:v>
      </x:c>
      <x:c r="E37" s="10" t="n">
        <x:v>280</x:v>
      </x:c>
      <x:c r="F37" s="1" t="str">
        <x:v>Simulated historical price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 t="str">
        <x:v>Pizza Ghar</x:v>
      </x:c>
      <x:c r="B38" s="1" t="str">
        <x:v>Chicken Fried Rice</x:v>
      </x:c>
      <x:c r="C38" s="9" t="n">
        <x:v>45992</x:v>
      </x:c>
      <x:c r="D38" s="9" t="n">
        <x:v>46356</x:v>
      </x:c>
      <x:c r="E38" s="10" t="n">
        <x:v>300</x:v>
      </x:c>
      <x:c r="F38" s="1" t="str">
        <x:v>Public price example (2026)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 t="str">
        <x:v>Pizza Ghar</x:v>
      </x:c>
      <x:c r="B39" s="1" t="str">
        <x:v>Egg Fried Rice</x:v>
      </x:c>
      <x:c r="C39" s="9" t="n">
        <x:v>44896</x:v>
      </x:c>
      <x:c r="D39" s="9" t="n">
        <x:v>45260</x:v>
      </x:c>
      <x:c r="E39" s="10" t="n">
        <x:v>220</x:v>
      </x:c>
      <x:c r="F39" s="1" t="str">
        <x:v>Simulated historical price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 t="str">
        <x:v>Pizza Ghar</x:v>
      </x:c>
      <x:c r="B40" s="1" t="str">
        <x:v>Egg Fried Rice</x:v>
      </x:c>
      <x:c r="C40" s="9" t="n">
        <x:v>45261</x:v>
      </x:c>
      <x:c r="D40" s="9" t="n">
        <x:v>45626</x:v>
      </x:c>
      <x:c r="E40" s="10" t="n">
        <x:v>240</x:v>
      </x:c>
      <x:c r="F40" s="1" t="str">
        <x:v>Simulated historical price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 t="str">
        <x:v>Pizza Ghar</x:v>
      </x:c>
      <x:c r="B41" s="1" t="str">
        <x:v>Egg Fried Rice</x:v>
      </x:c>
      <x:c r="C41" s="9" t="n">
        <x:v>45627</x:v>
      </x:c>
      <x:c r="D41" s="9" t="n">
        <x:v>45991</x:v>
      </x:c>
      <x:c r="E41" s="10" t="n">
        <x:v>255</x:v>
      </x:c>
      <x:c r="F41" s="1" t="str">
        <x:v>Simulated historical price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 t="str">
        <x:v>Pizza Ghar</x:v>
      </x:c>
      <x:c r="B42" s="1" t="str">
        <x:v>Egg Fried Rice</x:v>
      </x:c>
      <x:c r="C42" s="9" t="n">
        <x:v>45992</x:v>
      </x:c>
      <x:c r="D42" s="9" t="n">
        <x:v>46356</x:v>
      </x:c>
      <x:c r="E42" s="10" t="n">
        <x:v>270</x:v>
      </x:c>
      <x:c r="F42" s="1" t="str">
        <x:v>Public price example (2026)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 t="str">
        <x:v>Pizza Ghar</x:v>
      </x:c>
      <x:c r="B43" s="1" t="str">
        <x:v>Veg Fried Rice</x:v>
      </x:c>
      <x:c r="C43" s="9" t="n">
        <x:v>44896</x:v>
      </x:c>
      <x:c r="D43" s="9" t="n">
        <x:v>45260</x:v>
      </x:c>
      <x:c r="E43" s="10" t="n">
        <x:v>180</x:v>
      </x:c>
      <x:c r="F43" s="1" t="str">
        <x:v>Simulated historical price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 t="str">
        <x:v>Pizza Ghar</x:v>
      </x:c>
      <x:c r="B44" s="1" t="str">
        <x:v>Veg Fried Rice</x:v>
      </x:c>
      <x:c r="C44" s="9" t="n">
        <x:v>45261</x:v>
      </x:c>
      <x:c r="D44" s="9" t="n">
        <x:v>45626</x:v>
      </x:c>
      <x:c r="E44" s="10" t="n">
        <x:v>195</x:v>
      </x:c>
      <x:c r="F44" s="1" t="str">
        <x:v>Simulated historical price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 t="str">
        <x:v>Pizza Ghar</x:v>
      </x:c>
      <x:c r="B45" s="1" t="str">
        <x:v>Veg Fried Rice</x:v>
      </x:c>
      <x:c r="C45" s="9" t="n">
        <x:v>45627</x:v>
      </x:c>
      <x:c r="D45" s="9" t="n">
        <x:v>45991</x:v>
      </x:c>
      <x:c r="E45" s="10" t="n">
        <x:v>205</x:v>
      </x:c>
      <x:c r="F45" s="1" t="str">
        <x:v>Simulated historical price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 t="str">
        <x:v>Pizza Ghar</x:v>
      </x:c>
      <x:c r="B46" s="1" t="str">
        <x:v>Veg Fried Rice</x:v>
      </x:c>
      <x:c r="C46" s="9" t="n">
        <x:v>45992</x:v>
      </x:c>
      <x:c r="D46" s="9" t="n">
        <x:v>46356</x:v>
      </x:c>
      <x:c r="E46" s="10" t="n">
        <x:v>220</x:v>
      </x:c>
      <x:c r="F46" s="1" t="str">
        <x:v>Public price example (2026)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 t="str">
        <x:v>Pizza Ghar</x:v>
      </x:c>
      <x:c r="B47" s="1" t="str">
        <x:v>Chicken BBQ Feast Pizza</x:v>
      </x:c>
      <x:c r="C47" s="9" t="n">
        <x:v>44896</x:v>
      </x:c>
      <x:c r="D47" s="9" t="n">
        <x:v>45260</x:v>
      </x:c>
      <x:c r="E47" s="10" t="n">
        <x:v>475</x:v>
      </x:c>
      <x:c r="F47" s="1" t="str">
        <x:v>Simulated historical price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 t="str">
        <x:v>Pizza Ghar</x:v>
      </x:c>
      <x:c r="B48" s="1" t="str">
        <x:v>Chicken BBQ Feast Pizza</x:v>
      </x:c>
      <x:c r="C48" s="9" t="n">
        <x:v>45261</x:v>
      </x:c>
      <x:c r="D48" s="9" t="n">
        <x:v>45626</x:v>
      </x:c>
      <x:c r="E48" s="10" t="n">
        <x:v>510</x:v>
      </x:c>
      <x:c r="F48" s="1" t="str">
        <x:v>Simulated historical price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 t="str">
        <x:v>Pizza Ghar</x:v>
      </x:c>
      <x:c r="B49" s="1" t="str">
        <x:v>Chicken BBQ Feast Pizza</x:v>
      </x:c>
      <x:c r="C49" s="9" t="n">
        <x:v>45627</x:v>
      </x:c>
      <x:c r="D49" s="9" t="n">
        <x:v>45991</x:v>
      </x:c>
      <x:c r="E49" s="10" t="n">
        <x:v>545</x:v>
      </x:c>
      <x:c r="F49" s="1" t="str">
        <x:v>Simulated historical price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 t="str">
        <x:v>Pizza Ghar</x:v>
      </x:c>
      <x:c r="B50" s="1" t="str">
        <x:v>Chicken BBQ Feast Pizza</x:v>
      </x:c>
      <x:c r="C50" s="9" t="n">
        <x:v>45992</x:v>
      </x:c>
      <x:c r="D50" s="9" t="n">
        <x:v>46356</x:v>
      </x:c>
      <x:c r="E50" s="10" t="n">
        <x:v>580</x:v>
      </x:c>
      <x:c r="F50" s="1" t="str">
        <x:v>Public price example (2026)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 t="str">
        <x:v>The Underground Cafe &amp; Restaurant</x:v>
      </x:c>
      <x:c r="B51" s="1" t="str">
        <x:v>Veg Pakauda</x:v>
      </x:c>
      <x:c r="C51" s="9" t="n">
        <x:v>44896</x:v>
      </x:c>
      <x:c r="D51" s="9" t="n">
        <x:v>45260</x:v>
      </x:c>
      <x:c r="E51" s="10" t="n">
        <x:v>145</x:v>
      </x:c>
      <x:c r="F51" s="1" t="str">
        <x:v>Simulated historical price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 t="str">
        <x:v>The Underground Cafe &amp; Restaurant</x:v>
      </x:c>
      <x:c r="B52" s="1" t="str">
        <x:v>Veg Pakauda</x:v>
      </x:c>
      <x:c r="C52" s="9" t="n">
        <x:v>45261</x:v>
      </x:c>
      <x:c r="D52" s="9" t="n">
        <x:v>45626</x:v>
      </x:c>
      <x:c r="E52" s="10" t="n">
        <x:v>155</x:v>
      </x:c>
      <x:c r="F52" s="1" t="str">
        <x:v>Simulated historical price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 t="str">
        <x:v>The Underground Cafe &amp; Restaurant</x:v>
      </x:c>
      <x:c r="B53" s="1" t="str">
        <x:v>Veg Pakauda</x:v>
      </x:c>
      <x:c r="C53" s="9" t="n">
        <x:v>45627</x:v>
      </x:c>
      <x:c r="D53" s="9" t="n">
        <x:v>45991</x:v>
      </x:c>
      <x:c r="E53" s="10" t="n">
        <x:v>165</x:v>
      </x:c>
      <x:c r="F53" s="1" t="str">
        <x:v>Simulated historical price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 t="str">
        <x:v>The Underground Cafe &amp; Restaurant</x:v>
      </x:c>
      <x:c r="B54" s="1" t="str">
        <x:v>Veg Pakauda</x:v>
      </x:c>
      <x:c r="C54" s="9" t="n">
        <x:v>45992</x:v>
      </x:c>
      <x:c r="D54" s="9" t="n">
        <x:v>46356</x:v>
      </x:c>
      <x:c r="E54" s="10" t="n">
        <x:v>175</x:v>
      </x:c>
      <x:c r="F54" s="1" t="str">
        <x:v>Public price example (2026)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 t="str">
        <x:v>The Underground Cafe &amp; Restaurant</x:v>
      </x:c>
      <x:c r="B55" s="1" t="str">
        <x:v>Paneer Pakauda</x:v>
      </x:c>
      <x:c r="C55" s="9" t="n">
        <x:v>44896</x:v>
      </x:c>
      <x:c r="D55" s="9" t="n">
        <x:v>45260</x:v>
      </x:c>
      <x:c r="E55" s="10" t="n">
        <x:v>185</x:v>
      </x:c>
      <x:c r="F55" s="1" t="str">
        <x:v>Simulated historical price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 t="str">
        <x:v>The Underground Cafe &amp; Restaurant</x:v>
      </x:c>
      <x:c r="B56" s="1" t="str">
        <x:v>Paneer Pakauda</x:v>
      </x:c>
      <x:c r="C56" s="9" t="n">
        <x:v>45261</x:v>
      </x:c>
      <x:c r="D56" s="9" t="n">
        <x:v>45626</x:v>
      </x:c>
      <x:c r="E56" s="10" t="n">
        <x:v>200</x:v>
      </x:c>
      <x:c r="F56" s="1" t="str">
        <x:v>Simulated historical price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 t="str">
        <x:v>The Underground Cafe &amp; Restaurant</x:v>
      </x:c>
      <x:c r="B57" s="1" t="str">
        <x:v>Paneer Pakauda</x:v>
      </x:c>
      <x:c r="C57" s="9" t="n">
        <x:v>45627</x:v>
      </x:c>
      <x:c r="D57" s="9" t="n">
        <x:v>45991</x:v>
      </x:c>
      <x:c r="E57" s="10" t="n">
        <x:v>210</x:v>
      </x:c>
      <x:c r="F57" s="1" t="str">
        <x:v>Simulated historical price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 t="str">
        <x:v>The Underground Cafe &amp; Restaurant</x:v>
      </x:c>
      <x:c r="B58" s="1" t="str">
        <x:v>Paneer Pakauda</x:v>
      </x:c>
      <x:c r="C58" s="9" t="n">
        <x:v>45992</x:v>
      </x:c>
      <x:c r="D58" s="9" t="n">
        <x:v>46356</x:v>
      </x:c>
      <x:c r="E58" s="10" t="n">
        <x:v>225</x:v>
      </x:c>
      <x:c r="F58" s="1" t="str">
        <x:v>Public price example (2026)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 t="str">
        <x:v>The Underground Cafe &amp; Restaurant</x:v>
      </x:c>
      <x:c r="B59" s="1" t="str">
        <x:v>Aalu Jeera</x:v>
      </x:c>
      <x:c r="C59" s="9" t="n">
        <x:v>44896</x:v>
      </x:c>
      <x:c r="D59" s="9" t="n">
        <x:v>45260</x:v>
      </x:c>
      <x:c r="E59" s="10" t="n">
        <x:v>125</x:v>
      </x:c>
      <x:c r="F59" s="1" t="str">
        <x:v>Simulated historical price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 t="str">
        <x:v>The Underground Cafe &amp; Restaurant</x:v>
      </x:c>
      <x:c r="B60" s="1" t="str">
        <x:v>Aalu Jeera</x:v>
      </x:c>
      <x:c r="C60" s="9" t="n">
        <x:v>45261</x:v>
      </x:c>
      <x:c r="D60" s="9" t="n">
        <x:v>45626</x:v>
      </x:c>
      <x:c r="E60" s="10" t="n">
        <x:v>135</x:v>
      </x:c>
      <x:c r="F60" s="1" t="str">
        <x:v>Simulated historical price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 t="str">
        <x:v>The Underground Cafe &amp; Restaurant</x:v>
      </x:c>
      <x:c r="B61" s="1" t="str">
        <x:v>Aalu Jeera</x:v>
      </x:c>
      <x:c r="C61" s="9" t="n">
        <x:v>45627</x:v>
      </x:c>
      <x:c r="D61" s="9" t="n">
        <x:v>45991</x:v>
      </x:c>
      <x:c r="E61" s="10" t="n">
        <x:v>145</x:v>
      </x:c>
      <x:c r="F61" s="1" t="str">
        <x:v>Simulated historical price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 t="str">
        <x:v>The Underground Cafe &amp; Restaurant</x:v>
      </x:c>
      <x:c r="B62" s="1" t="str">
        <x:v>Aalu Jeera</x:v>
      </x:c>
      <x:c r="C62" s="9" t="n">
        <x:v>45992</x:v>
      </x:c>
      <x:c r="D62" s="9" t="n">
        <x:v>46356</x:v>
      </x:c>
      <x:c r="E62" s="10" t="n">
        <x:v>155</x:v>
      </x:c>
      <x:c r="F62" s="1" t="str">
        <x:v>Public price example (2026)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 t="str">
        <x:v>The Underground Cafe &amp; Restaurant</x:v>
      </x:c>
      <x:c r="B63" s="1" t="str">
        <x:v>Coca-Cola 500ml</x:v>
      </x:c>
      <x:c r="C63" s="9" t="n">
        <x:v>44896</x:v>
      </x:c>
      <x:c r="D63" s="9" t="n">
        <x:v>45260</x:v>
      </x:c>
      <x:c r="E63" s="10" t="n">
        <x:v>80</x:v>
      </x:c>
      <x:c r="F63" s="1" t="str">
        <x:v>Simulated historical price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 t="str">
        <x:v>The Underground Cafe &amp; Restaurant</x:v>
      </x:c>
      <x:c r="B64" s="1" t="str">
        <x:v>Coca-Cola 500ml</x:v>
      </x:c>
      <x:c r="C64" s="9" t="n">
        <x:v>45261</x:v>
      </x:c>
      <x:c r="D64" s="9" t="n">
        <x:v>45626</x:v>
      </x:c>
      <x:c r="E64" s="10" t="n">
        <x:v>90</x:v>
      </x:c>
      <x:c r="F64" s="1" t="str">
        <x:v>Simulated historical price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 t="str">
        <x:v>The Underground Cafe &amp; Restaurant</x:v>
      </x:c>
      <x:c r="B65" s="1" t="str">
        <x:v>Coca-Cola 500ml</x:v>
      </x:c>
      <x:c r="C65" s="9" t="n">
        <x:v>45627</x:v>
      </x:c>
      <x:c r="D65" s="9" t="n">
        <x:v>45991</x:v>
      </x:c>
      <x:c r="E65" s="10" t="n">
        <x:v>95</x:v>
      </x:c>
      <x:c r="F65" s="1" t="str">
        <x:v>Simulated historical price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 t="str">
        <x:v>The Underground Cafe &amp; Restaurant</x:v>
      </x:c>
      <x:c r="B66" s="1" t="str">
        <x:v>Coca-Cola 500ml</x:v>
      </x:c>
      <x:c r="C66" s="9" t="n">
        <x:v>45992</x:v>
      </x:c>
      <x:c r="D66" s="9" t="n">
        <x:v>46356</x:v>
      </x:c>
      <x:c r="E66" s="10" t="n">
        <x:v>100</x:v>
      </x:c>
      <x:c r="F66" s="1" t="str">
        <x:v>Simulated historical price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 t="str">
        <x:v>The Underground Cafe &amp; Restaurant</x:v>
      </x:c>
      <x:c r="B67" s="1" t="str">
        <x:v>Bottled Water 1L</x:v>
      </x:c>
      <x:c r="C67" s="9" t="n">
        <x:v>44896</x:v>
      </x:c>
      <x:c r="D67" s="9" t="n">
        <x:v>45260</x:v>
      </x:c>
      <x:c r="E67" s="10" t="n">
        <x:v>35</x:v>
      </x:c>
      <x:c r="F67" s="1" t="str">
        <x:v>Simulated historical price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 t="str">
        <x:v>The Underground Cafe &amp; Restaurant</x:v>
      </x:c>
      <x:c r="B68" s="1" t="str">
        <x:v>Bottled Water 1L</x:v>
      </x:c>
      <x:c r="C68" s="9" t="n">
        <x:v>45261</x:v>
      </x:c>
      <x:c r="D68" s="9" t="n">
        <x:v>45626</x:v>
      </x:c>
      <x:c r="E68" s="10" t="n">
        <x:v>35</x:v>
      </x:c>
      <x:c r="F68" s="1" t="str">
        <x:v>Simulated historical price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 t="str">
        <x:v>The Underground Cafe &amp; Restaurant</x:v>
      </x:c>
      <x:c r="B69" s="1" t="str">
        <x:v>Bottled Water 1L</x:v>
      </x:c>
      <x:c r="C69" s="9" t="n">
        <x:v>45627</x:v>
      </x:c>
      <x:c r="D69" s="9" t="n">
        <x:v>45991</x:v>
      </x:c>
      <x:c r="E69" s="10" t="n">
        <x:v>40</x:v>
      </x:c>
      <x:c r="F69" s="1" t="str">
        <x:v>Simulated historical price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 t="str">
        <x:v>The Underground Cafe &amp; Restaurant</x:v>
      </x:c>
      <x:c r="B70" s="1" t="str">
        <x:v>Bottled Water 1L</x:v>
      </x:c>
      <x:c r="C70" s="9" t="n">
        <x:v>45992</x:v>
      </x:c>
      <x:c r="D70" s="9" t="n">
        <x:v>46356</x:v>
      </x:c>
      <x:c r="E70" s="10" t="n">
        <x:v>40</x:v>
      </x:c>
      <x:c r="F70" s="1" t="str">
        <x:v>Simulated historical price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 t="str">
        <x:v>Late Night Cravings</x:v>
      </x:c>
      <x:c r="B71" s="1" t="str">
        <x:v>Coca-Cola 500ml</x:v>
      </x:c>
      <x:c r="C71" s="9" t="n">
        <x:v>44896</x:v>
      </x:c>
      <x:c r="D71" s="9" t="n">
        <x:v>45260</x:v>
      </x:c>
      <x:c r="E71" s="10" t="n">
        <x:v>80</x:v>
      </x:c>
      <x:c r="F71" s="1" t="str">
        <x:v>Simulated historical price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 t="str">
        <x:v>Late Night Cravings</x:v>
      </x:c>
      <x:c r="B72" s="1" t="str">
        <x:v>Coca-Cola 500ml</x:v>
      </x:c>
      <x:c r="C72" s="9" t="n">
        <x:v>45261</x:v>
      </x:c>
      <x:c r="D72" s="9" t="n">
        <x:v>45626</x:v>
      </x:c>
      <x:c r="E72" s="10" t="n">
        <x:v>90</x:v>
      </x:c>
      <x:c r="F72" s="1" t="str">
        <x:v>Simulated historical price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 t="str">
        <x:v>Late Night Cravings</x:v>
      </x:c>
      <x:c r="B73" s="1" t="str">
        <x:v>Coca-Cola 500ml</x:v>
      </x:c>
      <x:c r="C73" s="9" t="n">
        <x:v>45627</x:v>
      </x:c>
      <x:c r="D73" s="9" t="n">
        <x:v>45991</x:v>
      </x:c>
      <x:c r="E73" s="10" t="n">
        <x:v>95</x:v>
      </x:c>
      <x:c r="F73" s="1" t="str">
        <x:v>Simulated historical price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 t="str">
        <x:v>Late Night Cravings</x:v>
      </x:c>
      <x:c r="B74" s="1" t="str">
        <x:v>Coca-Cola 500ml</x:v>
      </x:c>
      <x:c r="C74" s="9" t="n">
        <x:v>45992</x:v>
      </x:c>
      <x:c r="D74" s="9" t="n">
        <x:v>46356</x:v>
      </x:c>
      <x:c r="E74" s="10" t="n">
        <x:v>100</x:v>
      </x:c>
      <x:c r="F74" s="1" t="str">
        <x:v>Simulated historical price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 t="str">
        <x:v>Late Night Cravings</x:v>
      </x:c>
      <x:c r="B75" s="1" t="str">
        <x:v>Bottled Water 1L</x:v>
      </x:c>
      <x:c r="C75" s="9" t="n">
        <x:v>44896</x:v>
      </x:c>
      <x:c r="D75" s="9" t="n">
        <x:v>45260</x:v>
      </x:c>
      <x:c r="E75" s="10" t="n">
        <x:v>35</x:v>
      </x:c>
      <x:c r="F75" s="1" t="str">
        <x:v>Simulated historical price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 t="str">
        <x:v>Late Night Cravings</x:v>
      </x:c>
      <x:c r="B76" s="1" t="str">
        <x:v>Bottled Water 1L</x:v>
      </x:c>
      <x:c r="C76" s="9" t="n">
        <x:v>45261</x:v>
      </x:c>
      <x:c r="D76" s="9" t="n">
        <x:v>45626</x:v>
      </x:c>
      <x:c r="E76" s="10" t="n">
        <x:v>35</x:v>
      </x:c>
      <x:c r="F76" s="1" t="str">
        <x:v>Simulated historical price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 t="str">
        <x:v>Late Night Cravings</x:v>
      </x:c>
      <x:c r="B77" s="1" t="str">
        <x:v>Bottled Water 1L</x:v>
      </x:c>
      <x:c r="C77" s="9" t="n">
        <x:v>45627</x:v>
      </x:c>
      <x:c r="D77" s="9" t="n">
        <x:v>45991</x:v>
      </x:c>
      <x:c r="E77" s="10" t="n">
        <x:v>40</x:v>
      </x:c>
      <x:c r="F77" s="1" t="str">
        <x:v>Simulated historical price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 t="str">
        <x:v>Late Night Cravings</x:v>
      </x:c>
      <x:c r="B78" s="1" t="str">
        <x:v>Bottled Water 1L</x:v>
      </x:c>
      <x:c r="C78" s="9" t="n">
        <x:v>45992</x:v>
      </x:c>
      <x:c r="D78" s="9" t="n">
        <x:v>46356</x:v>
      </x:c>
      <x:c r="E78" s="10" t="n">
        <x:v>40</x:v>
      </x:c>
      <x:c r="F78" s="1" t="str">
        <x:v>Simulated historical price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 t="str">
        <x:v>Milan’s Bakery</x:v>
      </x:c>
      <x:c r="B79" s="1" t="str">
        <x:v>Coca-Cola 500ml</x:v>
      </x:c>
      <x:c r="C79" s="9" t="n">
        <x:v>44896</x:v>
      </x:c>
      <x:c r="D79" s="9" t="n">
        <x:v>45260</x:v>
      </x:c>
      <x:c r="E79" s="10" t="n">
        <x:v>80</x:v>
      </x:c>
      <x:c r="F79" s="1" t="str">
        <x:v>Simulated historical price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 t="str">
        <x:v>Milan’s Bakery</x:v>
      </x:c>
      <x:c r="B80" s="1" t="str">
        <x:v>Coca-Cola 500ml</x:v>
      </x:c>
      <x:c r="C80" s="9" t="n">
        <x:v>45261</x:v>
      </x:c>
      <x:c r="D80" s="9" t="n">
        <x:v>45626</x:v>
      </x:c>
      <x:c r="E80" s="10" t="n">
        <x:v>90</x:v>
      </x:c>
      <x:c r="F80" s="1" t="str">
        <x:v>Simulated historical price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 t="str">
        <x:v>Milan’s Bakery</x:v>
      </x:c>
      <x:c r="B81" s="1" t="str">
        <x:v>Coca-Cola 500ml</x:v>
      </x:c>
      <x:c r="C81" s="9" t="n">
        <x:v>45627</x:v>
      </x:c>
      <x:c r="D81" s="9" t="n">
        <x:v>45991</x:v>
      </x:c>
      <x:c r="E81" s="10" t="n">
        <x:v>95</x:v>
      </x:c>
      <x:c r="F81" s="1" t="str">
        <x:v>Simulated historical price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 t="str">
        <x:v>Milan’s Bakery</x:v>
      </x:c>
      <x:c r="B82" s="1" t="str">
        <x:v>Coca-Cola 500ml</x:v>
      </x:c>
      <x:c r="C82" s="9" t="n">
        <x:v>45992</x:v>
      </x:c>
      <x:c r="D82" s="9" t="n">
        <x:v>46356</x:v>
      </x:c>
      <x:c r="E82" s="10" t="n">
        <x:v>100</x:v>
      </x:c>
      <x:c r="F82" s="1" t="str">
        <x:v>Simulated historical price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 t="str">
        <x:v>Milan’s Bakery</x:v>
      </x:c>
      <x:c r="B83" s="1" t="str">
        <x:v>Bottled Water 1L</x:v>
      </x:c>
      <x:c r="C83" s="9" t="n">
        <x:v>44896</x:v>
      </x:c>
      <x:c r="D83" s="9" t="n">
        <x:v>45260</x:v>
      </x:c>
      <x:c r="E83" s="10" t="n">
        <x:v>35</x:v>
      </x:c>
      <x:c r="F83" s="1" t="str">
        <x:v>Simulated historical price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 t="str">
        <x:v>Milan’s Bakery</x:v>
      </x:c>
      <x:c r="B84" s="1" t="str">
        <x:v>Bottled Water 1L</x:v>
      </x:c>
      <x:c r="C84" s="9" t="n">
        <x:v>45261</x:v>
      </x:c>
      <x:c r="D84" s="9" t="n">
        <x:v>45626</x:v>
      </x:c>
      <x:c r="E84" s="10" t="n">
        <x:v>35</x:v>
      </x:c>
      <x:c r="F84" s="1" t="str">
        <x:v>Simulated historical price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 t="str">
        <x:v>Milan’s Bakery</x:v>
      </x:c>
      <x:c r="B85" s="1" t="str">
        <x:v>Bottled Water 1L</x:v>
      </x:c>
      <x:c r="C85" s="9" t="n">
        <x:v>45627</x:v>
      </x:c>
      <x:c r="D85" s="9" t="n">
        <x:v>45991</x:v>
      </x:c>
      <x:c r="E85" s="10" t="n">
        <x:v>40</x:v>
      </x:c>
      <x:c r="F85" s="1" t="str">
        <x:v>Simulated historical price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 t="str">
        <x:v>Milan’s Bakery</x:v>
      </x:c>
      <x:c r="B86" s="1" t="str">
        <x:v>Bottled Water 1L</x:v>
      </x:c>
      <x:c r="C86" s="9" t="n">
        <x:v>45992</x:v>
      </x:c>
      <x:c r="D86" s="9" t="n">
        <x:v>46356</x:v>
      </x:c>
      <x:c r="E86" s="10" t="n">
        <x:v>40</x:v>
      </x:c>
      <x:c r="F86" s="1" t="str">
        <x:v>Simulated historical price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 t="str">
        <x:v>Pizza Ghar</x:v>
      </x:c>
      <x:c r="B87" s="1" t="str">
        <x:v>Coca-Cola 500ml</x:v>
      </x:c>
      <x:c r="C87" s="9" t="n">
        <x:v>44896</x:v>
      </x:c>
      <x:c r="D87" s="9" t="n">
        <x:v>45260</x:v>
      </x:c>
      <x:c r="E87" s="10" t="n">
        <x:v>80</x:v>
      </x:c>
      <x:c r="F87" s="1" t="str">
        <x:v>Simulated historical price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 t="str">
        <x:v>Pizza Ghar</x:v>
      </x:c>
      <x:c r="B88" s="1" t="str">
        <x:v>Coca-Cola 500ml</x:v>
      </x:c>
      <x:c r="C88" s="9" t="n">
        <x:v>45261</x:v>
      </x:c>
      <x:c r="D88" s="9" t="n">
        <x:v>45626</x:v>
      </x:c>
      <x:c r="E88" s="10" t="n">
        <x:v>90</x:v>
      </x:c>
      <x:c r="F88" s="1" t="str">
        <x:v>Simulated historical price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 t="str">
        <x:v>Pizza Ghar</x:v>
      </x:c>
      <x:c r="B89" s="1" t="str">
        <x:v>Coca-Cola 500ml</x:v>
      </x:c>
      <x:c r="C89" s="9" t="n">
        <x:v>45627</x:v>
      </x:c>
      <x:c r="D89" s="9" t="n">
        <x:v>45991</x:v>
      </x:c>
      <x:c r="E89" s="10" t="n">
        <x:v>95</x:v>
      </x:c>
      <x:c r="F89" s="1" t="str">
        <x:v>Simulated historical price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 t="str">
        <x:v>Pizza Ghar</x:v>
      </x:c>
      <x:c r="B90" s="1" t="str">
        <x:v>Coca-Cola 500ml</x:v>
      </x:c>
      <x:c r="C90" s="9" t="n">
        <x:v>45992</x:v>
      </x:c>
      <x:c r="D90" s="9" t="n">
        <x:v>46356</x:v>
      </x:c>
      <x:c r="E90" s="10" t="n">
        <x:v>100</x:v>
      </x:c>
      <x:c r="F90" s="1" t="str">
        <x:v>Simulated historical price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 t="str">
        <x:v>Pizza Ghar</x:v>
      </x:c>
      <x:c r="B91" s="1" t="str">
        <x:v>Bottled Water 1L</x:v>
      </x:c>
      <x:c r="C91" s="9" t="n">
        <x:v>44896</x:v>
      </x:c>
      <x:c r="D91" s="9" t="n">
        <x:v>45260</x:v>
      </x:c>
      <x:c r="E91" s="10" t="n">
        <x:v>35</x:v>
      </x:c>
      <x:c r="F91" s="1" t="str">
        <x:v>Simulated historical price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 t="str">
        <x:v>Pizza Ghar</x:v>
      </x:c>
      <x:c r="B92" s="1" t="str">
        <x:v>Bottled Water 1L</x:v>
      </x:c>
      <x:c r="C92" s="9" t="n">
        <x:v>45261</x:v>
      </x:c>
      <x:c r="D92" s="9" t="n">
        <x:v>45626</x:v>
      </x:c>
      <x:c r="E92" s="10" t="n">
        <x:v>35</x:v>
      </x:c>
      <x:c r="F92" s="1" t="str">
        <x:v>Simulated historical price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 t="str">
        <x:v>Pizza Ghar</x:v>
      </x:c>
      <x:c r="B93" s="1" t="str">
        <x:v>Bottled Water 1L</x:v>
      </x:c>
      <x:c r="C93" s="9" t="n">
        <x:v>45627</x:v>
      </x:c>
      <x:c r="D93" s="9" t="n">
        <x:v>45991</x:v>
      </x:c>
      <x:c r="E93" s="10" t="n">
        <x:v>40</x:v>
      </x:c>
      <x:c r="F93" s="1" t="str">
        <x:v>Simulated historical price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 t="str">
        <x:v>Pizza Ghar</x:v>
      </x:c>
      <x:c r="B94" s="1" t="str">
        <x:v>Bottled Water 1L</x:v>
      </x:c>
      <x:c r="C94" s="9" t="n">
        <x:v>45992</x:v>
      </x:c>
      <x:c r="D94" s="9" t="n">
        <x:v>46356</x:v>
      </x:c>
      <x:c r="E94" s="10" t="n">
        <x:v>40</x:v>
      </x:c>
      <x:c r="F94" s="1" t="str">
        <x:v>Simulated historical price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44952c18ab946dc"/>
  </x:tableParts>
</x:worksheet>
</file>

<file path=xl/worksheets/sheet10.xml><?xml version="1.0" encoding="utf-8"?>
<x:worksheet xmlns:x="http://schemas.openxmlformats.org/spreadsheetml/2006/main">
  <x:sheetPr>
    <x:tabColor rgb="FF3B3B3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20" hidden="0" customWidth="1"/>
    <x:col min="5" max="5" width="4" hidden="0" customWidth="1"/>
    <x:col min="6" max="6" width="14" hidden="0" customWidth="1"/>
    <x:col min="7" max="7" width="20" hidden="0" customWidth="1"/>
    <x:col min="8" max="8" width="16" hidden="0" customWidth="1"/>
  </x:cols>
  <x:sheetData>
    <x:row r="1" ht="36" customHeight="1">
      <x:c r="A1" s="4" t="str">
        <x:v>REPORTS  |  Central Sales_Data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7" t="str">
        <x:v>Use the Dashboard branch/year selectors for headline comparisons. Detail reports below can be filtered using their table headers.</x:v>
      </x:c>
      <x:c r="B2" s="17"/>
      <x:c r="C2" s="17"/>
      <x:c r="D2" s="17"/>
      <x:c r="E2" s="17"/>
      <x:c r="F2" s="17"/>
      <x:c r="G2" s="17"/>
      <x:c r="H2" s="17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0" customHeight="1">
      <x:c r="A4" s="159" t="str">
        <x:v>Branch</x:v>
      </x:c>
      <x:c r="B4" s="160" t="str">
        <x:v>Category</x:v>
      </x:c>
      <x:c r="C4" s="160" t="str">
        <x:v>Quantity</x:v>
      </x:c>
      <x:c r="D4" s="160" t="str">
        <x:v>Revenue (NPR)</x:v>
      </x:c>
      <x:c r="E4" s="161"/>
      <x:c r="F4" s="160" t="str">
        <x:v>Year</x:v>
      </x:c>
      <x:c r="G4" s="160" t="str">
        <x:v>Sales (NPR)</x:v>
      </x:c>
      <x:c r="H4" s="162" t="str">
        <x:v>Items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63" t="str">
        <x:v>Damak</x:v>
      </x:c>
      <x:c r="B5" s="165" t="str">
        <x:v>Food</x:v>
      </x:c>
      <x:c r="C5" s="165" t="n">
        <x:f>SUMIFS(Sales_Data!$H$3:$H$5002,Sales_Data!$D$3:$D$5002,A5,Sales_Data!$G$3:$G$5002,B5)</x:f>
        <x:v>1383</x:v>
      </x:c>
      <x:c r="D5" s="164" t="n">
        <x:f>SUMIFS(Sales_Data!$J$3:$J$5002,Sales_Data!$D$3:$D$5002,A5,Sales_Data!$G$3:$G$5002,B5)</x:f>
        <x:v>437350</x:v>
      </x:c>
      <x:c r="E5" s="165"/>
      <x:c r="F5" s="165" t="n">
        <x:v>2023</x:v>
      </x:c>
      <x:c r="G5" s="164" t="n">
        <x:f>SUMIFS(Sales_Data!$J$3:$J$5002,Sales_Data!$B$3:$B$5002,"&gt;="&amp;DATE(F5,1,1),Sales_Data!$B$3:$B$5002,"&lt;"&amp;DATE(F5+1,1,1))</x:f>
        <x:v>254365</x:v>
      </x:c>
      <x:c r="H5" s="166" t="n">
        <x:f>SUMIFS(Sales_Data!$H$3:$H$5002,Sales_Data!$B$3:$B$5002,"&gt;="&amp;DATE(F5,1,1),Sales_Data!$B$3:$B$5002,"&lt;"&amp;DATE(F5+1,1,1))</x:f>
        <x:v>1354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63" t="str">
        <x:v>Damak</x:v>
      </x:c>
      <x:c r="B6" s="165" t="str">
        <x:v>Drink</x:v>
      </x:c>
      <x:c r="C6" s="165" t="n">
        <x:f>SUMIFS(Sales_Data!$H$3:$H$5002,Sales_Data!$D$3:$D$5002,A6,Sales_Data!$G$3:$G$5002,B6)</x:f>
        <x:v>748</x:v>
      </x:c>
      <x:c r="D6" s="164" t="n">
        <x:f>SUMIFS(Sales_Data!$J$3:$J$5002,Sales_Data!$D$3:$D$5002,A6,Sales_Data!$G$3:$G$5002,B6)</x:f>
        <x:v>46450</x:v>
      </x:c>
      <x:c r="E6" s="165"/>
      <x:c r="F6" s="165" t="n">
        <x:v>2024</x:v>
      </x:c>
      <x:c r="G6" s="164" t="n">
        <x:f>SUMIFS(Sales_Data!$J$3:$J$5002,Sales_Data!$B$3:$B$5002,"&gt;="&amp;DATE(F6,1,1),Sales_Data!$B$3:$B$5002,"&lt;"&amp;DATE(F6+1,1,1))</x:f>
        <x:v>235440</x:v>
      </x:c>
      <x:c r="H6" s="166" t="n">
        <x:f>SUMIFS(Sales_Data!$H$3:$H$5002,Sales_Data!$B$3:$B$5002,"&gt;="&amp;DATE(F6,1,1),Sales_Data!$B$3:$B$5002,"&lt;"&amp;DATE(F6+1,1,1))</x:f>
        <x:v>1208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63" t="str">
        <x:v>Birtamode</x:v>
      </x:c>
      <x:c r="B7" s="165" t="str">
        <x:v>Food</x:v>
      </x:c>
      <x:c r="C7" s="165" t="n">
        <x:f>SUMIFS(Sales_Data!$H$3:$H$5002,Sales_Data!$D$3:$D$5002,A7,Sales_Data!$G$3:$G$5002,B7)</x:f>
        <x:v>1392</x:v>
      </x:c>
      <x:c r="D7" s="164" t="n">
        <x:f>SUMIFS(Sales_Data!$J$3:$J$5002,Sales_Data!$D$3:$D$5002,A7,Sales_Data!$G$3:$G$5002,B7)</x:f>
        <x:v>337960</x:v>
      </x:c>
      <x:c r="E7" s="165"/>
      <x:c r="F7" s="165" t="n">
        <x:v>2025</x:v>
      </x:c>
      <x:c r="G7" s="164" t="n">
        <x:f>SUMIFS(Sales_Data!$J$3:$J$5002,Sales_Data!$B$3:$B$5002,"&gt;="&amp;DATE(F7,1,1),Sales_Data!$B$3:$B$5002,"&lt;"&amp;DATE(F7+1,1,1))</x:f>
        <x:v>214225</x:v>
      </x:c>
      <x:c r="H7" s="166" t="n">
        <x:f>SUMIFS(Sales_Data!$H$3:$H$5002,Sales_Data!$B$3:$B$5002,"&gt;="&amp;DATE(F7,1,1),Sales_Data!$B$3:$B$5002,"&lt;"&amp;DATE(F7+1,1,1))</x:f>
        <x:v>996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71" t="str">
        <x:v>Birtamode</x:v>
      </x:c>
      <x:c r="B8" s="173" t="str">
        <x:v>Drink</x:v>
      </x:c>
      <x:c r="C8" s="173" t="n">
        <x:f>SUMIFS(Sales_Data!$H$3:$H$5002,Sales_Data!$D$3:$D$5002,A8,Sales_Data!$G$3:$G$5002,B8)</x:f>
        <x:v>873</x:v>
      </x:c>
      <x:c r="D8" s="172" t="n">
        <x:f>SUMIFS(Sales_Data!$J$3:$J$5002,Sales_Data!$D$3:$D$5002,A8,Sales_Data!$G$3:$G$5002,B8)</x:f>
        <x:v>55330</x:v>
      </x:c>
      <x:c r="E8" s="173"/>
      <x:c r="F8" s="173" t="n">
        <x:v>2026</x:v>
      </x:c>
      <x:c r="G8" s="172" t="n">
        <x:f>SUMIFS(Sales_Data!$J$3:$J$5002,Sales_Data!$B$3:$B$5002,"&gt;="&amp;DATE(F8,1,1),Sales_Data!$B$3:$B$5002,"&lt;"&amp;DATE(F8+1,1,1))</x:f>
        <x:v>173060</x:v>
      </x:c>
      <x:c r="H8" s="174" t="n">
        <x:f>SUMIFS(Sales_Data!$H$3:$H$5002,Sales_Data!$B$3:$B$5002,"&gt;="&amp;DATE(F8,1,1),Sales_Data!$B$3:$B$5002,"&lt;"&amp;DATE(F8+1,1,1))</x:f>
        <x:v>838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c8ed9c4f5a8f4a7b"/>
    <x:tablePart xmlns:r="http://schemas.openxmlformats.org/officeDocument/2006/relationships" r:id="R630e1be41d0d4e7e"/>
  </x:tableParts>
</x:worksheet>
</file>

<file path=xl/worksheets/sheet11.xml><?xml version="1.0" encoding="utf-8"?>
<x:worksheet xmlns:x="http://schemas.openxmlformats.org/spreadsheetml/2006/main">
  <x:sheetPr>
    <x:tabColor rgb="FF3B3B3B"/>
  </x:sheetPr>
  <x:sheetViews>
    <x:sheetView showGridLines="0" workbookViewId="0"/>
  </x:sheetViews>
  <x:sheetFormatPr defaultRowHeight="15"/>
  <x:cols>
    <x:col min="1" max="1" width="38" hidden="0" customWidth="1"/>
    <x:col min="2" max="2" width="34" hidden="0" customWidth="1"/>
    <x:col min="3" max="3" width="78" hidden="0" customWidth="1"/>
    <x:col min="4" max="4" width="55" hidden="0" customWidth="1"/>
  </x:cols>
  <x:sheetData>
    <x:row r="1" ht="36" customHeight="1">
      <x:c r="A1" s="4" t="str">
        <x:v>SOURCES, DEMO LABELS &amp; OPERATING NOTES</x:v>
      </x:c>
      <x:c r="B1" s="4"/>
      <x:c r="C1" s="4"/>
      <x:c r="D1" s="4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0" customHeight="1">
      <x:c r="A3" s="8" t="str">
        <x:v>Source / Note</x:v>
      </x:c>
      <x:c r="B3" s="8" t="str">
        <x:v>Coverage</x:v>
      </x:c>
      <x:c r="C3" s="8" t="str">
        <x:v>URL / Detail</x:v>
      </x:c>
      <x:c r="D3" s="8" t="str">
        <x:v>Data treatment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58" t="str">
        <x:v>Jaldimai Foods — Damak restaurants</x:v>
      </x:c>
      <x:c r="B4" s="158" t="str">
        <x:v>Restaurant names / branch</x:v>
      </x:c>
      <x:c r="C4" s="158" t="str">
        <x:v>https://www.jaldimai.com/best-restaurants-in-damak</x:v>
      </x:c>
      <x:c r="D4" s="158" t="str">
        <x:v>Current public listing; names and locations only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58" t="str">
        <x:v>Jaldimai Foods — Birtamode restaurants</x:v>
      </x:c>
      <x:c r="B5" s="158" t="str">
        <x:v>Restaurant names / branch</x:v>
      </x:c>
      <x:c r="C5" s="158" t="str">
        <x:v>https://www.jaldimai.com/best-restaurants-in-birtamode</x:v>
      </x:c>
      <x:c r="D5" s="158" t="str">
        <x:v>Current public listing; names and locations only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58" t="str">
        <x:v>Jaldimai Foods menu: Late Night Cravings</x:v>
      </x:c>
      <x:c r="B6" s="158" t="str">
        <x:v>Damak menu prices</x:v>
      </x:c>
      <x:c r="C6" s="158" t="str">
        <x:v>https://www.jaldimai.com/food/fried-rice-delivery-in-damak</x:v>
      </x:c>
      <x:c r="D6" s="158" t="str">
        <x:v>Public examples: Veg/Chicken/Mix/Egg Fry Rice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58" t="str">
        <x:v>Jaldimai Foods menu: Milan’s Bakery</x:v>
      </x:c>
      <x:c r="B7" s="158" t="str">
        <x:v>Damak menu prices</x:v>
      </x:c>
      <x:c r="C7" s="158" t="str">
        <x:v>https://www.jaldimai.com/food/cake-delivery-in-damak</x:v>
      </x:c>
      <x:c r="D7" s="158" t="str">
        <x:v>Public examples: cake items/prices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8" t="str">
        <x:v>Jaldimai Foods menu: Pizza Ghar</x:v>
      </x:c>
      <x:c r="B8" s="158" t="str">
        <x:v>Birtamode menu prices</x:v>
      </x:c>
      <x:c r="C8" s="158" t="str">
        <x:v>https://www.jaldimai.com/food/fried-rice-delivery-in-birtamode</x:v>
      </x:c>
      <x:c r="D8" s="158" t="str">
        <x:v>Public examples: fried rice items/prices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8" t="str">
        <x:v>Jaldimai Foods menu: The Underground Cafe &amp; Restaurant</x:v>
      </x:c>
      <x:c r="B9" s="158" t="str">
        <x:v>Birtamode menu prices</x:v>
      </x:c>
      <x:c r="C9" s="158" t="str">
        <x:v>https://www.jaldimai.com/restaurants/the-underground-cafe-restaurant</x:v>
      </x:c>
      <x:c r="D9" s="158" t="str">
        <x:v>Public examples: veg pakauda, paneer pakauda, aalu jeera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58" t="str">
        <x:v>Brand color reference</x:v>
      </x:c>
      <x:c r="B10" s="158" t="str">
        <x:v>Jaldimai app icon</x:v>
      </x:c>
      <x:c r="C10" s="158" t="str">
        <x:v>https://apps.apple.com/us/app/jaldimai/id6476860285</x:v>
      </x:c>
      <x:c r="D10" s="158" t="str">
        <x:v>Orange-led theme inspired by orange app icon; logo image itself was not embedded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58" t="str">
        <x:v>DEMO / SIMULATED DATA</x:v>
      </x:c>
      <x:c r="B11" s="158" t="str">
        <x:v>Sales_Data</x:v>
      </x:c>
      <x:c r="C11" s="158" t="str">
        <x:v>Generated 2023–2026 dates, quantities and transactions</x:v>
      </x:c>
      <x:c r="D11" s="158" t="str">
        <x:v>Not actual Jaldimai business sales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58" t="str">
        <x:v>Historical pricing</x:v>
      </x:c>
      <x:c r="B12" s="158" t="str">
        <x:v>Historical_Price_Master</x:v>
      </x:c>
      <x:c r="C12" s="158" t="str">
        <x:v>Current public menu examples in 2026; older years estimated</x:v>
      </x:c>
      <x:c r="D12" s="158" t="str">
        <x:v>Update with verified prices before live use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58" t="str">
        <x:v>Save button setup</x:v>
      </x:c>
      <x:c r="B13" s="158" t="str">
        <x:v>SaveSale.bas</x:v>
      </x:c>
      <x:c r="C13" s="158" t="str">
        <x:v>Save workbook as .xlsm, import the BAS module, run InstallSaveButton once</x:v>
      </x:c>
      <x:c r="D13" s="158" t="str">
        <x:v>Requires desktop Excel with macros enabled; dashboard formulas recalculate after save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17f62c8e0cb4cd5"/>
  </x:tableParts>
</x:worksheet>
</file>

<file path=xl/worksheets/sheet12.xml><?xml version="1.0" encoding="utf-8"?>
<x:worksheet xmlns:x="http://schemas.openxmlformats.org/spreadsheetml/2006/main">
  <x:sheetPr>
    <x:tabColor rgb="FF3B3B3B"/>
  </x:sheetPr>
  <x:sheetViews>
    <x:sheetView showGridLines="0" workbookViewId="0"/>
  </x:sheetViews>
  <x:sheetFormatPr defaultRowHeight="15"/>
  <x:cols>
    <x:col min="4" max="4" width="34" hidden="0" customWidth="1"/>
    <x:col min="5" max="5" width="34" hidden="0" customWidth="1"/>
  </x:cols>
  <x:sheetData>
    <x:row r="1">
      <x:c r="A1" s="6" t="str">
        <x:v>Branches</x:v>
      </x:c>
      <x:c r="B1" s="6" t="str">
        <x:v>Restaurants</x:v>
      </x:c>
      <x:c r="C1" s="6" t="str">
        <x:v>Menu Items</x:v>
      </x:c>
      <x:c r="D1" s="6" t="str">
        <x:v>Restaurant list for selected branch</x:v>
      </x:c>
      <x:c r="E1" s="6" t="str">
        <x:v>Menu list for selected restaurant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Damak</x:v>
      </x:c>
      <x:c r="B2" s="1" t="str">
        <x:v>Late Night Cravings</x:v>
      </x:c>
      <x:c r="C2" s="1" t="str">
        <x:v>Veg Fry Rice</x:v>
      </x:c>
      <x:c r="D2" s="1" t="str" cm="1">
        <x:f t="array" ref="D2:D3">_xlfn._xlws.FILTER(Restaurant_Master!$B$3:$B$500,Restaurant_Master!$C$3:$C$500='Sales Entry'!$B$6,"")</x:f>
        <x:v>Late Night Cravings</x:v>
      </x:c>
      <x:c r="E2" s="1" t="str" cm="1">
        <x:f t="array" ref="E2:E7">_xlfn._xlws.FILTER(Menu_Master!$D$3:$D$500,Menu_Master!$C$3:$C$500='Sales Entry'!$B$7,"")</x:f>
        <x:v>Veg Fry Rice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Birtamode</x:v>
      </x:c>
      <x:c r="B3" s="1" t="str">
        <x:v>Milan’s Bakery</x:v>
      </x:c>
      <x:c r="C3" s="1" t="str">
        <x:v>Chicken Fry Rice</x:v>
      </x:c>
      <x:c r="D3" s="1" t="str">
        <x:v>Milan’s Bakery</x:v>
      </x:c>
      <x:c r="E3" s="1" t="str">
        <x:v>Chicken Fry Rice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 t="str"/>
      <x:c r="B4" s="1" t="str">
        <x:v>Pizza Ghar</x:v>
      </x:c>
      <x:c r="C4" s="1" t="str">
        <x:v>Mix Fry Rice</x:v>
      </x:c>
      <x:c r="D4" s="1"/>
      <x:c r="E4" s="1" t="str">
        <x:v>Mix Fry Rice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/>
      <x:c r="B5" s="1" t="str">
        <x:v>The Underground Cafe &amp; Restaurant</x:v>
      </x:c>
      <x:c r="C5" s="1" t="str">
        <x:v>Egg Fry Rice</x:v>
      </x:c>
      <x:c r="D5" s="1"/>
      <x:c r="E5" s="1" t="str">
        <x:v>Egg Fry Rice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/>
      <x:c r="B6" s="1" t="str"/>
      <x:c r="C6" s="1" t="str">
        <x:v>Coca-Cola 500ml</x:v>
      </x:c>
      <x:c r="D6" s="1"/>
      <x:c r="E6" s="1" t="str">
        <x:v>Coca-Cola 500ml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 t="str">
        <x:v>Bottled Water 1L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